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99901939\WLL\production\WFL\WFL_app\data\"/>
    </mc:Choice>
  </mc:AlternateContent>
  <bookViews>
    <workbookView xWindow="0" yWindow="0" windowWidth="19200" windowHeight="8330" activeTab="2"/>
  </bookViews>
  <sheets>
    <sheet name="Hyderabad" sheetId="3" r:id="rId1"/>
    <sheet name="BP_Structured" sheetId="2" r:id="rId2"/>
    <sheet name="Reqd_MC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A" localSheetId="2">#REF!</definedName>
    <definedName name="\A">#REF!</definedName>
    <definedName name="\C" localSheetId="2">#REF!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F" localSheetId="2">#REF!</definedName>
    <definedName name="\F">#REF!</definedName>
    <definedName name="\G" localSheetId="2">#REF!</definedName>
    <definedName name="\G">#REF!</definedName>
    <definedName name="\H" localSheetId="2">#REF!</definedName>
    <definedName name="\H">#REF!</definedName>
    <definedName name="\J" localSheetId="2">#REF!</definedName>
    <definedName name="\J">#REF!</definedName>
    <definedName name="\M" localSheetId="2">#REF!</definedName>
    <definedName name="\M">#REF!</definedName>
    <definedName name="\N" localSheetId="2">#REF!</definedName>
    <definedName name="\N">#REF!</definedName>
    <definedName name="\P" localSheetId="2">#REF!</definedName>
    <definedName name="\P">#REF!</definedName>
    <definedName name="\Q" localSheetId="2">#REF!</definedName>
    <definedName name="\Q">#REF!</definedName>
    <definedName name="\R" localSheetId="2">#REF!</definedName>
    <definedName name="\R">#REF!</definedName>
    <definedName name="\S" localSheetId="2">#REF!</definedName>
    <definedName name="\S">#REF!</definedName>
    <definedName name="\T" localSheetId="2">#REF!</definedName>
    <definedName name="\T">#REF!</definedName>
    <definedName name="\V" localSheetId="2">#REF!</definedName>
    <definedName name="\V">#REF!</definedName>
    <definedName name="\X" localSheetId="2">#REF!</definedName>
    <definedName name="\X">#REF!</definedName>
    <definedName name="______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k3" localSheetId="2" hidden="1">#REF!</definedName>
    <definedName name="______________k3" hidden="1">#REF!</definedName>
    <definedName name="______________k4" localSheetId="2" hidden="1">#REF!</definedName>
    <definedName name="______________k4" hidden="1">#REF!</definedName>
    <definedName name="__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k3" localSheetId="2" hidden="1">#REF!</definedName>
    <definedName name="_____________k3" hidden="1">#REF!</definedName>
    <definedName name="_____________k4" localSheetId="2" hidden="1">#REF!</definedName>
    <definedName name="_____________k4" hidden="1">#REF!</definedName>
    <definedName name="_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k3" localSheetId="2" hidden="1">#REF!</definedName>
    <definedName name="____________k3" hidden="1">#REF!</definedName>
    <definedName name="____________k4" localSheetId="2" hidden="1">#REF!</definedName>
    <definedName name="____________k4" hidden="1">#REF!</definedName>
    <definedName name="_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k3" localSheetId="2" hidden="1">#REF!</definedName>
    <definedName name="___________k3" hidden="1">#REF!</definedName>
    <definedName name="___________k4" localSheetId="2" hidden="1">#REF!</definedName>
    <definedName name="___________k4" hidden="1">#REF!</definedName>
    <definedName name="_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k3" localSheetId="2" hidden="1">#REF!</definedName>
    <definedName name="__________k3" hidden="1">#REF!</definedName>
    <definedName name="__________k4" localSheetId="2" hidden="1">#REF!</definedName>
    <definedName name="__________k4" hidden="1">#REF!</definedName>
    <definedName name="_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k3" localSheetId="2" hidden="1">#REF!</definedName>
    <definedName name="_________k3" hidden="1">#REF!</definedName>
    <definedName name="_________k4" localSheetId="2" hidden="1">#REF!</definedName>
    <definedName name="_________k4" hidden="1">#REF!</definedName>
    <definedName name="_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k3" localSheetId="2" hidden="1">#REF!</definedName>
    <definedName name="________k3" hidden="1">#REF!</definedName>
    <definedName name="________k4" localSheetId="2" hidden="1">#REF!</definedName>
    <definedName name="________k4" hidden="1">#REF!</definedName>
    <definedName name="_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k3" localSheetId="2" hidden="1">#REF!</definedName>
    <definedName name="_______k3" hidden="1">#REF!</definedName>
    <definedName name="_______k4" localSheetId="2" hidden="1">#REF!</definedName>
    <definedName name="_______k4" hidden="1">#REF!</definedName>
    <definedName name="_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k3" localSheetId="2" hidden="1">#REF!</definedName>
    <definedName name="______k3" hidden="1">#REF!</definedName>
    <definedName name="______k4" localSheetId="2" hidden="1">#REF!</definedName>
    <definedName name="______k4" hidden="1">#REF!</definedName>
    <definedName name="_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k3" localSheetId="2" hidden="1">#REF!</definedName>
    <definedName name="_____k3" hidden="1">#REF!</definedName>
    <definedName name="_____k4" localSheetId="2" hidden="1">#REF!</definedName>
    <definedName name="_____k4" hidden="1">#REF!</definedName>
    <definedName name="_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as111" localSheetId="2" hidden="1">#REF!</definedName>
    <definedName name="____as111" hidden="1">#REF!</definedName>
    <definedName name="_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k2222" localSheetId="2" hidden="1">#REF!</definedName>
    <definedName name="____k2222" hidden="1">#REF!</definedName>
    <definedName name="____k3" localSheetId="2" hidden="1">#REF!</definedName>
    <definedName name="____k3" hidden="1">#REF!</definedName>
    <definedName name="____k4" localSheetId="2" hidden="1">#REF!</definedName>
    <definedName name="____k4" hidden="1">#REF!</definedName>
    <definedName name="_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xt1222" localSheetId="2" hidden="1">[1]fixexp_analysis!#REF!</definedName>
    <definedName name="____xt1222" hidden="1">[1]fixexp_analysis!#REF!</definedName>
    <definedName name="___10__123Graph_AChart_4" hidden="1">[2]Model!$B$469:$B$475</definedName>
    <definedName name="___11__123Graph_BChart_3" hidden="1">[2]Model!$C$483:$C$489</definedName>
    <definedName name="___12__123Graph_BChart_4" hidden="1">[2]Model!$C$469:$C$475</definedName>
    <definedName name="___13__123Graph_XChart_2" hidden="1">[2]Model!$A$453:$A$462</definedName>
    <definedName name="___14__123Graph_XChart_3" hidden="1">[2]Model!$A$483:$A$489</definedName>
    <definedName name="___15__123Graph_XChart_4" hidden="1">[2]Model!$A$469:$A$475</definedName>
    <definedName name="___8__123Graph_AChart_2" hidden="1">[2]Model!$B$453:$B$462</definedName>
    <definedName name="___9__123Graph_AChart_3" hidden="1">[2]Model!$B$483:$B$489</definedName>
    <definedName name="___as111" localSheetId="2" hidden="1">#REF!</definedName>
    <definedName name="___as111" hidden="1">#REF!</definedName>
    <definedName name="_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k2222" localSheetId="2" hidden="1">#REF!</definedName>
    <definedName name="___k2222" hidden="1">#REF!</definedName>
    <definedName name="___k3" localSheetId="2" hidden="1">#REF!</definedName>
    <definedName name="___k3" hidden="1">#REF!</definedName>
    <definedName name="___k4" localSheetId="2" hidden="1">#REF!</definedName>
    <definedName name="___k4" hidden="1">#REF!</definedName>
    <definedName name="_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xt1222" localSheetId="2" hidden="1">[1]fixexp_analysis!#REF!</definedName>
    <definedName name="___xt1222" hidden="1">[1]fixexp_analysis!#REF!</definedName>
    <definedName name="__10__123Graph_AChart_4" hidden="1">[2]Model!$B$469:$B$475</definedName>
    <definedName name="__11__123Graph_BChart_3" hidden="1">[2]Model!$C$483:$C$489</definedName>
    <definedName name="__12__123Graph_BChart_4" hidden="1">[2]Model!$C$469:$C$475</definedName>
    <definedName name="__123Graph_A" localSheetId="2" hidden="1">'[3]KEYDATA-TT'!#REF!</definedName>
    <definedName name="__123Graph_A" hidden="1">'[3]KEYDATA-TT'!#REF!</definedName>
    <definedName name="__123Graph_ADOMSAL" localSheetId="2" hidden="1">#REF!</definedName>
    <definedName name="__123Graph_ADOMSAL" hidden="1">#REF!</definedName>
    <definedName name="__123Graph_AEXPSAL" localSheetId="2" hidden="1">#REF!</definedName>
    <definedName name="__123Graph_AEXPSAL" hidden="1">#REF!</definedName>
    <definedName name="__123Graph_AGROSSEARN" localSheetId="2" hidden="1">#REF!</definedName>
    <definedName name="__123Graph_AGROSSEARN" hidden="1">#REF!</definedName>
    <definedName name="__123Graph_ANETWORTH" localSheetId="2" hidden="1">#REF!</definedName>
    <definedName name="__123Graph_ANETWORTH" hidden="1">#REF!</definedName>
    <definedName name="__123Graph_APROFIT" localSheetId="2" hidden="1">#REF!</definedName>
    <definedName name="__123Graph_APROFIT" hidden="1">#REF!</definedName>
    <definedName name="__123Graph_B" localSheetId="2" hidden="1">#REF!</definedName>
    <definedName name="__123Graph_B" hidden="1">#REF!</definedName>
    <definedName name="__123Graph_C" localSheetId="2" hidden="1">'[3]KEYDATA-TT'!#REF!</definedName>
    <definedName name="__123Graph_C" hidden="1">'[3]KEYDATA-TT'!#REF!</definedName>
    <definedName name="__123Graph_D" localSheetId="2" hidden="1">'[3]KEYDATA-TT'!#REF!</definedName>
    <definedName name="__123Graph_D" hidden="1">'[3]KEYDATA-TT'!#REF!</definedName>
    <definedName name="__123Graph_E" localSheetId="2" hidden="1">'[3]KEYDATA-TT'!#REF!</definedName>
    <definedName name="__123Graph_E" hidden="1">'[3]KEYDATA-TT'!#REF!</definedName>
    <definedName name="__123Graph_F" localSheetId="2" hidden="1">#REF!</definedName>
    <definedName name="__123Graph_F" hidden="1">#REF!</definedName>
    <definedName name="__123Graph_LBL_A" localSheetId="2" hidden="1">#REF!</definedName>
    <definedName name="__123Graph_LBL_A" hidden="1">#REF!</definedName>
    <definedName name="__123Graph_LBL_ADOMSAL" localSheetId="2" hidden="1">#REF!</definedName>
    <definedName name="__123Graph_LBL_ADOMSAL" hidden="1">#REF!</definedName>
    <definedName name="__123Graph_LBL_AEXPSAL" localSheetId="2" hidden="1">#REF!</definedName>
    <definedName name="__123Graph_LBL_AEXPSAL" hidden="1">#REF!</definedName>
    <definedName name="__123Graph_LBL_AGROSSEARN" localSheetId="2" hidden="1">#REF!</definedName>
    <definedName name="__123Graph_LBL_AGROSSEARN" hidden="1">#REF!</definedName>
    <definedName name="__123Graph_LBL_ANETWORTH" localSheetId="2" hidden="1">#REF!</definedName>
    <definedName name="__123Graph_LBL_ANETWORTH" hidden="1">#REF!</definedName>
    <definedName name="__123Graph_LBL_APROFIT" localSheetId="2" hidden="1">#REF!</definedName>
    <definedName name="__123Graph_LBL_APROFIT" hidden="1">#REF!</definedName>
    <definedName name="__123Graph_LBL_B" localSheetId="2" hidden="1">#REF!</definedName>
    <definedName name="__123Graph_LBL_B" hidden="1">#REF!</definedName>
    <definedName name="__123Graph_LBL_C" localSheetId="2" hidden="1">#REF!</definedName>
    <definedName name="__123Graph_LBL_C" hidden="1">#REF!</definedName>
    <definedName name="__123Graph_LBL_D" localSheetId="2" hidden="1">#REF!</definedName>
    <definedName name="__123Graph_LBL_D" hidden="1">#REF!</definedName>
    <definedName name="__123Graph_LBL_E" localSheetId="2" hidden="1">#REF!</definedName>
    <definedName name="__123Graph_LBL_E" hidden="1">#REF!</definedName>
    <definedName name="__123Graph_X" localSheetId="2" hidden="1">#REF!</definedName>
    <definedName name="__123Graph_X" hidden="1">#REF!</definedName>
    <definedName name="__123Graph_XDOMSAL" localSheetId="2" hidden="1">#REF!</definedName>
    <definedName name="__123Graph_XDOMSAL" hidden="1">#REF!</definedName>
    <definedName name="__123Graph_XEXPSAL" localSheetId="2" hidden="1">#REF!</definedName>
    <definedName name="__123Graph_XEXPSAL" hidden="1">#REF!</definedName>
    <definedName name="__123Graph_XGROSSEARN" localSheetId="2" hidden="1">#REF!</definedName>
    <definedName name="__123Graph_XGROSSEARN" hidden="1">#REF!</definedName>
    <definedName name="__123Graph_XIRG" localSheetId="2" hidden="1">#REF!</definedName>
    <definedName name="__123Graph_XIRG" hidden="1">#REF!</definedName>
    <definedName name="__123Graph_XNETWORTH" localSheetId="2" hidden="1">#REF!</definedName>
    <definedName name="__123Graph_XNETWORTH" hidden="1">#REF!</definedName>
    <definedName name="__123Graph_XPROFIT" localSheetId="2" hidden="1">#REF!</definedName>
    <definedName name="__123Graph_XPROFIT" hidden="1">#REF!</definedName>
    <definedName name="__13__123Graph_XChart_2" hidden="1">[2]Model!$A$453:$A$462</definedName>
    <definedName name="__14__123Graph_XChart_3" hidden="1">[2]Model!$A$483:$A$489</definedName>
    <definedName name="__15__123Graph_XChart_4" hidden="1">[2]Model!$A$469:$A$475</definedName>
    <definedName name="__8__123Graph_AChart_2" hidden="1">[2]Model!$B$453:$B$462</definedName>
    <definedName name="__9__123Graph_AChart_3" hidden="1">[2]Model!$B$483:$B$489</definedName>
    <definedName name="__as111" localSheetId="2" hidden="1">#REF!</definedName>
    <definedName name="__as111" hidden="1">#REF!</definedName>
    <definedName name="_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DS_HYPERLINK_TOGGLE_STATE__" hidden="1">"ON"</definedName>
    <definedName name="__k2222" localSheetId="2" hidden="1">#REF!</definedName>
    <definedName name="__k2222" hidden="1">#REF!</definedName>
    <definedName name="__k3" localSheetId="2" hidden="1">#REF!</definedName>
    <definedName name="__k3" hidden="1">#REF!</definedName>
    <definedName name="__k4" localSheetId="2" hidden="1">#REF!</definedName>
    <definedName name="__k4" hidden="1">#REF!</definedName>
    <definedName name="_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xt1222" localSheetId="2" hidden="1">[1]fixexp_analysis!#REF!</definedName>
    <definedName name="__xt1222" hidden="1">[1]fixexp_analysis!#REF!</definedName>
    <definedName name="_1__123Graph_ACHART_1" localSheetId="2" hidden="1">[4]keyind!#REF!</definedName>
    <definedName name="_1__123Graph_ACHART_1" hidden="1">[4]keyind!#REF!</definedName>
    <definedName name="_10__123Graph_ACHART_16" localSheetId="2" hidden="1">'[5]Key-Ind'!#REF!</definedName>
    <definedName name="_10__123Graph_ACHART_16" hidden="1">'[5]Key-Ind'!#REF!</definedName>
    <definedName name="_10__123Graph_ACHART_3" localSheetId="2" hidden="1">[4]keyind!#REF!</definedName>
    <definedName name="_10__123Graph_ACHART_3" hidden="1">[4]keyind!#REF!</definedName>
    <definedName name="_10__123Graph_AChart_4" hidden="1">[2]Model!$B$469:$B$475</definedName>
    <definedName name="_100__123Graph_LBL_BCHART_4" localSheetId="2" hidden="1">[4]keyind!#REF!</definedName>
    <definedName name="_100__123Graph_LBL_BCHART_4" hidden="1">[4]keyind!#REF!</definedName>
    <definedName name="_100__123Graph_XCHART_9" localSheetId="2" hidden="1">[5]Fixexp_analysis!#REF!</definedName>
    <definedName name="_100__123Graph_XCHART_9" hidden="1">[5]Fixexp_analysis!#REF!</definedName>
    <definedName name="_102__123Graph_LBL_ACHART_5" localSheetId="2" hidden="1">[5]Fixexp_analysis!#REF!</definedName>
    <definedName name="_102__123Graph_LBL_ACHART_5" hidden="1">[5]Fixexp_analysis!#REF!</definedName>
    <definedName name="_103__123Graph_XCHART_1" localSheetId="2" hidden="1">[4]keyind!#REF!</definedName>
    <definedName name="_103__123Graph_XCHART_1" hidden="1">[4]keyind!#REF!</definedName>
    <definedName name="_105__123Graph_LBL_ACHART_6" localSheetId="2" hidden="1">'[5]Key-Ind'!#REF!</definedName>
    <definedName name="_105__123Graph_LBL_ACHART_6" hidden="1">'[5]Key-Ind'!#REF!</definedName>
    <definedName name="_105__123Graph_XCHART_10" localSheetId="2" hidden="1">[5]Fixexp_analysis!#REF!</definedName>
    <definedName name="_105__123Graph_XCHART_10" hidden="1">[5]Fixexp_analysis!#REF!</definedName>
    <definedName name="_107__123Graph_XCHART_11" localSheetId="2" hidden="1">[5]Fixexp_analysis!#REF!</definedName>
    <definedName name="_107__123Graph_XCHART_11" hidden="1">[5]Fixexp_analysis!#REF!</definedName>
    <definedName name="_108__123Graph_LBL_ACHART_7" localSheetId="2" hidden="1">'[5]Key-Ind'!#REF!</definedName>
    <definedName name="_108__123Graph_LBL_ACHART_7" hidden="1">'[5]Key-Ind'!#REF!</definedName>
    <definedName name="_109__123Graph_XCHART_12" localSheetId="2" hidden="1">'[5]Key-Ind'!#REF!</definedName>
    <definedName name="_109__123Graph_XCHART_12" hidden="1">'[5]Key-Ind'!#REF!</definedName>
    <definedName name="_11__123Graph_ACHART_13" localSheetId="2" hidden="1">'[5]Key-Ind'!#REF!</definedName>
    <definedName name="_11__123Graph_ACHART_13" hidden="1">'[5]Key-Ind'!#REF!</definedName>
    <definedName name="_11__123Graph_ACHART_2" localSheetId="2" hidden="1">[4]keyind!#REF!</definedName>
    <definedName name="_11__123Graph_ACHART_2" hidden="1">[4]keyind!#REF!</definedName>
    <definedName name="_11__123Graph_ACHART_4" localSheetId="2" hidden="1">[4]keyind!#REF!</definedName>
    <definedName name="_11__123Graph_ACHART_4" hidden="1">[4]keyind!#REF!</definedName>
    <definedName name="_11__123Graph_BChart_3" hidden="1">[2]Model!$C$483:$C$489</definedName>
    <definedName name="_111__123Graph_LBL_ACHART_8" localSheetId="2" hidden="1">[5]Fixexp_analysis!#REF!</definedName>
    <definedName name="_111__123Graph_LBL_ACHART_8" hidden="1">[5]Fixexp_analysis!#REF!</definedName>
    <definedName name="_111__123Graph_XCHART_13" localSheetId="2" hidden="1">'[5]Key-Ind'!#REF!</definedName>
    <definedName name="_111__123Graph_XCHART_13" hidden="1">'[5]Key-Ind'!#REF!</definedName>
    <definedName name="_113__123Graph_XCHART_14" localSheetId="2" hidden="1">'[5]Key-Ind'!#REF!</definedName>
    <definedName name="_113__123Graph_XCHART_14" hidden="1">'[5]Key-Ind'!#REF!</definedName>
    <definedName name="_114__123Graph_LBL_ACHART_9" localSheetId="2" hidden="1">[5]Fixexp_analysis!#REF!</definedName>
    <definedName name="_114__123Graph_LBL_ACHART_9" hidden="1">[5]Fixexp_analysis!#REF!</definedName>
    <definedName name="_115__123Graph_XCHART_15" localSheetId="2" hidden="1">'[5]Key-Ind'!#REF!</definedName>
    <definedName name="_115__123Graph_XCHART_15" hidden="1">'[5]Key-Ind'!#REF!</definedName>
    <definedName name="_117__123Graph_LBL_BCHART_1" localSheetId="2" hidden="1">[4]keyind!#REF!</definedName>
    <definedName name="_117__123Graph_LBL_BCHART_1" hidden="1">[4]keyind!#REF!</definedName>
    <definedName name="_117__123Graph_XCHART_16" localSheetId="2" hidden="1">'[5]Key-Ind'!#REF!</definedName>
    <definedName name="_117__123Graph_XCHART_16" hidden="1">'[5]Key-Ind'!#REF!</definedName>
    <definedName name="_12__123Graph_ACHART_12" localSheetId="2" hidden="1">'[5]Key-Ind'!#REF!</definedName>
    <definedName name="_12__123Graph_ACHART_12" hidden="1">'[5]Key-Ind'!#REF!</definedName>
    <definedName name="_12__123Graph_ACHART_5" localSheetId="2" hidden="1">[5]Fixexp_analysis!#REF!</definedName>
    <definedName name="_12__123Graph_ACHART_5" hidden="1">[5]Fixexp_analysis!#REF!</definedName>
    <definedName name="_12__123Graph_BChart_4" hidden="1">[2]Model!$C$469:$C$475</definedName>
    <definedName name="_120__123Graph_LBL_BCHART_2" localSheetId="2" hidden="1">[4]keyind!#REF!</definedName>
    <definedName name="_120__123Graph_LBL_BCHART_2" hidden="1">[4]keyind!#REF!</definedName>
    <definedName name="_120__123Graph_XCHART_2" localSheetId="2" hidden="1">[4]keyind!#REF!</definedName>
    <definedName name="_120__123Graph_XCHART_2" hidden="1">[4]keyind!#REF!</definedName>
    <definedName name="_123__123Graph_LBL_BCHART_3" localSheetId="2" hidden="1">[4]keyind!#REF!</definedName>
    <definedName name="_123__123Graph_LBL_BCHART_3" hidden="1">[4]keyind!#REF!</definedName>
    <definedName name="_123__123Graph_XCHART_3" localSheetId="2" hidden="1">[4]keyind!#REF!</definedName>
    <definedName name="_123__123Graph_XCHART_3" hidden="1">[4]keyind!#REF!</definedName>
    <definedName name="_126__123Graph_LBL_BCHART_4" localSheetId="2" hidden="1">[4]keyind!#REF!</definedName>
    <definedName name="_126__123Graph_LBL_BCHART_4" hidden="1">[4]keyind!#REF!</definedName>
    <definedName name="_126__123Graph_XCHART_4" localSheetId="2" hidden="1">[4]keyind!#REF!</definedName>
    <definedName name="_126__123Graph_XCHART_4" hidden="1">[4]keyind!#REF!</definedName>
    <definedName name="_128__123Graph_XCHART_5" localSheetId="2" hidden="1">'[5]Key-Ind'!#REF!</definedName>
    <definedName name="_128__123Graph_XCHART_5" hidden="1">'[5]Key-Ind'!#REF!</definedName>
    <definedName name="_129__123Graph_XCHART_1" localSheetId="2" hidden="1">[4]keyind!#REF!</definedName>
    <definedName name="_129__123Graph_XCHART_1" hidden="1">[4]keyind!#REF!</definedName>
    <definedName name="_13__123Graph_ACHART_14" localSheetId="2" hidden="1">'[5]Key-Ind'!#REF!</definedName>
    <definedName name="_13__123Graph_ACHART_14" hidden="1">'[5]Key-Ind'!#REF!</definedName>
    <definedName name="_13__123Graph_ACHART_6" localSheetId="2" hidden="1">[4]keyind!#REF!</definedName>
    <definedName name="_13__123Graph_ACHART_6" hidden="1">[4]keyind!#REF!</definedName>
    <definedName name="_13__123Graph_XChart_2" hidden="1">[2]Model!$A$453:$A$462</definedName>
    <definedName name="_130__123Graph_XCHART_6" localSheetId="2" hidden="1">'[5]Key-Ind'!#REF!</definedName>
    <definedName name="_130__123Graph_XCHART_6" hidden="1">'[5]Key-Ind'!#REF!</definedName>
    <definedName name="_132__123Graph_XCHART_10" localSheetId="2" hidden="1">[5]Fixexp_analysis!#REF!</definedName>
    <definedName name="_132__123Graph_XCHART_10" hidden="1">[5]Fixexp_analysis!#REF!</definedName>
    <definedName name="_133__123Graph_XCHART_7" localSheetId="2" hidden="1">[4]keyind!#REF!</definedName>
    <definedName name="_133__123Graph_XCHART_7" hidden="1">[4]keyind!#REF!</definedName>
    <definedName name="_135__123Graph_XCHART_11" localSheetId="2" hidden="1">[5]Fixexp_analysis!#REF!</definedName>
    <definedName name="_135__123Graph_XCHART_11" hidden="1">[5]Fixexp_analysis!#REF!</definedName>
    <definedName name="_135__123Graph_XCHART_8" localSheetId="2" hidden="1">'[5]Key-Ind'!#REF!</definedName>
    <definedName name="_135__123Graph_XCHART_8" hidden="1">'[5]Key-Ind'!#REF!</definedName>
    <definedName name="_137__123Graph_XCHART_9" localSheetId="2" hidden="1">[5]Fixexp_analysis!#REF!</definedName>
    <definedName name="_137__123Graph_XCHART_9" hidden="1">[5]Fixexp_analysis!#REF!</definedName>
    <definedName name="_138__123Graph_XCHART_12" localSheetId="2" hidden="1">'[5]Key-Ind'!#REF!</definedName>
    <definedName name="_138__123Graph_XCHART_12" hidden="1">'[5]Key-Ind'!#REF!</definedName>
    <definedName name="_14__123Graph_AChart_2" hidden="1">[2]Model!$B$453:$B$462</definedName>
    <definedName name="_14__123Graph_ACHART_3" localSheetId="2" hidden="1">[4]keyind!#REF!</definedName>
    <definedName name="_14__123Graph_ACHART_3" hidden="1">[4]keyind!#REF!</definedName>
    <definedName name="_14__123Graph_ACHART_7" localSheetId="2" hidden="1">[4]keyind!#REF!</definedName>
    <definedName name="_14__123Graph_ACHART_7" hidden="1">[4]keyind!#REF!</definedName>
    <definedName name="_14__123Graph_XChart_3" hidden="1">[2]Model!$A$483:$A$489</definedName>
    <definedName name="_141__123Graph_XCHART_13" localSheetId="2" hidden="1">'[5]Key-Ind'!#REF!</definedName>
    <definedName name="_141__123Graph_XCHART_13" hidden="1">'[5]Key-Ind'!#REF!</definedName>
    <definedName name="_144__123Graph_XCHART_14" localSheetId="2" hidden="1">'[5]Key-Ind'!#REF!</definedName>
    <definedName name="_144__123Graph_XCHART_14" hidden="1">'[5]Key-Ind'!#REF!</definedName>
    <definedName name="_147__123Graph_XCHART_15" localSheetId="2" hidden="1">'[5]Key-Ind'!#REF!</definedName>
    <definedName name="_147__123Graph_XCHART_15" hidden="1">'[5]Key-Ind'!#REF!</definedName>
    <definedName name="_15__123Graph_ACHART_13" localSheetId="2" hidden="1">'[5]Key-Ind'!#REF!</definedName>
    <definedName name="_15__123Graph_ACHART_13" hidden="1">'[5]Key-Ind'!#REF!</definedName>
    <definedName name="_15__123Graph_ACHART_15" localSheetId="2" hidden="1">'[5]Key-Ind'!#REF!</definedName>
    <definedName name="_15__123Graph_ACHART_15" hidden="1">'[5]Key-Ind'!#REF!</definedName>
    <definedName name="_15__123Graph_AChart_2" hidden="1">[2]Model!$B$453:$B$462</definedName>
    <definedName name="_15__123Graph_AChart_3" hidden="1">[2]Model!$B$483:$B$489</definedName>
    <definedName name="_15__123Graph_ACHART_8" localSheetId="2" hidden="1">[5]Fixexp_analysis!#REF!</definedName>
    <definedName name="_15__123Graph_ACHART_8" hidden="1">[5]Fixexp_analysis!#REF!</definedName>
    <definedName name="_15__123Graph_XChart_4" hidden="1">[2]Model!$A$469:$A$475</definedName>
    <definedName name="_150__123Graph_XCHART_16" localSheetId="2" hidden="1">'[5]Key-Ind'!#REF!</definedName>
    <definedName name="_150__123Graph_XCHART_16" hidden="1">'[5]Key-Ind'!#REF!</definedName>
    <definedName name="_153__123Graph_XCHART_2" localSheetId="2" hidden="1">[4]keyind!#REF!</definedName>
    <definedName name="_153__123Graph_XCHART_2" hidden="1">[4]keyind!#REF!</definedName>
    <definedName name="_156__123Graph_XCHART_3" localSheetId="2" hidden="1">[4]keyind!#REF!</definedName>
    <definedName name="_156__123Graph_XCHART_3" hidden="1">[4]keyind!#REF!</definedName>
    <definedName name="_159__123Graph_XCHART_4" localSheetId="2" hidden="1">[4]keyind!#REF!</definedName>
    <definedName name="_159__123Graph_XCHART_4" hidden="1">[4]keyind!#REF!</definedName>
    <definedName name="_16__123Graph_AChart_3" hidden="1">[2]Model!$B$483:$B$489</definedName>
    <definedName name="_16__123Graph_AChart_4" hidden="1">[2]Model!$B$469:$B$475</definedName>
    <definedName name="_16__123Graph_ACHART_9" localSheetId="2" hidden="1">[5]Fixexp_analysis!#REF!</definedName>
    <definedName name="_16__123Graph_ACHART_9" hidden="1">[5]Fixexp_analysis!#REF!</definedName>
    <definedName name="_162__123Graph_XCHART_5" localSheetId="2" hidden="1">'[5]Key-Ind'!#REF!</definedName>
    <definedName name="_162__123Graph_XCHART_5" hidden="1">'[5]Key-Ind'!#REF!</definedName>
    <definedName name="_165__123Graph_XCHART_6" localSheetId="2" hidden="1">'[5]Key-Ind'!#REF!</definedName>
    <definedName name="_165__123Graph_XCHART_6" hidden="1">'[5]Key-Ind'!#REF!</definedName>
    <definedName name="_168__123Graph_XCHART_7" localSheetId="2" hidden="1">[4]keyind!#REF!</definedName>
    <definedName name="_168__123Graph_XCHART_7" hidden="1">[4]keyind!#REF!</definedName>
    <definedName name="_17__123Graph_ACHART_16" localSheetId="2" hidden="1">'[5]Key-Ind'!#REF!</definedName>
    <definedName name="_17__123Graph_ACHART_16" hidden="1">'[5]Key-Ind'!#REF!</definedName>
    <definedName name="_17__123Graph_AChart_4" hidden="1">[2]Model!$B$469:$B$475</definedName>
    <definedName name="_17__123Graph_BCHART_1" localSheetId="2" hidden="1">[4]keyind!#REF!</definedName>
    <definedName name="_17__123Graph_BCHART_1" hidden="1">[4]keyind!#REF!</definedName>
    <definedName name="_17__123Graph_BChart_3" hidden="1">[2]Model!$C$483:$C$489</definedName>
    <definedName name="_171__123Graph_XCHART_8" localSheetId="2" hidden="1">'[5]Key-Ind'!#REF!</definedName>
    <definedName name="_171__123Graph_XCHART_8" hidden="1">'[5]Key-Ind'!#REF!</definedName>
    <definedName name="_174__123Graph_XCHART_9" localSheetId="2" hidden="1">[5]Fixexp_analysis!#REF!</definedName>
    <definedName name="_174__123Graph_XCHART_9" hidden="1">[5]Fixexp_analysis!#REF!</definedName>
    <definedName name="_18__123Graph_ACHART_14" localSheetId="2" hidden="1">'[5]Key-Ind'!#REF!</definedName>
    <definedName name="_18__123Graph_ACHART_14" hidden="1">'[5]Key-Ind'!#REF!</definedName>
    <definedName name="_18__123Graph_ACHART_5" localSheetId="2" hidden="1">[5]Fixexp_analysis!#REF!</definedName>
    <definedName name="_18__123Graph_ACHART_5" hidden="1">[5]Fixexp_analysis!#REF!</definedName>
    <definedName name="_18__123Graph_BCHART_2" localSheetId="2" hidden="1">[4]keyind!#REF!</definedName>
    <definedName name="_18__123Graph_BCHART_2" hidden="1">[4]keyind!#REF!</definedName>
    <definedName name="_18__123Graph_BChart_3" hidden="1">[2]Model!$C$483:$C$489</definedName>
    <definedName name="_18__123Graph_BChart_4" hidden="1">[2]Model!$C$469:$C$475</definedName>
    <definedName name="_19__123Graph_ACHART_2" localSheetId="2" hidden="1">[4]keyind!#REF!</definedName>
    <definedName name="_19__123Graph_ACHART_2" hidden="1">[4]keyind!#REF!</definedName>
    <definedName name="_19__123Graph_BCHART_3" localSheetId="2" hidden="1">[4]keyind!#REF!</definedName>
    <definedName name="_19__123Graph_BCHART_3" hidden="1">[4]keyind!#REF!</definedName>
    <definedName name="_19__123Graph_BChart_4" hidden="1">[2]Model!$C$469:$C$475</definedName>
    <definedName name="_19__123Graph_XChart_2" hidden="1">[2]Model!$A$453:$A$462</definedName>
    <definedName name="_2__123Graph_ACHART_10" localSheetId="2" hidden="1">[5]Fixexp_analysis!#REF!</definedName>
    <definedName name="_2__123Graph_ACHART_10" hidden="1">[5]Fixexp_analysis!#REF!</definedName>
    <definedName name="_20__123Graph_BCHART_4" localSheetId="2" hidden="1">[4]keyind!#REF!</definedName>
    <definedName name="_20__123Graph_BCHART_4" hidden="1">[4]keyind!#REF!</definedName>
    <definedName name="_20__123Graph_XChart_2" hidden="1">[2]Model!$A$453:$A$462</definedName>
    <definedName name="_20__123Graph_XChart_3" hidden="1">[2]Model!$A$483:$A$489</definedName>
    <definedName name="_21__123Graph_ACHART_15" localSheetId="2" hidden="1">'[5]Key-Ind'!#REF!</definedName>
    <definedName name="_21__123Graph_ACHART_15" hidden="1">'[5]Key-Ind'!#REF!</definedName>
    <definedName name="_21__123Graph_ACHART_6" localSheetId="2" hidden="1">[4]keyind!#REF!</definedName>
    <definedName name="_21__123Graph_ACHART_6" hidden="1">[4]keyind!#REF!</definedName>
    <definedName name="_21__123Graph_BCHART_6" localSheetId="2" hidden="1">[4]keyind!#REF!</definedName>
    <definedName name="_21__123Graph_BCHART_6" hidden="1">[4]keyind!#REF!</definedName>
    <definedName name="_21__123Graph_XChart_3" hidden="1">[2]Model!$A$483:$A$489</definedName>
    <definedName name="_21__123Graph_XChart_4" hidden="1">[2]Model!$A$469:$A$475</definedName>
    <definedName name="_22__123Graph_AChart_2" hidden="1">[2]Model!$B$453:$B$462</definedName>
    <definedName name="_22__123Graph_ACHART_3" localSheetId="2" hidden="1">[4]keyind!#REF!</definedName>
    <definedName name="_22__123Graph_ACHART_3" hidden="1">[4]keyind!#REF!</definedName>
    <definedName name="_22__123Graph_BCHART_7" localSheetId="2" hidden="1">[4]keyind!#REF!</definedName>
    <definedName name="_22__123Graph_BCHART_7" hidden="1">[4]keyind!#REF!</definedName>
    <definedName name="_22__123Graph_XChart_4" hidden="1">[2]Model!$A$469:$A$475</definedName>
    <definedName name="_23__123Graph_AChart_3" hidden="1">[2]Model!$B$483:$B$489</definedName>
    <definedName name="_23__123Graph_LBL_ACHART_1" localSheetId="2" hidden="1">[4]keyind!#REF!</definedName>
    <definedName name="_23__123Graph_LBL_ACHART_1" hidden="1">[4]keyind!#REF!</definedName>
    <definedName name="_24__123Graph_ACHART_16" localSheetId="2" hidden="1">'[5]Key-Ind'!#REF!</definedName>
    <definedName name="_24__123Graph_ACHART_16" hidden="1">'[5]Key-Ind'!#REF!</definedName>
    <definedName name="_24__123Graph_AChart_4" hidden="1">[2]Model!$B$469:$B$475</definedName>
    <definedName name="_24__123Graph_ACHART_7" localSheetId="2" hidden="1">[4]keyind!#REF!</definedName>
    <definedName name="_24__123Graph_ACHART_7" hidden="1">[4]keyind!#REF!</definedName>
    <definedName name="_24__123Graph_LBL_ACHART_10" localSheetId="2" hidden="1">[5]Fixexp_analysis!#REF!</definedName>
    <definedName name="_24__123Graph_LBL_ACHART_10" hidden="1">[5]Fixexp_analysis!#REF!</definedName>
    <definedName name="_25__123Graph_ACHART_4" localSheetId="2" hidden="1">[4]keyind!#REF!</definedName>
    <definedName name="_25__123Graph_ACHART_4" hidden="1">[4]keyind!#REF!</definedName>
    <definedName name="_25__123Graph_ACHART_8" localSheetId="2" hidden="1">[5]Fixexp_analysis!#REF!</definedName>
    <definedName name="_25__123Graph_ACHART_8" hidden="1">[5]Fixexp_analysis!#REF!</definedName>
    <definedName name="_25__123Graph_BChart_3" hidden="1">[2]Model!$C$483:$C$489</definedName>
    <definedName name="_25__123Graph_LBL_ACHART_11" localSheetId="2" hidden="1">[5]Fixexp_analysis!#REF!</definedName>
    <definedName name="_25__123Graph_LBL_ACHART_11" hidden="1">[5]Fixexp_analysis!#REF!</definedName>
    <definedName name="_26__123Graph_ACHART_9" localSheetId="2" hidden="1">[5]Fixexp_analysis!#REF!</definedName>
    <definedName name="_26__123Graph_ACHART_9" hidden="1">[5]Fixexp_analysis!#REF!</definedName>
    <definedName name="_26__123Graph_BChart_4" hidden="1">[2]Model!$C$469:$C$475</definedName>
    <definedName name="_26__123Graph_LBL_ACHART_12" localSheetId="2" hidden="1">'[5]Key-Ind'!#REF!</definedName>
    <definedName name="_26__123Graph_LBL_ACHART_12" hidden="1">'[5]Key-Ind'!#REF!</definedName>
    <definedName name="_27__123Graph_ACHART_2" localSheetId="2" hidden="1">[4]keyind!#REF!</definedName>
    <definedName name="_27__123Graph_ACHART_2" hidden="1">[4]keyind!#REF!</definedName>
    <definedName name="_27__123Graph_ACHART_5" localSheetId="2" hidden="1">[5]Fixexp_analysis!#REF!</definedName>
    <definedName name="_27__123Graph_ACHART_5" hidden="1">[5]Fixexp_analysis!#REF!</definedName>
    <definedName name="_27__123Graph_LBL_ACHART_13" localSheetId="2" hidden="1">'[5]Key-Ind'!#REF!</definedName>
    <definedName name="_27__123Graph_LBL_ACHART_13" hidden="1">'[5]Key-Ind'!#REF!</definedName>
    <definedName name="_27__123Graph_XChart_2" hidden="1">[2]Model!$A$453:$A$462</definedName>
    <definedName name="_28__123Graph_AChart_2" hidden="1">[2]Model!$B$453:$B$462</definedName>
    <definedName name="_28__123Graph_LBL_ACHART_14" localSheetId="2" hidden="1">'[5]Key-Ind'!#REF!</definedName>
    <definedName name="_28__123Graph_LBL_ACHART_14" hidden="1">'[5]Key-Ind'!#REF!</definedName>
    <definedName name="_28__123Graph_XChart_3" hidden="1">[2]Model!$A$483:$A$489</definedName>
    <definedName name="_29__123Graph_AChart_3" hidden="1">[2]Model!$B$483:$B$489</definedName>
    <definedName name="_29__123Graph_BCHART_1" localSheetId="2" hidden="1">[4]keyind!#REF!</definedName>
    <definedName name="_29__123Graph_BCHART_1" hidden="1">[4]keyind!#REF!</definedName>
    <definedName name="_29__123Graph_LBL_ACHART_15" localSheetId="2" hidden="1">'[5]Key-Ind'!#REF!</definedName>
    <definedName name="_29__123Graph_LBL_ACHART_15" hidden="1">'[5]Key-Ind'!#REF!</definedName>
    <definedName name="_29__123Graph_XChart_4" hidden="1">[2]Model!$A$469:$A$475</definedName>
    <definedName name="_3__123Graph_ACHART_1" localSheetId="2" hidden="1">[4]keyind!#REF!</definedName>
    <definedName name="_3__123Graph_ACHART_1" hidden="1">[4]keyind!#REF!</definedName>
    <definedName name="_3__123Graph_ACHART_11" localSheetId="2" hidden="1">[5]Fixexp_analysis!#REF!</definedName>
    <definedName name="_3__123Graph_ACHART_11" hidden="1">[5]Fixexp_analysis!#REF!</definedName>
    <definedName name="_30__123Graph_ACHART_3" localSheetId="2" hidden="1">[4]keyind!#REF!</definedName>
    <definedName name="_30__123Graph_ACHART_3" hidden="1">[4]keyind!#REF!</definedName>
    <definedName name="_30__123Graph_AChart_4" hidden="1">[2]Model!$B$469:$B$475</definedName>
    <definedName name="_30__123Graph_ACHART_6" localSheetId="2" hidden="1">[4]keyind!#REF!</definedName>
    <definedName name="_30__123Graph_ACHART_6" hidden="1">[4]keyind!#REF!</definedName>
    <definedName name="_30__123Graph_BCHART_2" localSheetId="2" hidden="1">[4]keyind!#REF!</definedName>
    <definedName name="_30__123Graph_BCHART_2" hidden="1">[4]keyind!#REF!</definedName>
    <definedName name="_30__123Graph_LBL_ACHART_16" localSheetId="2" hidden="1">'[5]Key-Ind'!#REF!</definedName>
    <definedName name="_30__123Graph_LBL_ACHART_16" hidden="1">'[5]Key-Ind'!#REF!</definedName>
    <definedName name="_31__123Graph_BChart_3" hidden="1">[2]Model!$C$483:$C$489</definedName>
    <definedName name="_31__123Graph_LBL_ACHART_2" localSheetId="2" hidden="1">[4]keyind!#REF!</definedName>
    <definedName name="_31__123Graph_LBL_ACHART_2" hidden="1">[4]keyind!#REF!</definedName>
    <definedName name="_32__123Graph_BChart_4" hidden="1">[2]Model!$C$469:$C$475</definedName>
    <definedName name="_32__123Graph_LBL_ACHART_3" localSheetId="2" hidden="1">[4]keyind!#REF!</definedName>
    <definedName name="_32__123Graph_LBL_ACHART_3" hidden="1">[4]keyind!#REF!</definedName>
    <definedName name="_33__123Graph_ACHART_4" localSheetId="2" hidden="1">[4]keyind!#REF!</definedName>
    <definedName name="_33__123Graph_ACHART_4" hidden="1">[4]keyind!#REF!</definedName>
    <definedName name="_33__123Graph_ACHART_7" localSheetId="2" hidden="1">[4]keyind!#REF!</definedName>
    <definedName name="_33__123Graph_ACHART_7" hidden="1">[4]keyind!#REF!</definedName>
    <definedName name="_33__123Graph_BCHART_3" localSheetId="2" hidden="1">[4]keyind!#REF!</definedName>
    <definedName name="_33__123Graph_BCHART_3" hidden="1">[4]keyind!#REF!</definedName>
    <definedName name="_33__123Graph_LBL_ACHART_4" localSheetId="2" hidden="1">[4]keyind!#REF!</definedName>
    <definedName name="_33__123Graph_LBL_ACHART_4" hidden="1">[4]keyind!#REF!</definedName>
    <definedName name="_33__123Graph_XChart_2" hidden="1">[2]Model!$A$453:$A$462</definedName>
    <definedName name="_34__123Graph_AChart_2" hidden="1">[2]Model!$B$453:$B$462</definedName>
    <definedName name="_34__123Graph_LBL_ACHART_5" localSheetId="2" hidden="1">[5]Fixexp_analysis!#REF!</definedName>
    <definedName name="_34__123Graph_LBL_ACHART_5" hidden="1">[5]Fixexp_analysis!#REF!</definedName>
    <definedName name="_34__123Graph_XChart_3" hidden="1">[2]Model!$A$483:$A$489</definedName>
    <definedName name="_35__123Graph_AChart_3" hidden="1">[2]Model!$B$483:$B$489</definedName>
    <definedName name="_35__123Graph_ACHART_8" localSheetId="2" hidden="1">[5]Fixexp_analysis!#REF!</definedName>
    <definedName name="_35__123Graph_ACHART_8" hidden="1">[5]Fixexp_analysis!#REF!</definedName>
    <definedName name="_35__123Graph_LBL_ACHART_6" localSheetId="2" hidden="1">'[5]Key-Ind'!#REF!</definedName>
    <definedName name="_35__123Graph_LBL_ACHART_6" hidden="1">'[5]Key-Ind'!#REF!</definedName>
    <definedName name="_35__123Graph_XChart_4" hidden="1">[2]Model!$A$469:$A$475</definedName>
    <definedName name="_36__123Graph_AChart_4" hidden="1">[2]Model!$B$469:$B$475</definedName>
    <definedName name="_36__123Graph_ACHART_5" localSheetId="2" hidden="1">[5]Fixexp_analysis!#REF!</definedName>
    <definedName name="_36__123Graph_ACHART_5" hidden="1">[5]Fixexp_analysis!#REF!</definedName>
    <definedName name="_36__123Graph_BCHART_4" localSheetId="2" hidden="1">[4]keyind!#REF!</definedName>
    <definedName name="_36__123Graph_BCHART_4" hidden="1">[4]keyind!#REF!</definedName>
    <definedName name="_36__123Graph_LBL_ACHART_7" localSheetId="2" hidden="1">'[5]Key-Ind'!#REF!</definedName>
    <definedName name="_36__123Graph_LBL_ACHART_7" hidden="1">'[5]Key-Ind'!#REF!</definedName>
    <definedName name="_37__123Graph_ACHART_9" localSheetId="2" hidden="1">[5]Fixexp_analysis!#REF!</definedName>
    <definedName name="_37__123Graph_ACHART_9" hidden="1">[5]Fixexp_analysis!#REF!</definedName>
    <definedName name="_37__123Graph_BChart_3" hidden="1">[2]Model!$C$483:$C$489</definedName>
    <definedName name="_37__123Graph_LBL_ACHART_8" localSheetId="2" hidden="1">[5]Fixexp_analysis!#REF!</definedName>
    <definedName name="_37__123Graph_LBL_ACHART_8" hidden="1">[5]Fixexp_analysis!#REF!</definedName>
    <definedName name="_38__123Graph_BChart_4" hidden="1">[2]Model!$C$469:$C$475</definedName>
    <definedName name="_38__123Graph_LBL_ACHART_9" localSheetId="2" hidden="1">[5]Fixexp_analysis!#REF!</definedName>
    <definedName name="_38__123Graph_LBL_ACHART_9" hidden="1">[5]Fixexp_analysis!#REF!</definedName>
    <definedName name="_39__123Graph_ACHART_6" localSheetId="2" hidden="1">[4]keyind!#REF!</definedName>
    <definedName name="_39__123Graph_ACHART_6" hidden="1">[4]keyind!#REF!</definedName>
    <definedName name="_39__123Graph_BCHART_6" localSheetId="2" hidden="1">[4]keyind!#REF!</definedName>
    <definedName name="_39__123Graph_BCHART_6" hidden="1">[4]keyind!#REF!</definedName>
    <definedName name="_39__123Graph_LBL_BCHART_1" localSheetId="2" hidden="1">[4]keyind!#REF!</definedName>
    <definedName name="_39__123Graph_LBL_BCHART_1" hidden="1">[4]keyind!#REF!</definedName>
    <definedName name="_39__123Graph_XChart_2" hidden="1">[2]Model!$A$453:$A$462</definedName>
    <definedName name="_4__123Graph_ACHART_10" localSheetId="2" hidden="1">[5]Fixexp_analysis!#REF!</definedName>
    <definedName name="_4__123Graph_ACHART_10" hidden="1">[5]Fixexp_analysis!#REF!</definedName>
    <definedName name="_4__123Graph_ACHART_12" localSheetId="2" hidden="1">'[5]Key-Ind'!#REF!</definedName>
    <definedName name="_4__123Graph_ACHART_12" hidden="1">'[5]Key-Ind'!#REF!</definedName>
    <definedName name="_40__123Graph_BCHART_1" localSheetId="2" hidden="1">[4]keyind!#REF!</definedName>
    <definedName name="_40__123Graph_BCHART_1" hidden="1">[4]keyind!#REF!</definedName>
    <definedName name="_40__123Graph_LBL_BCHART_2" localSheetId="2" hidden="1">[4]keyind!#REF!</definedName>
    <definedName name="_40__123Graph_LBL_BCHART_2" hidden="1">[4]keyind!#REF!</definedName>
    <definedName name="_40__123Graph_XChart_3" hidden="1">[2]Model!$A$483:$A$489</definedName>
    <definedName name="_41__123Graph_LBL_BCHART_3" localSheetId="2" hidden="1">[4]keyind!#REF!</definedName>
    <definedName name="_41__123Graph_LBL_BCHART_3" hidden="1">[4]keyind!#REF!</definedName>
    <definedName name="_41__123Graph_XChart_4" hidden="1">[2]Model!$A$469:$A$475</definedName>
    <definedName name="_42__123Graph_ACHART_7" localSheetId="2" hidden="1">[4]keyind!#REF!</definedName>
    <definedName name="_42__123Graph_ACHART_7" hidden="1">[4]keyind!#REF!</definedName>
    <definedName name="_42__123Graph_BCHART_2" localSheetId="2" hidden="1">[4]keyind!#REF!</definedName>
    <definedName name="_42__123Graph_BCHART_2" hidden="1">[4]keyind!#REF!</definedName>
    <definedName name="_42__123Graph_BCHART_7" localSheetId="2" hidden="1">[4]keyind!#REF!</definedName>
    <definedName name="_42__123Graph_BCHART_7" hidden="1">[4]keyind!#REF!</definedName>
    <definedName name="_42__123Graph_LBL_BCHART_4" localSheetId="2" hidden="1">[4]keyind!#REF!</definedName>
    <definedName name="_42__123Graph_LBL_BCHART_4" hidden="1">[4]keyind!#REF!</definedName>
    <definedName name="_43__123Graph_XCHART_1" localSheetId="2" hidden="1">[4]keyind!#REF!</definedName>
    <definedName name="_43__123Graph_XCHART_1" hidden="1">[4]keyind!#REF!</definedName>
    <definedName name="_43B" localSheetId="2">#REF!</definedName>
    <definedName name="_43B">#REF!</definedName>
    <definedName name="_44__123Graph_XCHART_10" localSheetId="2" hidden="1">[5]Fixexp_analysis!#REF!</definedName>
    <definedName name="_44__123Graph_XCHART_10" hidden="1">[5]Fixexp_analysis!#REF!</definedName>
    <definedName name="_45__123Graph_ACHART_8" localSheetId="2" hidden="1">[5]Fixexp_analysis!#REF!</definedName>
    <definedName name="_45__123Graph_ACHART_8" hidden="1">[5]Fixexp_analysis!#REF!</definedName>
    <definedName name="_45__123Graph_BCHART_3" localSheetId="2" hidden="1">[4]keyind!#REF!</definedName>
    <definedName name="_45__123Graph_BCHART_3" hidden="1">[4]keyind!#REF!</definedName>
    <definedName name="_45__123Graph_LBL_ACHART_1" localSheetId="2" hidden="1">[4]keyind!#REF!</definedName>
    <definedName name="_45__123Graph_LBL_ACHART_1" hidden="1">[4]keyind!#REF!</definedName>
    <definedName name="_45__123Graph_XCHART_11" localSheetId="2" hidden="1">[5]Fixexp_analysis!#REF!</definedName>
    <definedName name="_45__123Graph_XCHART_11" hidden="1">[5]Fixexp_analysis!#REF!</definedName>
    <definedName name="_46__123Graph_LBL_ACHART_10" localSheetId="2" hidden="1">[5]Fixexp_analysis!#REF!</definedName>
    <definedName name="_46__123Graph_LBL_ACHART_10" hidden="1">[5]Fixexp_analysis!#REF!</definedName>
    <definedName name="_46__123Graph_XCHART_12" localSheetId="2" hidden="1">'[5]Key-Ind'!#REF!</definedName>
    <definedName name="_46__123Graph_XCHART_12" hidden="1">'[5]Key-Ind'!#REF!</definedName>
    <definedName name="_47__123Graph_LBL_ACHART_11" localSheetId="2" hidden="1">[5]Fixexp_analysis!#REF!</definedName>
    <definedName name="_47__123Graph_LBL_ACHART_11" hidden="1">[5]Fixexp_analysis!#REF!</definedName>
    <definedName name="_47__123Graph_XCHART_13" localSheetId="2" hidden="1">'[5]Key-Ind'!#REF!</definedName>
    <definedName name="_47__123Graph_XCHART_13" hidden="1">'[5]Key-Ind'!#REF!</definedName>
    <definedName name="_48__123Graph_AChart_2" hidden="1">[2]Model!$B$453:$B$462</definedName>
    <definedName name="_48__123Graph_ACHART_9" localSheetId="2" hidden="1">[5]Fixexp_analysis!#REF!</definedName>
    <definedName name="_48__123Graph_ACHART_9" hidden="1">[5]Fixexp_analysis!#REF!</definedName>
    <definedName name="_48__123Graph_BCHART_4" localSheetId="2" hidden="1">[4]keyind!#REF!</definedName>
    <definedName name="_48__123Graph_BCHART_4" hidden="1">[4]keyind!#REF!</definedName>
    <definedName name="_48__123Graph_LBL_ACHART_12" localSheetId="2" hidden="1">'[5]Key-Ind'!#REF!</definedName>
    <definedName name="_48__123Graph_LBL_ACHART_12" hidden="1">'[5]Key-Ind'!#REF!</definedName>
    <definedName name="_48__123Graph_XCHART_14" localSheetId="2" hidden="1">'[5]Key-Ind'!#REF!</definedName>
    <definedName name="_48__123Graph_XCHART_14" hidden="1">'[5]Key-Ind'!#REF!</definedName>
    <definedName name="_49__123Graph_AChart_3" hidden="1">[2]Model!$B$483:$B$489</definedName>
    <definedName name="_49__123Graph_LBL_ACHART_13" localSheetId="2" hidden="1">'[5]Key-Ind'!#REF!</definedName>
    <definedName name="_49__123Graph_LBL_ACHART_13" hidden="1">'[5]Key-Ind'!#REF!</definedName>
    <definedName name="_49__123Graph_XCHART_15" localSheetId="2" hidden="1">'[5]Key-Ind'!#REF!</definedName>
    <definedName name="_49__123Graph_XCHART_15" hidden="1">'[5]Key-Ind'!#REF!</definedName>
    <definedName name="_5__123Graph_ACHART_10" localSheetId="2" hidden="1">[5]Fixexp_analysis!#REF!</definedName>
    <definedName name="_5__123Graph_ACHART_10" hidden="1">[5]Fixexp_analysis!#REF!</definedName>
    <definedName name="_5__123Graph_ACHART_11" localSheetId="2" hidden="1">[5]Fixexp_analysis!#REF!</definedName>
    <definedName name="_5__123Graph_ACHART_11" hidden="1">[5]Fixexp_analysis!#REF!</definedName>
    <definedName name="_5__123Graph_ACHART_13" localSheetId="2" hidden="1">'[5]Key-Ind'!#REF!</definedName>
    <definedName name="_5__123Graph_ACHART_13" hidden="1">'[5]Key-Ind'!#REF!</definedName>
    <definedName name="_50__123Graph_AChart_4" hidden="1">[2]Model!$B$469:$B$475</definedName>
    <definedName name="_50__123Graph_LBL_ACHART_14" localSheetId="2" hidden="1">'[5]Key-Ind'!#REF!</definedName>
    <definedName name="_50__123Graph_LBL_ACHART_14" hidden="1">'[5]Key-Ind'!#REF!</definedName>
    <definedName name="_50__123Graph_XCHART_16" localSheetId="2" hidden="1">'[5]Key-Ind'!#REF!</definedName>
    <definedName name="_50__123Graph_XCHART_16" hidden="1">'[5]Key-Ind'!#REF!</definedName>
    <definedName name="_51__123Graph_BCHART_1" localSheetId="2" hidden="1">[4]keyind!#REF!</definedName>
    <definedName name="_51__123Graph_BCHART_1" hidden="1">[4]keyind!#REF!</definedName>
    <definedName name="_51__123Graph_BCHART_6" localSheetId="2" hidden="1">[4]keyind!#REF!</definedName>
    <definedName name="_51__123Graph_BCHART_6" hidden="1">[4]keyind!#REF!</definedName>
    <definedName name="_51__123Graph_LBL_ACHART_15" localSheetId="2" hidden="1">'[5]Key-Ind'!#REF!</definedName>
    <definedName name="_51__123Graph_LBL_ACHART_15" hidden="1">'[5]Key-Ind'!#REF!</definedName>
    <definedName name="_51__123Graph_XCHART_2" localSheetId="2" hidden="1">[4]keyind!#REF!</definedName>
    <definedName name="_51__123Graph_XCHART_2" hidden="1">[4]keyind!#REF!</definedName>
    <definedName name="_52__123Graph_BChart_4" hidden="1">[2]Model!$C$469:$C$475</definedName>
    <definedName name="_52__123Graph_LBL_ACHART_16" localSheetId="2" hidden="1">'[5]Key-Ind'!#REF!</definedName>
    <definedName name="_52__123Graph_LBL_ACHART_16" hidden="1">'[5]Key-Ind'!#REF!</definedName>
    <definedName name="_52__123Graph_XCHART_3" localSheetId="2" hidden="1">[4]keyind!#REF!</definedName>
    <definedName name="_52__123Graph_XCHART_3" hidden="1">[4]keyind!#REF!</definedName>
    <definedName name="_53__123Graph_LBL_ACHART_2" localSheetId="2" hidden="1">[4]keyind!#REF!</definedName>
    <definedName name="_53__123Graph_LBL_ACHART_2" hidden="1">[4]keyind!#REF!</definedName>
    <definedName name="_53__123Graph_XChart_2" hidden="1">[2]Model!$A$453:$A$462</definedName>
    <definedName name="_53__123Graph_XCHART_4" localSheetId="2" hidden="1">[4]keyind!#REF!</definedName>
    <definedName name="_53__123Graph_XCHART_4" hidden="1">[4]keyind!#REF!</definedName>
    <definedName name="_54__123Graph_BCHART_2" localSheetId="2" hidden="1">[4]keyind!#REF!</definedName>
    <definedName name="_54__123Graph_BCHART_2" hidden="1">[4]keyind!#REF!</definedName>
    <definedName name="_54__123Graph_BCHART_7" localSheetId="2" hidden="1">[4]keyind!#REF!</definedName>
    <definedName name="_54__123Graph_BCHART_7" hidden="1">[4]keyind!#REF!</definedName>
    <definedName name="_54__123Graph_XChart_3" hidden="1">[2]Model!$A$483:$A$489</definedName>
    <definedName name="_54__123Graph_XCHART_5" localSheetId="2" hidden="1">'[5]Key-Ind'!#REF!</definedName>
    <definedName name="_54__123Graph_XCHART_5" hidden="1">'[5]Key-Ind'!#REF!</definedName>
    <definedName name="_55__123Graph_XCHART_6" localSheetId="2" hidden="1">'[5]Key-Ind'!#REF!</definedName>
    <definedName name="_55__123Graph_XCHART_6" hidden="1">'[5]Key-Ind'!#REF!</definedName>
    <definedName name="_56__123Graph_LBL_ACHART_3" localSheetId="2" hidden="1">[4]keyind!#REF!</definedName>
    <definedName name="_56__123Graph_LBL_ACHART_3" hidden="1">[4]keyind!#REF!</definedName>
    <definedName name="_56__123Graph_XCHART_7" localSheetId="2" hidden="1">[4]keyind!#REF!</definedName>
    <definedName name="_56__123Graph_XCHART_7" hidden="1">[4]keyind!#REF!</definedName>
    <definedName name="_57__123Graph_BCHART_3" localSheetId="2" hidden="1">[4]keyind!#REF!</definedName>
    <definedName name="_57__123Graph_BCHART_3" hidden="1">[4]keyind!#REF!</definedName>
    <definedName name="_57__123Graph_LBL_ACHART_1" localSheetId="2" hidden="1">[4]keyind!#REF!</definedName>
    <definedName name="_57__123Graph_LBL_ACHART_1" hidden="1">[4]keyind!#REF!</definedName>
    <definedName name="_57__123Graph_XCHART_8" localSheetId="2" hidden="1">'[5]Key-Ind'!#REF!</definedName>
    <definedName name="_57__123Graph_XCHART_8" hidden="1">'[5]Key-Ind'!#REF!</definedName>
    <definedName name="_58__123Graph_XCHART_9" localSheetId="2" hidden="1">[5]Fixexp_analysis!#REF!</definedName>
    <definedName name="_58__123Graph_XCHART_9" hidden="1">[5]Fixexp_analysis!#REF!</definedName>
    <definedName name="_59__123Graph_LBL_ACHART_10" localSheetId="2" hidden="1">[5]Fixexp_analysis!#REF!</definedName>
    <definedName name="_59__123Graph_LBL_ACHART_10" hidden="1">[5]Fixexp_analysis!#REF!</definedName>
    <definedName name="_59__123Graph_LBL_ACHART_4" localSheetId="2" hidden="1">[4]keyind!#REF!</definedName>
    <definedName name="_59__123Graph_LBL_ACHART_4" hidden="1">[4]keyind!#REF!</definedName>
    <definedName name="_6__123Graph_ACHART_10" localSheetId="2" hidden="1">[5]Fixexp_analysis!#REF!</definedName>
    <definedName name="_6__123Graph_ACHART_10" hidden="1">[5]Fixexp_analysis!#REF!</definedName>
    <definedName name="_6__123Graph_ACHART_12" localSheetId="2" hidden="1">'[5]Key-Ind'!#REF!</definedName>
    <definedName name="_6__123Graph_ACHART_12" hidden="1">'[5]Key-Ind'!#REF!</definedName>
    <definedName name="_6__123Graph_ACHART_14" localSheetId="2" hidden="1">'[5]Key-Ind'!#REF!</definedName>
    <definedName name="_6__123Graph_ACHART_14" hidden="1">'[5]Key-Ind'!#REF!</definedName>
    <definedName name="_60__123Graph_BCHART_4" localSheetId="2" hidden="1">[4]keyind!#REF!</definedName>
    <definedName name="_60__123Graph_BCHART_4" hidden="1">[4]keyind!#REF!</definedName>
    <definedName name="_60__123Graph_LBL_ACHART_5" localSheetId="2" hidden="1">[5]Fixexp_analysis!#REF!</definedName>
    <definedName name="_60__123Graph_LBL_ACHART_5" hidden="1">[5]Fixexp_analysis!#REF!</definedName>
    <definedName name="_61__123Graph_LBL_ACHART_11" localSheetId="2" hidden="1">[5]Fixexp_analysis!#REF!</definedName>
    <definedName name="_61__123Graph_LBL_ACHART_11" hidden="1">[5]Fixexp_analysis!#REF!</definedName>
    <definedName name="_61__123Graph_LBL_ACHART_6" localSheetId="2" hidden="1">'[5]Key-Ind'!#REF!</definedName>
    <definedName name="_61__123Graph_LBL_ACHART_6" hidden="1">'[5]Key-Ind'!#REF!</definedName>
    <definedName name="_62__123Graph_LBL_ACHART_7" localSheetId="2" hidden="1">'[5]Key-Ind'!#REF!</definedName>
    <definedName name="_62__123Graph_LBL_ACHART_7" hidden="1">'[5]Key-Ind'!#REF!</definedName>
    <definedName name="_63__123Graph_BCHART_6" localSheetId="2" hidden="1">[4]keyind!#REF!</definedName>
    <definedName name="_63__123Graph_BCHART_6" hidden="1">[4]keyind!#REF!</definedName>
    <definedName name="_63__123Graph_LBL_ACHART_12" localSheetId="2" hidden="1">'[5]Key-Ind'!#REF!</definedName>
    <definedName name="_63__123Graph_LBL_ACHART_12" hidden="1">'[5]Key-Ind'!#REF!</definedName>
    <definedName name="_63__123Graph_LBL_ACHART_8" localSheetId="2" hidden="1">[5]Fixexp_analysis!#REF!</definedName>
    <definedName name="_63__123Graph_LBL_ACHART_8" hidden="1">[5]Fixexp_analysis!#REF!</definedName>
    <definedName name="_64__123Graph_LBL_ACHART_9" localSheetId="2" hidden="1">[5]Fixexp_analysis!#REF!</definedName>
    <definedName name="_64__123Graph_LBL_ACHART_9" hidden="1">[5]Fixexp_analysis!#REF!</definedName>
    <definedName name="_65__123Graph_LBL_ACHART_13" localSheetId="2" hidden="1">'[5]Key-Ind'!#REF!</definedName>
    <definedName name="_65__123Graph_LBL_ACHART_13" hidden="1">'[5]Key-Ind'!#REF!</definedName>
    <definedName name="_66__123Graph_BCHART_7" localSheetId="2" hidden="1">[4]keyind!#REF!</definedName>
    <definedName name="_66__123Graph_BCHART_7" hidden="1">[4]keyind!#REF!</definedName>
    <definedName name="_67__123Graph_LBL_ACHART_14" localSheetId="2" hidden="1">'[5]Key-Ind'!#REF!</definedName>
    <definedName name="_67__123Graph_LBL_ACHART_14" hidden="1">'[5]Key-Ind'!#REF!</definedName>
    <definedName name="_67__123Graph_LBL_BCHART_1" localSheetId="2" hidden="1">[4]keyind!#REF!</definedName>
    <definedName name="_67__123Graph_LBL_BCHART_1" hidden="1">[4]keyind!#REF!</definedName>
    <definedName name="_68__123Graph_LBL_BCHART_2" localSheetId="2" hidden="1">[4]keyind!#REF!</definedName>
    <definedName name="_68__123Graph_LBL_BCHART_2" hidden="1">[4]keyind!#REF!</definedName>
    <definedName name="_69__123Graph_LBL_ACHART_1" localSheetId="2" hidden="1">[4]keyind!#REF!</definedName>
    <definedName name="_69__123Graph_LBL_ACHART_1" hidden="1">[4]keyind!#REF!</definedName>
    <definedName name="_69__123Graph_LBL_ACHART_15" localSheetId="2" hidden="1">'[5]Key-Ind'!#REF!</definedName>
    <definedName name="_69__123Graph_LBL_ACHART_15" hidden="1">'[5]Key-Ind'!#REF!</definedName>
    <definedName name="_7__123Graph_ACHART_11" localSheetId="2" hidden="1">[5]Fixexp_analysis!#REF!</definedName>
    <definedName name="_7__123Graph_ACHART_11" hidden="1">[5]Fixexp_analysis!#REF!</definedName>
    <definedName name="_7__123Graph_ACHART_13" localSheetId="2" hidden="1">'[5]Key-Ind'!#REF!</definedName>
    <definedName name="_7__123Graph_ACHART_13" hidden="1">'[5]Key-Ind'!#REF!</definedName>
    <definedName name="_7__123Graph_ACHART_15" localSheetId="2" hidden="1">'[5]Key-Ind'!#REF!</definedName>
    <definedName name="_7__123Graph_ACHART_15" hidden="1">'[5]Key-Ind'!#REF!</definedName>
    <definedName name="_71__123Graph_LBL_ACHART_16" localSheetId="2" hidden="1">'[5]Key-Ind'!#REF!</definedName>
    <definedName name="_71__123Graph_LBL_ACHART_16" hidden="1">'[5]Key-Ind'!#REF!</definedName>
    <definedName name="_71__123Graph_LBL_BCHART_3" localSheetId="2" hidden="1">[4]keyind!#REF!</definedName>
    <definedName name="_71__123Graph_LBL_BCHART_3" hidden="1">[4]keyind!#REF!</definedName>
    <definedName name="_72__123Graph_LBL_ACHART_10" localSheetId="2" hidden="1">[5]Fixexp_analysis!#REF!</definedName>
    <definedName name="_72__123Graph_LBL_ACHART_10" hidden="1">[5]Fixexp_analysis!#REF!</definedName>
    <definedName name="_73__123Graph_LBL_ACHART_2" localSheetId="2" hidden="1">[4]keyind!#REF!</definedName>
    <definedName name="_73__123Graph_LBL_ACHART_2" hidden="1">[4]keyind!#REF!</definedName>
    <definedName name="_74__123Graph_LBL_BCHART_4" localSheetId="2" hidden="1">[4]keyind!#REF!</definedName>
    <definedName name="_74__123Graph_LBL_BCHART_4" hidden="1">[4]keyind!#REF!</definedName>
    <definedName name="_75__123Graph_LBL_ACHART_11" localSheetId="2" hidden="1">[5]Fixexp_analysis!#REF!</definedName>
    <definedName name="_75__123Graph_LBL_ACHART_11" hidden="1">[5]Fixexp_analysis!#REF!</definedName>
    <definedName name="_76__123Graph_LBL_ACHART_3" localSheetId="2" hidden="1">[4]keyind!#REF!</definedName>
    <definedName name="_76__123Graph_LBL_ACHART_3" hidden="1">[4]keyind!#REF!</definedName>
    <definedName name="_77__123Graph_XCHART_1" localSheetId="2" hidden="1">[4]keyind!#REF!</definedName>
    <definedName name="_77__123Graph_XCHART_1" hidden="1">[4]keyind!#REF!</definedName>
    <definedName name="_78__123Graph_LBL_ACHART_12" localSheetId="2" hidden="1">'[5]Key-Ind'!#REF!</definedName>
    <definedName name="_78__123Graph_LBL_ACHART_12" hidden="1">'[5]Key-Ind'!#REF!</definedName>
    <definedName name="_78__123Graph_XCHART_10" localSheetId="2" hidden="1">[5]Fixexp_analysis!#REF!</definedName>
    <definedName name="_78__123Graph_XCHART_10" hidden="1">[5]Fixexp_analysis!#REF!</definedName>
    <definedName name="_79__123Graph_LBL_ACHART_4" localSheetId="2" hidden="1">[4]keyind!#REF!</definedName>
    <definedName name="_79__123Graph_LBL_ACHART_4" hidden="1">[4]keyind!#REF!</definedName>
    <definedName name="_79__123Graph_XCHART_11" localSheetId="2" hidden="1">[5]Fixexp_analysis!#REF!</definedName>
    <definedName name="_79__123Graph_XCHART_11" hidden="1">[5]Fixexp_analysis!#REF!</definedName>
    <definedName name="_8__123Graph_ACHART_14" localSheetId="2" hidden="1">'[5]Key-Ind'!#REF!</definedName>
    <definedName name="_8__123Graph_ACHART_14" hidden="1">'[5]Key-Ind'!#REF!</definedName>
    <definedName name="_8__123Graph_ACHART_16" localSheetId="2" hidden="1">'[5]Key-Ind'!#REF!</definedName>
    <definedName name="_8__123Graph_ACHART_16" hidden="1">'[5]Key-Ind'!#REF!</definedName>
    <definedName name="_8__123Graph_AChart_2" hidden="1">[2]Model!$B$453:$B$462</definedName>
    <definedName name="_80__123Graph_XCHART_12" localSheetId="2" hidden="1">'[5]Key-Ind'!#REF!</definedName>
    <definedName name="_80__123Graph_XCHART_12" hidden="1">'[5]Key-Ind'!#REF!</definedName>
    <definedName name="_81__123Graph_LBL_ACHART_13" localSheetId="2" hidden="1">'[5]Key-Ind'!#REF!</definedName>
    <definedName name="_81__123Graph_LBL_ACHART_13" hidden="1">'[5]Key-Ind'!#REF!</definedName>
    <definedName name="_81__123Graph_LBL_ACHART_5" localSheetId="2" hidden="1">[5]Fixexp_analysis!#REF!</definedName>
    <definedName name="_81__123Graph_LBL_ACHART_5" hidden="1">[5]Fixexp_analysis!#REF!</definedName>
    <definedName name="_81__123Graph_XCHART_13" localSheetId="2" hidden="1">'[5]Key-Ind'!#REF!</definedName>
    <definedName name="_81__123Graph_XCHART_13" hidden="1">'[5]Key-Ind'!#REF!</definedName>
    <definedName name="_82__123Graph_XCHART_14" localSheetId="2" hidden="1">'[5]Key-Ind'!#REF!</definedName>
    <definedName name="_82__123Graph_XCHART_14" hidden="1">'[5]Key-Ind'!#REF!</definedName>
    <definedName name="_83__123Graph_LBL_ACHART_6" localSheetId="2" hidden="1">'[5]Key-Ind'!#REF!</definedName>
    <definedName name="_83__123Graph_LBL_ACHART_6" hidden="1">'[5]Key-Ind'!#REF!</definedName>
    <definedName name="_83__123Graph_XCHART_15" localSheetId="2" hidden="1">'[5]Key-Ind'!#REF!</definedName>
    <definedName name="_83__123Graph_XCHART_15" hidden="1">'[5]Key-Ind'!#REF!</definedName>
    <definedName name="_84__123Graph_LBL_ACHART_14" localSheetId="2" hidden="1">'[5]Key-Ind'!#REF!</definedName>
    <definedName name="_84__123Graph_LBL_ACHART_14" hidden="1">'[5]Key-Ind'!#REF!</definedName>
    <definedName name="_84__123Graph_XCHART_16" localSheetId="2" hidden="1">'[5]Key-Ind'!#REF!</definedName>
    <definedName name="_84__123Graph_XCHART_16" hidden="1">'[5]Key-Ind'!#REF!</definedName>
    <definedName name="_85__123Graph_LBL_ACHART_7" localSheetId="2" hidden="1">'[5]Key-Ind'!#REF!</definedName>
    <definedName name="_85__123Graph_LBL_ACHART_7" hidden="1">'[5]Key-Ind'!#REF!</definedName>
    <definedName name="_87__123Graph_LBL_ACHART_15" localSheetId="2" hidden="1">'[5]Key-Ind'!#REF!</definedName>
    <definedName name="_87__123Graph_LBL_ACHART_15" hidden="1">'[5]Key-Ind'!#REF!</definedName>
    <definedName name="_87__123Graph_LBL_ACHART_8" localSheetId="2" hidden="1">[5]Fixexp_analysis!#REF!</definedName>
    <definedName name="_87__123Graph_LBL_ACHART_8" hidden="1">[5]Fixexp_analysis!#REF!</definedName>
    <definedName name="_87__123Graph_XCHART_2" localSheetId="2" hidden="1">[4]keyind!#REF!</definedName>
    <definedName name="_87__123Graph_XCHART_2" hidden="1">[4]keyind!#REF!</definedName>
    <definedName name="_89__123Graph_LBL_ACHART_9" localSheetId="2" hidden="1">[5]Fixexp_analysis!#REF!</definedName>
    <definedName name="_89__123Graph_LBL_ACHART_9" hidden="1">[5]Fixexp_analysis!#REF!</definedName>
    <definedName name="_9__123Graph_ACHART_11" localSheetId="2" hidden="1">[5]Fixexp_analysis!#REF!</definedName>
    <definedName name="_9__123Graph_ACHART_11" hidden="1">[5]Fixexp_analysis!#REF!</definedName>
    <definedName name="_9__123Graph_ACHART_12" localSheetId="2" hidden="1">'[5]Key-Ind'!#REF!</definedName>
    <definedName name="_9__123Graph_ACHART_12" hidden="1">'[5]Key-Ind'!#REF!</definedName>
    <definedName name="_9__123Graph_ACHART_15" localSheetId="2" hidden="1">'[5]Key-Ind'!#REF!</definedName>
    <definedName name="_9__123Graph_ACHART_15" hidden="1">'[5]Key-Ind'!#REF!</definedName>
    <definedName name="_9__123Graph_ACHART_2" localSheetId="2" hidden="1">[4]keyind!#REF!</definedName>
    <definedName name="_9__123Graph_ACHART_2" hidden="1">[4]keyind!#REF!</definedName>
    <definedName name="_9__123Graph_AChart_3" hidden="1">[2]Model!$B$483:$B$489</definedName>
    <definedName name="_90__123Graph_LBL_ACHART_16" localSheetId="2" hidden="1">'[5]Key-Ind'!#REF!</definedName>
    <definedName name="_90__123Graph_LBL_ACHART_16" hidden="1">'[5]Key-Ind'!#REF!</definedName>
    <definedName name="_90__123Graph_XCHART_3" localSheetId="2" hidden="1">[4]keyind!#REF!</definedName>
    <definedName name="_90__123Graph_XCHART_3" hidden="1">[4]keyind!#REF!</definedName>
    <definedName name="_92__123Graph_LBL_BCHART_1" localSheetId="2" hidden="1">[4]keyind!#REF!</definedName>
    <definedName name="_92__123Graph_LBL_BCHART_1" hidden="1">[4]keyind!#REF!</definedName>
    <definedName name="_93__123Graph_LBL_ACHART_2" localSheetId="2" hidden="1">[4]keyind!#REF!</definedName>
    <definedName name="_93__123Graph_LBL_ACHART_2" hidden="1">[4]keyind!#REF!</definedName>
    <definedName name="_93__123Graph_XCHART_4" localSheetId="2" hidden="1">[4]keyind!#REF!</definedName>
    <definedName name="_93__123Graph_XCHART_4" hidden="1">[4]keyind!#REF!</definedName>
    <definedName name="_94__123Graph_LBL_BCHART_2" localSheetId="2" hidden="1">[4]keyind!#REF!</definedName>
    <definedName name="_94__123Graph_LBL_BCHART_2" hidden="1">[4]keyind!#REF!</definedName>
    <definedName name="_94__123Graph_XCHART_5" localSheetId="2" hidden="1">'[5]Key-Ind'!#REF!</definedName>
    <definedName name="_94__123Graph_XCHART_5" hidden="1">'[5]Key-Ind'!#REF!</definedName>
    <definedName name="_95__123Graph_XCHART_6" localSheetId="2" hidden="1">'[5]Key-Ind'!#REF!</definedName>
    <definedName name="_95__123Graph_XCHART_6" hidden="1">'[5]Key-Ind'!#REF!</definedName>
    <definedName name="_96__123Graph_LBL_ACHART_3" localSheetId="2" hidden="1">[4]keyind!#REF!</definedName>
    <definedName name="_96__123Graph_LBL_ACHART_3" hidden="1">[4]keyind!#REF!</definedName>
    <definedName name="_97__123Graph_LBL_BCHART_3" localSheetId="2" hidden="1">[4]keyind!#REF!</definedName>
    <definedName name="_97__123Graph_LBL_BCHART_3" hidden="1">[4]keyind!#REF!</definedName>
    <definedName name="_98__123Graph_XCHART_7" localSheetId="2" hidden="1">[4]keyind!#REF!</definedName>
    <definedName name="_98__123Graph_XCHART_7" hidden="1">[4]keyind!#REF!</definedName>
    <definedName name="_99__123Graph_LBL_ACHART_4" localSheetId="2" hidden="1">[4]keyind!#REF!</definedName>
    <definedName name="_99__123Graph_LBL_ACHART_4" hidden="1">[4]keyind!#REF!</definedName>
    <definedName name="_99__123Graph_XCHART_8" localSheetId="2" hidden="1">'[5]Key-Ind'!#REF!</definedName>
    <definedName name="_99__123Graph_XCHART_8" hidden="1">'[5]Key-Ind'!#REF!</definedName>
    <definedName name="_a1" localSheetId="2">#REF!</definedName>
    <definedName name="_a1">#REF!</definedName>
    <definedName name="_as111" localSheetId="2" hidden="1">#REF!</definedName>
    <definedName name="_as111" hidden="1">#REF!</definedName>
    <definedName name="_aug08" localSheetId="2">#REF!</definedName>
    <definedName name="_aug08">#REF!</definedName>
    <definedName name="_bdm.1548A132B46F4C60B8E729C4551DF117.edm" hidden="1">#N/A</definedName>
    <definedName name="_bdm.15BCD9489AD748028D57019E3C0A66F7.edm" hidden="1">#N/A</definedName>
    <definedName name="_bdm.192E1A69B51247D9914DF8B21161D19C.edm" hidden="1">#N/A</definedName>
    <definedName name="_bdm.24BD2FD9E425417286248BF927A96720.edm" hidden="1">#N/A</definedName>
    <definedName name="_bdm.26553D234A2F4E3D8E53B2192BC0A315.edm" hidden="1">#N/A</definedName>
    <definedName name="_bdm.33A03B62988A41C39A3ED3AE27C84906.edm" hidden="1">#N/A</definedName>
    <definedName name="_bdm.84B00B6FA1B249B294FCD8F89E13079B.edm" hidden="1">#N/A</definedName>
    <definedName name="_bdm.9560A33D287847109A077533FE570E73.edm" hidden="1">#N/A</definedName>
    <definedName name="_bdm.95F445F17CFE4E66883B738BF6636433.edm" hidden="1">#N/A</definedName>
    <definedName name="_bdm.A2E42FEC9E174E2397DAA1281664C0E5.edm" hidden="1">#N/A</definedName>
    <definedName name="_bdm.B114A6131A5F49C1A7A5F91639356266.edm" hidden="1">#N/A</definedName>
    <definedName name="_bdm.BE209056026942F4AE4180B6E4138E6B.edm" hidden="1">#N/A</definedName>
    <definedName name="_bdm.CA7C0830173C4BED942E509D900BD0CE.edm" hidden="1">#N/A</definedName>
    <definedName name="_bdm.D8450A1B7ADA43A6B01241520EBB1C80.edm" hidden="1">#N/A</definedName>
    <definedName name="_bdm.DC897DFCCAB040F0A0613423FABA10C2.edm" hidden="1">#N/A</definedName>
    <definedName name="_bdm.DFA99D928C514173ACC7302690466393.edm" hidden="1">#N/A</definedName>
    <definedName name="_bdm.E29E946DE9AD43058E12CD132AFEDAA9.edm" hidden="1">#N/A</definedName>
    <definedName name="_bg2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C" localSheetId="2">'[6]Power&amp;Fuel'!#REF!</definedName>
    <definedName name="_C">'[6]Power&amp;Fuel'!#REF!</definedName>
    <definedName name="_DAT1" localSheetId="2">#REF!</definedName>
    <definedName name="_DAT1">#REF!</definedName>
    <definedName name="_DAT10">[7]Input_B_V!$J$2:$J$1028</definedName>
    <definedName name="_DAT100" localSheetId="2">#REF!</definedName>
    <definedName name="_DAT100">#REF!</definedName>
    <definedName name="_DAT101" localSheetId="2">#REF!</definedName>
    <definedName name="_DAT101">#REF!</definedName>
    <definedName name="_DAT102" localSheetId="2">#REF!</definedName>
    <definedName name="_DAT102">#REF!</definedName>
    <definedName name="_DAT103" localSheetId="2">#REF!</definedName>
    <definedName name="_DAT103">#REF!</definedName>
    <definedName name="_DAT104" localSheetId="2">#REF!</definedName>
    <definedName name="_DAT104">#REF!</definedName>
    <definedName name="_DAT105" localSheetId="2">#REF!</definedName>
    <definedName name="_DAT105">#REF!</definedName>
    <definedName name="_DAT106" localSheetId="2">#REF!</definedName>
    <definedName name="_DAT106">#REF!</definedName>
    <definedName name="_DAT107" localSheetId="2">#REF!</definedName>
    <definedName name="_DAT107">#REF!</definedName>
    <definedName name="_DAT108" localSheetId="2">#REF!</definedName>
    <definedName name="_DAT108">#REF!</definedName>
    <definedName name="_DAT109" localSheetId="2">#REF!</definedName>
    <definedName name="_DAT109">#REF!</definedName>
    <definedName name="_DAT11" localSheetId="2">[8]Working!#REF!</definedName>
    <definedName name="_DAT11">[8]Working!#REF!</definedName>
    <definedName name="_DAT110" localSheetId="2">#REF!</definedName>
    <definedName name="_DAT110">#REF!</definedName>
    <definedName name="_DAT111" localSheetId="2">#REF!</definedName>
    <definedName name="_DAT111">#REF!</definedName>
    <definedName name="_DAT112" localSheetId="2">#REF!</definedName>
    <definedName name="_DAT112">#REF!</definedName>
    <definedName name="_DAT113" localSheetId="2">#REF!</definedName>
    <definedName name="_DAT113">#REF!</definedName>
    <definedName name="_DAT114" localSheetId="2">#REF!</definedName>
    <definedName name="_DAT114">#REF!</definedName>
    <definedName name="_DAT115" localSheetId="2">#REF!</definedName>
    <definedName name="_DAT115">#REF!</definedName>
    <definedName name="_DAT116" localSheetId="2">#REF!</definedName>
    <definedName name="_DAT116">#REF!</definedName>
    <definedName name="_DAT117" localSheetId="2">#REF!</definedName>
    <definedName name="_DAT117">#REF!</definedName>
    <definedName name="_DAT118" localSheetId="2">#REF!</definedName>
    <definedName name="_DAT118">#REF!</definedName>
    <definedName name="_DAT119" localSheetId="2">#REF!</definedName>
    <definedName name="_DAT119">#REF!</definedName>
    <definedName name="_DAT12" localSheetId="2">[8]Working!#REF!</definedName>
    <definedName name="_DAT12">[8]Working!#REF!</definedName>
    <definedName name="_DAT120" localSheetId="2">#REF!</definedName>
    <definedName name="_DAT120">#REF!</definedName>
    <definedName name="_DAT121" localSheetId="2">#REF!</definedName>
    <definedName name="_DAT121">#REF!</definedName>
    <definedName name="_DAT122" localSheetId="2">#REF!</definedName>
    <definedName name="_DAT122">#REF!</definedName>
    <definedName name="_DAT123" localSheetId="2">#REF!</definedName>
    <definedName name="_DAT123">#REF!</definedName>
    <definedName name="_DAT124" localSheetId="2">#REF!</definedName>
    <definedName name="_DAT124">#REF!</definedName>
    <definedName name="_DAT125" localSheetId="2">#REF!</definedName>
    <definedName name="_DAT125">#REF!</definedName>
    <definedName name="_DAT126" localSheetId="2">#REF!</definedName>
    <definedName name="_DAT126">#REF!</definedName>
    <definedName name="_DAT127" localSheetId="2">#REF!</definedName>
    <definedName name="_DAT127">#REF!</definedName>
    <definedName name="_DAT128" localSheetId="2">#REF!</definedName>
    <definedName name="_DAT128">#REF!</definedName>
    <definedName name="_DAT129" localSheetId="2">#REF!</definedName>
    <definedName name="_DAT129">#REF!</definedName>
    <definedName name="_DAT13" localSheetId="2">#REF!</definedName>
    <definedName name="_DAT13">#REF!</definedName>
    <definedName name="_DAT130" localSheetId="2">#REF!</definedName>
    <definedName name="_DAT130">#REF!</definedName>
    <definedName name="_DAT131" localSheetId="2">#REF!</definedName>
    <definedName name="_DAT131">#REF!</definedName>
    <definedName name="_DAT132" localSheetId="2">#REF!</definedName>
    <definedName name="_DAT132">#REF!</definedName>
    <definedName name="_DAT133" localSheetId="2">#REF!</definedName>
    <definedName name="_DAT133">#REF!</definedName>
    <definedName name="_DAT134" localSheetId="2">#REF!</definedName>
    <definedName name="_DAT134">#REF!</definedName>
    <definedName name="_DAT135" localSheetId="2">#REF!</definedName>
    <definedName name="_DAT135">#REF!</definedName>
    <definedName name="_DAT136" localSheetId="2">#REF!</definedName>
    <definedName name="_DAT136">#REF!</definedName>
    <definedName name="_DAT137" localSheetId="2">#REF!</definedName>
    <definedName name="_DAT137">#REF!</definedName>
    <definedName name="_DAT138" localSheetId="2">#REF!</definedName>
    <definedName name="_DAT138">#REF!</definedName>
    <definedName name="_DAT139" localSheetId="2">#REF!</definedName>
    <definedName name="_DAT139">#REF!</definedName>
    <definedName name="_DAT14" localSheetId="2">#REF!</definedName>
    <definedName name="_DAT14">#REF!</definedName>
    <definedName name="_DAT15" localSheetId="2">#REF!</definedName>
    <definedName name="_DAT15">#REF!</definedName>
    <definedName name="_DAT16" localSheetId="2">#REF!</definedName>
    <definedName name="_DAT16">#REF!</definedName>
    <definedName name="_DAT17" localSheetId="2">#REF!</definedName>
    <definedName name="_DAT17">#REF!</definedName>
    <definedName name="_DAT18" localSheetId="2">#REF!</definedName>
    <definedName name="_DAT18">#REF!</definedName>
    <definedName name="_DAT19" localSheetId="2">#REF!</definedName>
    <definedName name="_DAT19">#REF!</definedName>
    <definedName name="_DAT2" localSheetId="2">#REF!</definedName>
    <definedName name="_DAT2">#REF!</definedName>
    <definedName name="_DAT20" localSheetId="2">#REF!</definedName>
    <definedName name="_DAT20">#REF!</definedName>
    <definedName name="_DAT21" localSheetId="2">'[9]Excise on RM'!#REF!</definedName>
    <definedName name="_DAT21">'[9]Excise on RM'!#REF!</definedName>
    <definedName name="_DAT22" localSheetId="2">#REF!</definedName>
    <definedName name="_DAT22">#REF!</definedName>
    <definedName name="_DAT23" localSheetId="2">'[9]Excise on RM'!#REF!</definedName>
    <definedName name="_DAT23">'[9]Excise on RM'!#REF!</definedName>
    <definedName name="_DAT24" localSheetId="2">'[9]Excise on RM'!#REF!</definedName>
    <definedName name="_DAT24">'[9]Excise on RM'!#REF!</definedName>
    <definedName name="_DAT25" localSheetId="2">[10]Sheet1!#REF!</definedName>
    <definedName name="_DAT25">[10]Sheet1!#REF!</definedName>
    <definedName name="_DAT26" localSheetId="2">[8]Working!#REF!</definedName>
    <definedName name="_DAT26">[8]Working!#REF!</definedName>
    <definedName name="_DAT27" localSheetId="2">[8]Working!#REF!</definedName>
    <definedName name="_DAT27">[8]Working!#REF!</definedName>
    <definedName name="_DAT28" localSheetId="2">'[9]Excise on RM'!#REF!</definedName>
    <definedName name="_DAT28">'[9]Excise on RM'!#REF!</definedName>
    <definedName name="_DAT29" localSheetId="2">#REF!</definedName>
    <definedName name="_DAT29">#REF!</definedName>
    <definedName name="_DAT3" localSheetId="2">#REF!</definedName>
    <definedName name="_DAT3">#REF!</definedName>
    <definedName name="_DAT30" localSheetId="2">'[9]Excise on RM'!#REF!</definedName>
    <definedName name="_DAT30">'[9]Excise on RM'!#REF!</definedName>
    <definedName name="_DAT31" localSheetId="2">[8]Working!#REF!</definedName>
    <definedName name="_DAT31">[8]Working!#REF!</definedName>
    <definedName name="_DAT32" localSheetId="2">'[9]Excise on RM'!#REF!</definedName>
    <definedName name="_DAT32">'[9]Excise on RM'!#REF!</definedName>
    <definedName name="_DAT33" localSheetId="2">'[9]Excise on RM'!#REF!</definedName>
    <definedName name="_DAT33">'[9]Excise on RM'!#REF!</definedName>
    <definedName name="_DAT34" localSheetId="2">#REF!</definedName>
    <definedName name="_DAT34">#REF!</definedName>
    <definedName name="_DAT35" localSheetId="2">#REF!</definedName>
    <definedName name="_DAT35">#REF!</definedName>
    <definedName name="_DAT36" localSheetId="2">#REF!</definedName>
    <definedName name="_DAT36">#REF!</definedName>
    <definedName name="_DAT37" localSheetId="2">#REF!</definedName>
    <definedName name="_DAT37">#REF!</definedName>
    <definedName name="_DAT38" localSheetId="2">#REF!</definedName>
    <definedName name="_DAT38">#REF!</definedName>
    <definedName name="_DAT39" localSheetId="2">[11]Prod!#REF!</definedName>
    <definedName name="_DAT39">[11]Prod!#REF!</definedName>
    <definedName name="_DAT4" localSheetId="2">#REF!</definedName>
    <definedName name="_DAT4">#REF!</definedName>
    <definedName name="_DAT40" localSheetId="2">[11]Prod!#REF!</definedName>
    <definedName name="_DAT40">[11]Prod!#REF!</definedName>
    <definedName name="_DAT41" localSheetId="2">#REF!</definedName>
    <definedName name="_DAT41">#REF!</definedName>
    <definedName name="_DAT42" localSheetId="2">#REF!</definedName>
    <definedName name="_DAT42">#REF!</definedName>
    <definedName name="_DAT43" localSheetId="2">#REF!</definedName>
    <definedName name="_DAT43">#REF!</definedName>
    <definedName name="_DAT44" localSheetId="2">#REF!</definedName>
    <definedName name="_DAT44">#REF!</definedName>
    <definedName name="_DAT45" localSheetId="2">#REF!</definedName>
    <definedName name="_DAT45">#REF!</definedName>
    <definedName name="_DAT46" localSheetId="2">#REF!</definedName>
    <definedName name="_DAT46">#REF!</definedName>
    <definedName name="_DAT47" localSheetId="2">#REF!</definedName>
    <definedName name="_DAT47">#REF!</definedName>
    <definedName name="_DAT48" localSheetId="2">#REF!</definedName>
    <definedName name="_DAT48">#REF!</definedName>
    <definedName name="_DAT49" localSheetId="2">[11]Prod!#REF!</definedName>
    <definedName name="_DAT49">[11]Prod!#REF!</definedName>
    <definedName name="_DAT5" localSheetId="2">#REF!</definedName>
    <definedName name="_DAT5">#REF!</definedName>
    <definedName name="_DAT50" localSheetId="2">[11]Prod!#REF!</definedName>
    <definedName name="_DAT50">[11]Prod!#REF!</definedName>
    <definedName name="_DAT51" localSheetId="2">[11]Prod!#REF!</definedName>
    <definedName name="_DAT51">[11]Prod!#REF!</definedName>
    <definedName name="_DAT52" localSheetId="2">[11]Prod!#REF!</definedName>
    <definedName name="_DAT52">[11]Prod!#REF!</definedName>
    <definedName name="_DAT53" localSheetId="2">#REF!</definedName>
    <definedName name="_DAT53">#REF!</definedName>
    <definedName name="_DAT54" localSheetId="2">'[12]PACKING GL MAY-07'!#REF!</definedName>
    <definedName name="_DAT54">'[12]PACKING GL MAY-07'!#REF!</definedName>
    <definedName name="_DAT55" localSheetId="2">#REF!</definedName>
    <definedName name="_DAT55">#REF!</definedName>
    <definedName name="_DAT56" localSheetId="2">#REF!</definedName>
    <definedName name="_DAT56">#REF!</definedName>
    <definedName name="_DAT57" localSheetId="2">#REF!</definedName>
    <definedName name="_DAT57">#REF!</definedName>
    <definedName name="_DAT58" localSheetId="2">#REF!</definedName>
    <definedName name="_DAT58">#REF!</definedName>
    <definedName name="_DAT59" localSheetId="2">'[12]PACKING GL MAY-07'!#REF!</definedName>
    <definedName name="_DAT59">'[12]PACKING GL MAY-07'!#REF!</definedName>
    <definedName name="_DAT6" localSheetId="2">#REF!</definedName>
    <definedName name="_DAT6">#REF!</definedName>
    <definedName name="_DAT60" localSheetId="2">[13]MASTER!#REF!</definedName>
    <definedName name="_DAT60">[13]MASTER!#REF!</definedName>
    <definedName name="_DAT61" localSheetId="2">[13]MASTER!#REF!</definedName>
    <definedName name="_DAT61">[13]MASTER!#REF!</definedName>
    <definedName name="_DAT62" localSheetId="2">'[12]PACKING GL MAY-07'!#REF!</definedName>
    <definedName name="_DAT62">'[12]PACKING GL MAY-07'!#REF!</definedName>
    <definedName name="_DAT63" localSheetId="2">[13]MASTER!#REF!</definedName>
    <definedName name="_DAT63">[13]MASTER!#REF!</definedName>
    <definedName name="_DAT64" localSheetId="2">'[14]MASTER-01st qtr-packinggl'!#REF!</definedName>
    <definedName name="_DAT64">'[14]MASTER-01st qtr-packinggl'!#REF!</definedName>
    <definedName name="_DAT65" localSheetId="2">'[12]PACKING GL MAY-07'!#REF!</definedName>
    <definedName name="_DAT65">'[12]PACKING GL MAY-07'!#REF!</definedName>
    <definedName name="_DAT66" localSheetId="2">'[12]PACKING GL MAY-07'!#REF!</definedName>
    <definedName name="_DAT66">'[12]PACKING GL MAY-07'!#REF!</definedName>
    <definedName name="_DAT67" localSheetId="2">'[12]PACKING GL MAY-07'!#REF!</definedName>
    <definedName name="_DAT67">'[12]PACKING GL MAY-07'!#REF!</definedName>
    <definedName name="_DAT68" localSheetId="2">'[14]MASTER-01st qtr-packinggl'!#REF!</definedName>
    <definedName name="_DAT68">'[14]MASTER-01st qtr-packinggl'!#REF!</definedName>
    <definedName name="_DAT69" localSheetId="2">'[12]PACKING GL MAY-07'!#REF!</definedName>
    <definedName name="_DAT69">'[12]PACKING GL MAY-07'!#REF!</definedName>
    <definedName name="_DAT7" localSheetId="2">[15]Sheet1!#REF!</definedName>
    <definedName name="_DAT7">[15]Sheet1!#REF!</definedName>
    <definedName name="_DAT70" localSheetId="2">'[12]PACKING GL MAY-07'!#REF!</definedName>
    <definedName name="_DAT70">'[12]PACKING GL MAY-07'!#REF!</definedName>
    <definedName name="_DAT71" localSheetId="2">'[12]PACKING GL MAY-07'!#REF!</definedName>
    <definedName name="_DAT71">'[12]PACKING GL MAY-07'!#REF!</definedName>
    <definedName name="_DAT72" localSheetId="2">'[12]PACKING GL MAY-07'!#REF!</definedName>
    <definedName name="_DAT72">'[12]PACKING GL MAY-07'!#REF!</definedName>
    <definedName name="_DAT73" localSheetId="2">#REF!</definedName>
    <definedName name="_DAT73">#REF!</definedName>
    <definedName name="_DAT74" localSheetId="2">#REF!</definedName>
    <definedName name="_DAT74">#REF!</definedName>
    <definedName name="_DAT75" localSheetId="2">#REF!</definedName>
    <definedName name="_DAT75">#REF!</definedName>
    <definedName name="_DAT76" localSheetId="2">#REF!</definedName>
    <definedName name="_DAT76">#REF!</definedName>
    <definedName name="_DAT77" localSheetId="2">#REF!</definedName>
    <definedName name="_DAT77">#REF!</definedName>
    <definedName name="_DAT78" localSheetId="2">#REF!</definedName>
    <definedName name="_DAT78">#REF!</definedName>
    <definedName name="_DAT79" localSheetId="2">#REF!</definedName>
    <definedName name="_DAT79">#REF!</definedName>
    <definedName name="_DAT8" localSheetId="2">#REF!</definedName>
    <definedName name="_DAT8">#REF!</definedName>
    <definedName name="_DAT80" localSheetId="2">#REF!</definedName>
    <definedName name="_DAT80">#REF!</definedName>
    <definedName name="_DAT81" localSheetId="2">#REF!</definedName>
    <definedName name="_DAT81">#REF!</definedName>
    <definedName name="_DAT82" localSheetId="2">#REF!</definedName>
    <definedName name="_DAT82">#REF!</definedName>
    <definedName name="_DAT83" localSheetId="2">#REF!</definedName>
    <definedName name="_DAT83">#REF!</definedName>
    <definedName name="_DAT84" localSheetId="2">#REF!</definedName>
    <definedName name="_DAT84">#REF!</definedName>
    <definedName name="_DAT85" localSheetId="2">#REF!</definedName>
    <definedName name="_DAT85">#REF!</definedName>
    <definedName name="_DAT86" localSheetId="2">#REF!</definedName>
    <definedName name="_DAT86">#REF!</definedName>
    <definedName name="_DAT87" localSheetId="2">#REF!</definedName>
    <definedName name="_DAT87">#REF!</definedName>
    <definedName name="_DAT88" localSheetId="2">#REF!</definedName>
    <definedName name="_DAT88">#REF!</definedName>
    <definedName name="_DAT89" localSheetId="2">#REF!</definedName>
    <definedName name="_DAT89">#REF!</definedName>
    <definedName name="_DAT9" localSheetId="2">#REF!</definedName>
    <definedName name="_DAT9">#REF!</definedName>
    <definedName name="_DAT90" localSheetId="2">#REF!</definedName>
    <definedName name="_DAT90">#REF!</definedName>
    <definedName name="_DAT91" localSheetId="2">#REF!</definedName>
    <definedName name="_DAT91">#REF!</definedName>
    <definedName name="_DAT92" localSheetId="2">#REF!</definedName>
    <definedName name="_DAT92">#REF!</definedName>
    <definedName name="_DAT93" localSheetId="2">#REF!</definedName>
    <definedName name="_DAT93">#REF!</definedName>
    <definedName name="_DAT94" localSheetId="2">#REF!</definedName>
    <definedName name="_DAT94">#REF!</definedName>
    <definedName name="_DAT95" localSheetId="2">#REF!</definedName>
    <definedName name="_DAT95">#REF!</definedName>
    <definedName name="_DAT96" localSheetId="2">#REF!</definedName>
    <definedName name="_DAT96">#REF!</definedName>
    <definedName name="_DAT97" localSheetId="2">#REF!</definedName>
    <definedName name="_DAT97">#REF!</definedName>
    <definedName name="_DAT98" localSheetId="2">#REF!</definedName>
    <definedName name="_DAT98">#REF!</definedName>
    <definedName name="_DAT99" localSheetId="2">#REF!</definedName>
    <definedName name="_DAT99">#REF!</definedName>
    <definedName name="_Fill" hidden="1">'[16]bs &amp; P&amp;l (2)'!$E$86</definedName>
    <definedName name="_xlnm._FilterDatabase" localSheetId="2" hidden="1">#REF!</definedName>
    <definedName name="_xlnm._FilterDatabase" hidden="1">#REF!</definedName>
    <definedName name="_k2222" localSheetId="2" hidden="1">#REF!</definedName>
    <definedName name="_k2222" hidden="1">#REF!</definedName>
    <definedName name="_k3" localSheetId="2" hidden="1">#REF!</definedName>
    <definedName name="_k3" hidden="1">#REF!</definedName>
    <definedName name="_k4" localSheetId="2" hidden="1">#REF!</definedName>
    <definedName name="_k4" hidden="1">#REF!</definedName>
    <definedName name="_k8" localSheetId="1" hidden="1">{#N/A,#N/A,FALSE,"COVER1.XLS ";#N/A,#N/A,FALSE,"RACT1.XLS";#N/A,#N/A,FALSE,"RACT2.XLS";#N/A,#N/A,FALSE,"ECCMP";#N/A,#N/A,FALSE,"WELDER.XLS"}</definedName>
    <definedName name="_k8" localSheetId="0" hidden="1">{#N/A,#N/A,FALSE,"COVER1.XLS ";#N/A,#N/A,FALSE,"RACT1.XLS";#N/A,#N/A,FALSE,"RACT2.XLS";#N/A,#N/A,FALSE,"ECCMP";#N/A,#N/A,FALSE,"WELDER.XLS"}</definedName>
    <definedName name="_k8" hidden="1">{#N/A,#N/A,FALSE,"COVER1.XLS ";#N/A,#N/A,FALSE,"RACT1.XLS";#N/A,#N/A,FALSE,"RACT2.XLS";#N/A,#N/A,FALSE,"ECCMP";#N/A,#N/A,FALSE,"WELDER.XLS"}</definedName>
    <definedName name="_Key1" localSheetId="2" hidden="1">[17]WGSRL!#REF!</definedName>
    <definedName name="_Key1" hidden="1">[17]WGSRL!#REF!</definedName>
    <definedName name="_key2" localSheetId="2" hidden="1">[18]WGSRL!#REF!</definedName>
    <definedName name="_key2" hidden="1">[18]WGSRL!#REF!</definedName>
    <definedName name="_kv2" localSheetId="1" hidden="1">{#N/A,#N/A,FALSE,"COVER1.XLS ";#N/A,#N/A,FALSE,"RACT1.XLS";#N/A,#N/A,FALSE,"RACT2.XLS";#N/A,#N/A,FALSE,"ECCMP";#N/A,#N/A,FALSE,"WELDER.XLS"}</definedName>
    <definedName name="_kv2" localSheetId="0" hidden="1">{#N/A,#N/A,FALSE,"COVER1.XLS ";#N/A,#N/A,FALSE,"RACT1.XLS";#N/A,#N/A,FALSE,"RACT2.XLS";#N/A,#N/A,FALSE,"ECCMP";#N/A,#N/A,FALSE,"WELDER.XLS"}</definedName>
    <definedName name="_kv2" hidden="1">{#N/A,#N/A,FALSE,"COVER1.XLS ";#N/A,#N/A,FALSE,"RACT1.XLS";#N/A,#N/A,FALSE,"RACT2.XLS";#N/A,#N/A,FALSE,"ECCMP";#N/A,#N/A,FALSE,"WELDER.XLS"}</definedName>
    <definedName name="_kvs1" localSheetId="1" hidden="1">{#N/A,#N/A,FALSE,"COVER1.XLS ";#N/A,#N/A,FALSE,"RACT1.XLS";#N/A,#N/A,FALSE,"RACT2.XLS";#N/A,#N/A,FALSE,"ECCMP";#N/A,#N/A,FALSE,"WELDER.XLS"}</definedName>
    <definedName name="_kvs1" localSheetId="0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localSheetId="1" hidden="1">{#N/A,#N/A,FALSE,"COVER1.XLS ";#N/A,#N/A,FALSE,"RACT1.XLS";#N/A,#N/A,FALSE,"RACT2.XLS";#N/A,#N/A,FALSE,"ECCMP";#N/A,#N/A,FALSE,"WELDER.XLS"}</definedName>
    <definedName name="_kvs2" localSheetId="0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localSheetId="1" hidden="1">{#N/A,#N/A,FALSE,"COVER.XLS";#N/A,#N/A,FALSE,"RACT1.XLS";#N/A,#N/A,FALSE,"RACT2.XLS";#N/A,#N/A,FALSE,"ECCMP";#N/A,#N/A,FALSE,"WELDER.XLS"}</definedName>
    <definedName name="_kvs5" localSheetId="0" hidden="1">{#N/A,#N/A,FALSE,"COVER.XLS";#N/A,#N/A,FALSE,"RACT1.XLS";#N/A,#N/A,FALSE,"RACT2.XLS";#N/A,#N/A,FALSE,"ECCMP";#N/A,#N/A,FALSE,"WELDER.XLS"}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localSheetId="1" hidden="1">{#N/A,#N/A,FALSE,"COVER1.XLS ";#N/A,#N/A,FALSE,"RACT1.XLS";#N/A,#N/A,FALSE,"RACT2.XLS";#N/A,#N/A,FALSE,"ECCMP";#N/A,#N/A,FALSE,"WELDER.XLS"}</definedName>
    <definedName name="_kvs7" localSheetId="0" hidden="1">{#N/A,#N/A,FALSE,"COVER1.XLS 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localSheetId="1" hidden="1">{#N/A,#N/A,FALSE,"COVER1.XLS ";#N/A,#N/A,FALSE,"RACT1.XLS";#N/A,#N/A,FALSE,"RACT2.XLS";#N/A,#N/A,FALSE,"ECCMP";#N/A,#N/A,FALSE,"WELDER.XLS"}</definedName>
    <definedName name="_kvs8" localSheetId="0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localSheetId="1" hidden="1">{#N/A,#N/A,FALSE,"COVER1.XLS ";#N/A,#N/A,FALSE,"RACT1.XLS";#N/A,#N/A,FALSE,"RACT2.XLS";#N/A,#N/A,FALSE,"ECCMP";#N/A,#N/A,FALSE,"WELDER.XLS"}</definedName>
    <definedName name="_KVS9" localSheetId="0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Order1" hidden="1">255</definedName>
    <definedName name="_Order2" hidden="1">255</definedName>
    <definedName name="_P2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localSheetId="2" hidden="1">#REF!</definedName>
    <definedName name="_Parse_Out" hidden="1">#REF!</definedName>
    <definedName name="_prn01" localSheetId="2">#REF!</definedName>
    <definedName name="_prn01">#REF!</definedName>
    <definedName name="_q2" localSheetId="1" hidden="1">{#N/A,#N/A,FALSE,"COVER1.XLS ";#N/A,#N/A,FALSE,"RACT1.XLS";#N/A,#N/A,FALSE,"RACT2.XLS";#N/A,#N/A,FALSE,"ECCMP";#N/A,#N/A,FALSE,"WELDER.XLS"}</definedName>
    <definedName name="_q2" localSheetId="0" hidden="1">{#N/A,#N/A,FALSE,"COVER1.XLS ";#N/A,#N/A,FALSE,"RACT1.XLS";#N/A,#N/A,FALSE,"RACT2.XLS";#N/A,#N/A,FALSE,"ECCMP";#N/A,#N/A,FALSE,"WELDER.XLS"}</definedName>
    <definedName name="_q2" hidden="1">{#N/A,#N/A,FALSE,"COVER1.XLS ";#N/A,#N/A,FALSE,"RACT1.XLS";#N/A,#N/A,FALSE,"RACT2.XLS";#N/A,#N/A,FALSE,"ECCMP";#N/A,#N/A,FALSE,"WELDER.XLS"}</definedName>
    <definedName name="_re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gression_Int" hidden="1">1</definedName>
    <definedName name="_Regression_Out" hidden="1">#N/A</definedName>
    <definedName name="_Regression_X" localSheetId="2" hidden="1">#REF!</definedName>
    <definedName name="_Regression_X" hidden="1">#REF!</definedName>
    <definedName name="_rem8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S" localSheetId="2">'[6]Power&amp;Fuel'!#REF!</definedName>
    <definedName name="_S">'[6]Power&amp;Fuel'!#REF!</definedName>
    <definedName name="_Sort" hidden="1">#N/A</definedName>
    <definedName name="_t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2" hidden="1">[19]Consolidated!#REF!</definedName>
    <definedName name="_Table1_In1" hidden="1">[19]Consolidated!#REF!</definedName>
    <definedName name="_Table1_Out" localSheetId="2" hidden="1">[19]Consolidated!#REF!</definedName>
    <definedName name="_Table1_Out" hidden="1">[19]Consolidated!#REF!</definedName>
    <definedName name="_Table2_In1" localSheetId="2" hidden="1">[19]Consolidated!#REF!</definedName>
    <definedName name="_Table2_In1" hidden="1">[19]Consolidated!#REF!</definedName>
    <definedName name="_Table2_In2" localSheetId="2" hidden="1">#REF!</definedName>
    <definedName name="_Table2_In2" hidden="1">#REF!</definedName>
    <definedName name="_Table2_Out" localSheetId="2" hidden="1">[19]Consolidated!#REF!</definedName>
    <definedName name="_Table2_Out" hidden="1">[19]Consolidated!#REF!</definedName>
    <definedName name="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VML1" localSheetId="2">'[20]POP SALARY '!#REF!</definedName>
    <definedName name="_VML1">'[20]POP SALARY '!#REF!</definedName>
    <definedName name="_VML2" localSheetId="2">'[20]POP SALARY '!#REF!</definedName>
    <definedName name="_VML2">'[20]POP SALARY '!#REF!</definedName>
    <definedName name="_VML3" localSheetId="2">'[20]POP SALARY '!#REF!</definedName>
    <definedName name="_VML3">'[20]POP SALARY '!#REF!</definedName>
    <definedName name="_VML4" localSheetId="2">'[20]POP SALARY '!#REF!</definedName>
    <definedName name="_VML4">'[20]POP SALARY '!#REF!</definedName>
    <definedName name="_w2" localSheetId="1" hidden="1">{#N/A,#N/A,FALSE,"17MAY";#N/A,#N/A,FALSE,"24MAY"}</definedName>
    <definedName name="_w2" localSheetId="0" hidden="1">{#N/A,#N/A,FALSE,"17MAY";#N/A,#N/A,FALSE,"24MAY"}</definedName>
    <definedName name="_w2" hidden="1">{#N/A,#N/A,FALSE,"17MAY";#N/A,#N/A,FALSE,"24MAY"}</definedName>
    <definedName name="_xt1222" localSheetId="2" hidden="1">[1]fixexp_analysis!#REF!</definedName>
    <definedName name="_xt1222" hidden="1">[1]fixexp_analysis!#REF!</definedName>
    <definedName name="a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a" localSheetId="2">'[21]jan feb'!#REF!</definedName>
    <definedName name="aa">'[21]jan feb'!#REF!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b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de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de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cde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b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d" localSheetId="1" hidden="1">{#N/A,#N/A,FALSE,"Status of Projects";#N/A,#N/A,FALSE,"CEA-TEC";#N/A,#N/A,FALSE,"U-Constr.";#N/A,#N/A,FALSE,"summary";#N/A,#N/A,FALSE,"PPP-3 yrs"}</definedName>
    <definedName name="ad" localSheetId="0" hidden="1">{#N/A,#N/A,FALSE,"Status of Projects";#N/A,#N/A,FALSE,"CEA-TEC";#N/A,#N/A,FALSE,"U-Constr.";#N/A,#N/A,FALSE,"summary";#N/A,#N/A,FALSE,"PPP-3 yrs"}</definedName>
    <definedName name="ad" hidden="1">{#N/A,#N/A,FALSE,"Status of Projects";#N/A,#N/A,FALSE,"CEA-TEC";#N/A,#N/A,FALSE,"U-Constr.";#N/A,#N/A,FALSE,"summary";#N/A,#N/A,FALSE,"PPP-3 yrs"}</definedName>
    <definedName name="adfrs" localSheetId="1" hidden="1">{#N/A,#N/A,FALSE,"COVER.XLS";#N/A,#N/A,FALSE,"RACT1.XLS";#N/A,#N/A,FALSE,"RACT2.XLS";#N/A,#N/A,FALSE,"ECCMP";#N/A,#N/A,FALSE,"WELDER.XLS"}</definedName>
    <definedName name="adfrs" localSheetId="0" hidden="1">{#N/A,#N/A,FALSE,"COVER.XLS";#N/A,#N/A,FALSE,"RACT1.XLS";#N/A,#N/A,FALSE,"RACT2.XLS";#N/A,#N/A,FALSE,"ECCMP";#N/A,#N/A,FALSE,"WELDER.XLS"}</definedName>
    <definedName name="adfrs" hidden="1">{#N/A,#N/A,FALSE,"COVER.XLS";#N/A,#N/A,FALSE,"RACT1.XLS";#N/A,#N/A,FALSE,"RACT2.XLS";#N/A,#N/A,FALSE,"ECCMP";#N/A,#N/A,FALSE,"WELDER.XLS"}</definedName>
    <definedName name="adv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fv" localSheetId="2" hidden="1">#REF!</definedName>
    <definedName name="afv" hidden="1">#REF!</definedName>
    <definedName name="al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nal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scount" hidden="1">2</definedName>
    <definedName name="appendix4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" localSheetId="2">[22]dsp!#REF!</definedName>
    <definedName name="as">[22]dsp!#REF!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asaasa" localSheetId="2" hidden="1">#REF!</definedName>
    <definedName name="asaasa" hidden="1">#REF!</definedName>
    <definedName name="asad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dfdfdjf" localSheetId="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sss" localSheetId="1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asssss" localSheetId="0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asssss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AST" localSheetId="1" hidden="1">{#N/A,#N/A,FALSE,"COVER.XLS";#N/A,#N/A,FALSE,"RACT1.XLS";#N/A,#N/A,FALSE,"RACT2.XLS";#N/A,#N/A,FALSE,"ECCMP";#N/A,#N/A,FALSE,"WELDER.XLS"}</definedName>
    <definedName name="AST" localSheetId="0" hidden="1">{#N/A,#N/A,FALSE,"COVER.XLS";#N/A,#N/A,FALSE,"RACT1.XLS";#N/A,#N/A,FALSE,"RACT2.XLS";#N/A,#N/A,FALSE,"ECCMP";#N/A,#N/A,FALSE,"WELDER.XLS"}</definedName>
    <definedName name="AST" hidden="1">{#N/A,#N/A,FALSE,"COVER.XLS";#N/A,#N/A,FALSE,"RACT1.XLS";#N/A,#N/A,FALSE,"RACT2.XLS";#N/A,#N/A,FALSE,"ECCMP";#N/A,#N/A,FALSE,"WELDER.XLS"}</definedName>
    <definedName name="ATTEND" localSheetId="2">#REF!</definedName>
    <definedName name="ATTEND">#REF!</definedName>
    <definedName name="augcivil" localSheetId="2">'[23]pending indent'!#REF!</definedName>
    <definedName name="augcivil">'[23]pending indent'!#REF!</definedName>
    <definedName name="b" localSheetId="2">'[21]jan feb'!#REF!</definedName>
    <definedName name="b">'[21]jan feb'!#REF!</definedName>
    <definedName name="bb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bbb" localSheetId="1" hidden="1">{#N/A,#N/A,FALSE,"17MAY";#N/A,#N/A,FALSE,"24MAY"}</definedName>
    <definedName name="bbbbb" localSheetId="0" hidden="1">{#N/A,#N/A,FALSE,"17MAY";#N/A,#N/A,FALSE,"24MAY"}</definedName>
    <definedName name="bbbbb" hidden="1">{#N/A,#N/A,FALSE,"17MAY";#N/A,#N/A,FALSE,"24MAY"}</definedName>
    <definedName name="BBRA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c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c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9G00IN0JUIAQ4WE9NHTMQE2" hidden="1">#N/A</definedName>
    <definedName name="BEx00DXTY2JDVGWQKV8H7FG4SV30" hidden="1">#N/A</definedName>
    <definedName name="BEx00GHLTYRH5N2S6P78YW1CD30N" hidden="1">#N/A</definedName>
    <definedName name="BEx00JC31DY11L45SEU4B10BIN6W" hidden="1">#N/A</definedName>
    <definedName name="BEx00KZHZBHP3TDV1YMX4B19B95O" hidden="1">#N/A</definedName>
    <definedName name="BEx00MBY8XXUOHIZ4LHXHPD7WYD5" hidden="1">#N/A</definedName>
    <definedName name="BEx01ALWOBWCNC4OBV3E1EHNOM32" hidden="1">#N/A</definedName>
    <definedName name="BEx01HY6E3GJ66ABU5ABN26V6Q13" hidden="1">#N/A</definedName>
    <definedName name="BEx01PW5YQKEGAR8JDDI5OARYXDF" hidden="1">#N/A</definedName>
    <definedName name="BEx01XJ94SHJ1YQ7ORPW0RQGKI2H" hidden="1">#N/A</definedName>
    <definedName name="BEx02Q08R9G839Q4RFGG9026C7PX" hidden="1">#N/A</definedName>
    <definedName name="BEx02SEL3Z1QWGAHXDPUA9WLTTPS" hidden="1">#N/A</definedName>
    <definedName name="BEx02Y3KJZH5BGDM9QEZ1PVVI114" hidden="1">#N/A</definedName>
    <definedName name="BEx0313GRLLASDTVPW5DHTXHE74M" hidden="1">#N/A</definedName>
    <definedName name="BEx1F0SOZ3H5XUHXD7O01TCR8T6J" hidden="1">#N/A</definedName>
    <definedName name="BEx1F9HL824UCNCVZ2U62J4KZCX8" hidden="1">#N/A</definedName>
    <definedName name="BEx1FEVSJKTI1Q1Z874QZVFSJSVA" hidden="1">#N/A</definedName>
    <definedName name="BEx1FGDRUHHLI1GBHELT4PK0LY4V" hidden="1">#N/A</definedName>
    <definedName name="BEx1FJZ7GKO99IYTP6GGGF7EUL3Z" hidden="1">#N/A</definedName>
    <definedName name="BEx1FZV2CM77TBH1R6YYV9P06KA2" hidden="1">#N/A</definedName>
    <definedName name="BEx1G59AY8195JTUM6P18VXUFJ3E" hidden="1">#N/A</definedName>
    <definedName name="BEx1GG1Q70TGNW6FXOFU0X55RIME" hidden="1">#N/A</definedName>
    <definedName name="BEx1GVMRHFXUP6XYYY9NR12PV5TF" hidden="1">#N/A</definedName>
    <definedName name="BEx1H6KIT7BHUH6MDDWC935V9N47" hidden="1">#N/A</definedName>
    <definedName name="BEx1HDGOOJ3SKHYMWUZJ1P0RQZ9N" hidden="1">#N/A</definedName>
    <definedName name="BEx1HDM5ZXSJG6JQEMSFV52PZ10V" hidden="1">#N/A</definedName>
    <definedName name="BEx1HETBBZVN5F43LKOFMC4QB0CR" hidden="1">#N/A</definedName>
    <definedName name="BEx1HGWNWPLNXICOTP90TKQVVE4E" hidden="1">#N/A</definedName>
    <definedName name="BEx1HIPLJZABY0EMUOTZN0EQMDPU" hidden="1">#N/A</definedName>
    <definedName name="BEx1HO94JIRX219MPWMB5E5XZ04X" hidden="1">#N/A</definedName>
    <definedName name="BEx1HQNF6KHM21E3XLW0NMSSEI9S" hidden="1">#N/A</definedName>
    <definedName name="BEx1HSLNWIW4S97ZBYY7I7M5YVH4" hidden="1">#N/A</definedName>
    <definedName name="BEx1I4QKTILCKZUSOJCVZN7SNHL5" hidden="1">#N/A</definedName>
    <definedName name="BEx1IE0ZP7RIFM9FI24S9I6AAJ14" hidden="1">#N/A</definedName>
    <definedName name="BEx1IGQ5B697MNDOE06MVSR0H58E" hidden="1">#N/A</definedName>
    <definedName name="BEx1IKRPW8MLB9Y485M1TL2IT9SH" hidden="1">#N/A</definedName>
    <definedName name="BEx1J0CSSHDJGBJUHVOEMCF2P4DL" hidden="1">#N/A</definedName>
    <definedName name="BEx1J61RRF9LJ3V3R5OY3WJ6VBWR" hidden="1">#N/A</definedName>
    <definedName name="BEx1J7E8VCGLPYU82QXVUG5N3ZAI" hidden="1">#N/A</definedName>
    <definedName name="BEx1JGE2YQWH8S25USOY08XVGO0D" hidden="1">#N/A</definedName>
    <definedName name="BEx1JJJC9T1W7HY4V7HP1S1W4JO1" hidden="1">#N/A</definedName>
    <definedName name="BEx1JKKZSJ7DI4PTFVI9VVFMB1X2" hidden="1">#N/A</definedName>
    <definedName name="BEx1JUBQFRVMASSFK4B3V0AD7YP9" hidden="1">#N/A</definedName>
    <definedName name="BEx1JXBM5W4YRWNQ0P95QQS6JWD6" hidden="1">#N/A</definedName>
    <definedName name="BEx1KGY9QEHZ9QSARMQUTQKRK4UX" hidden="1">#N/A</definedName>
    <definedName name="BEx1KKP1ELIF2UII2FWVGL7M1X7J" hidden="1">#N/A</definedName>
    <definedName name="BEx1KUVWMB0QCWA3RBE4CADFVRIS" hidden="1">#N/A</definedName>
    <definedName name="BEx1L2OG1SDFK2TPXELJ77YP4NI2" hidden="1">#N/A</definedName>
    <definedName name="BEx1L6Q60MWRDJB4L20LK0XPA0Z2" hidden="1">#N/A</definedName>
    <definedName name="BEx1LD63FP2Z4BR9TKSHOZW9KKZ5" hidden="1">#N/A</definedName>
    <definedName name="BEx1LDMB9RW982DUILM2WPT5VWQ3" hidden="1">#N/A</definedName>
    <definedName name="BEx1LRPGDQCOEMW8YT80J1XCDCIV" hidden="1">#N/A</definedName>
    <definedName name="BEx1LRUSJW4JG54X07QWD9R27WV9" hidden="1">#N/A</definedName>
    <definedName name="BEx1M1WBK5T0LP1AK2JYV6W87ID6" hidden="1">#N/A</definedName>
    <definedName name="BEx1M51HHDYGIT8PON7U8ICL2S95" hidden="1">#N/A</definedName>
    <definedName name="BEx1MTRKKVCHOZ0YGID6HZ49LJTO" hidden="1">#N/A</definedName>
    <definedName name="BEx1N3CUJ3UX61X38ZAJVPEN4KMC" hidden="1">#N/A</definedName>
    <definedName name="BEx1NM34KQTO1LDNSAFD1L82UZFG" hidden="1">#N/A</definedName>
    <definedName name="BEx1NO6TXZVOGCUWCCRTXRXWW0XL" hidden="1">#N/A</definedName>
    <definedName name="BEx1NS8EU5P9FQV3S0WRTXI5L361" hidden="1">#N/A</definedName>
    <definedName name="BEx1NUBX5VUYZFKQH69FN6BTLWCR" hidden="1">#N/A</definedName>
    <definedName name="BEx1NZ4K1L8UON80Y2A4RASKWGNP" hidden="1">#N/A</definedName>
    <definedName name="BEx1OLAZ915OGYWP0QP1QQWDLCRX" hidden="1">#N/A</definedName>
    <definedName name="BEx1OO5ER042IS6IC4TLDI75JNVH" hidden="1">#N/A</definedName>
    <definedName name="BEx1OTE54CBSUT8FWKRALEDCUWN4" hidden="1">#N/A</definedName>
    <definedName name="BEx1OVSMPADTX95QUOX34KZQ8EDY" hidden="1">#N/A</definedName>
    <definedName name="BEx1OX544IO9FQJI7YYQGZCEHB3O" hidden="1">#N/A</definedName>
    <definedName name="BEx1OY6SVEUT2EQ26P7EKEND342G" hidden="1">#N/A</definedName>
    <definedName name="BEx1OYN1LPIPI12O9G6F7QAOS9T4" hidden="1">#N/A</definedName>
    <definedName name="BEx1P1HHKJA799O3YZXQAX6KFH58" hidden="1">#N/A</definedName>
    <definedName name="BEx1P34W467WGPOXPK292QFJIPHJ" hidden="1">#N/A</definedName>
    <definedName name="BEx1P7S1J4TKGVJ43C2Q2R3M9WRB" hidden="1">#N/A</definedName>
    <definedName name="BEx1PA11BLPVZM8RC5BL46WX8YB5" hidden="1">#N/A</definedName>
    <definedName name="BEx1PBZ4BEFIPGMQXT9T8S4PZ2IM" hidden="1">#N/A</definedName>
    <definedName name="BEx1PLF2CFSXBZPVI6CJ534EIJDN" hidden="1">#N/A</definedName>
    <definedName name="BEx1PMWZB2DO6EM9BKLUICZJ65HD" hidden="1">#N/A</definedName>
    <definedName name="BEx1Q2ND0E60FPJYGEA0E5W3P080" hidden="1">#N/A</definedName>
    <definedName name="BEx1QA54J2A4I7IBQR19BTY28ZMR" hidden="1">#N/A</definedName>
    <definedName name="BEx1QIU0NZ13LALP0SA0WXCM67DI" hidden="1">#N/A</definedName>
    <definedName name="BEx1QMQAHG3KQUK59DVM68SWKZIZ" hidden="1">#N/A</definedName>
    <definedName name="BEx1R9YFKJCMSEST8OVCAO5E47FO" hidden="1">#N/A</definedName>
    <definedName name="BEx1RBGC06B3T52OIC0EQ1KGVP1I" hidden="1">#N/A</definedName>
    <definedName name="BEx1RRC7X4NI1CU4EO5XYE2GVARJ" hidden="1">#N/A</definedName>
    <definedName name="BEx1RZA1NCGT832L7EMR7GMF588W" hidden="1">#N/A</definedName>
    <definedName name="BEx1S0XGIPUSZQUCSGWSK10GKW7Y" hidden="1">#N/A</definedName>
    <definedName name="BEx1S5VFNKIXHTTCWSV60UC50EZ8" hidden="1">#N/A</definedName>
    <definedName name="BEx1SK3U02H0RGKEYXW7ZMCEOF3V" hidden="1">#N/A</definedName>
    <definedName name="BEx1SSNEZINBJT29QVS62VS1THT4" hidden="1">#N/A</definedName>
    <definedName name="BEx1SVNCHNANBJIDIQVB8AFK4HAN" hidden="1">#N/A</definedName>
    <definedName name="BEx1TJ0WLS9O7KNSGIPWTYHDYI1D" hidden="1">#N/A</definedName>
    <definedName name="BEx1U15M7LVVFZENH830B2BGWC04" hidden="1">#N/A</definedName>
    <definedName name="BEx1U7WFO8OZKB1EBF4H386JW91L" hidden="1">#N/A</definedName>
    <definedName name="BEx1U87938YR9N6HYI24KVBKLOS3" hidden="1">#N/A</definedName>
    <definedName name="BEx1UESH4KDWHYESQU2IE55RS3LI" hidden="1">#N/A</definedName>
    <definedName name="BEx1UI8N9KTCPSOJ7RDW0T8UEBNP" hidden="1">#N/A</definedName>
    <definedName name="BEx1UML0HHJFHA5TBOYQ24I3RV1W" hidden="1">#N/A</definedName>
    <definedName name="BEx1UUDIQPZ23XQ79GUL0RAWRSCK" hidden="1">#N/A</definedName>
    <definedName name="BEx1V67SEV778NVW68J8W5SND1J7" hidden="1">#N/A</definedName>
    <definedName name="BEx1VIY9SQLRESD11CC4PHYT0XSG" hidden="1">#N/A</definedName>
    <definedName name="BEx1WC67EH10SC38QWX3WEA5KH3A" hidden="1">#N/A</definedName>
    <definedName name="BEx1WGYTKZZIPM1577W5FEYKFH3V" hidden="1">#N/A</definedName>
    <definedName name="BEx1WHPURIV3D3PTJJ359H1OP7ZV" hidden="1">#N/A</definedName>
    <definedName name="BEx1WLWY2CR1WRD694JJSWSDFAIR" hidden="1">#N/A</definedName>
    <definedName name="BEx1WMD1LWPWRIK6GGAJRJAHJM8I" hidden="1">#N/A</definedName>
    <definedName name="BEx1WR0D41MR174LBF3P9E3K0J51" hidden="1">#N/A</definedName>
    <definedName name="BEx1WUB1FAS5PHU33TJ60SUHR618" hidden="1">#N/A</definedName>
    <definedName name="BEx1WX04G0INSPPG9NTNR3DYR6PZ" hidden="1">#N/A</definedName>
    <definedName name="BEx1X3LHU9DPG01VWX2IF65TRATF" hidden="1">#N/A</definedName>
    <definedName name="BEx1XK8AAMO0AH0Z1OUKW30CA7EQ" hidden="1">#N/A</definedName>
    <definedName name="BEx1XL4MZ7C80495GHQRWOBS16PQ" hidden="1">#N/A</definedName>
    <definedName name="BEx1Y2IGS2K95E1M51PEF9KJZ0KB" hidden="1">#N/A</definedName>
    <definedName name="BEx1Y3PKK83X2FN9SAALFHOWKMRQ" hidden="1">#N/A</definedName>
    <definedName name="BEx1YL3DJ7Y4AZ01ERCOGW0FJ26T" hidden="1">#N/A</definedName>
    <definedName name="BEx1Z2RYHSVD1H37817SN93VMURZ" hidden="1">#N/A</definedName>
    <definedName name="BEx3AMAKWI6458B67VKZO56MCNJW" hidden="1">#N/A</definedName>
    <definedName name="BEx3AOOVM42G82TNF53W0EKXLUSI" hidden="1">#N/A</definedName>
    <definedName name="BEx3AZH9W4SUFCAHNDOQ728R9V4L" hidden="1">#N/A</definedName>
    <definedName name="BEx3BJUZWTUTVLUHJB0BSY0K61AQ" hidden="1">#N/A</definedName>
    <definedName name="BEx3BNR9ES4KY7Q1DK83KC5NDGL8" hidden="1">#N/A</definedName>
    <definedName name="BEx3BW5CTV0DJU5AQS3ZQFK2VLF3" hidden="1">#N/A</definedName>
    <definedName name="BEx3BYP0FG369M7G3JEFLMMXAKTS" hidden="1">#N/A</definedName>
    <definedName name="BEx3C2QR0WUD19QSVO8EMIPNQJKH" hidden="1">#N/A</definedName>
    <definedName name="BEx3CCS3VNR1KW2R7DKSQFZ17QW0" hidden="1">#N/A</definedName>
    <definedName name="BEx3CKFCCPZZ6ROLAT5C1DZNIC1U" hidden="1">#N/A</definedName>
    <definedName name="BEx3CO0SVO4WLH0DO43DCHYDTH1P" hidden="1">#N/A</definedName>
    <definedName name="BEx3D9G6QTSPF9UYI4X0XY0VE896" hidden="1">#N/A</definedName>
    <definedName name="BEx3DCQU9PBRXIMLO62KS5RLH447" hidden="1">#N/A</definedName>
    <definedName name="BEx3EF99FD6QNNCNOKDEE67JHTUJ" hidden="1">#N/A</definedName>
    <definedName name="BEx3EHCSERZ2O2OAG8Y95UPG2IY9" hidden="1">#N/A</definedName>
    <definedName name="BEx3EJR3TCJDYS7ZXNDS5N9KTGIK" hidden="1">#N/A</definedName>
    <definedName name="BEx3ELJTTBS6P05CNISMGOJOA60V" hidden="1">#N/A</definedName>
    <definedName name="BEx3EQSLJBDDJRHNX19PBFCKNY2I" hidden="1">#N/A</definedName>
    <definedName name="BEx3EUUAX947Q5N6MY6W0KSNY78Y" hidden="1">#N/A</definedName>
    <definedName name="BEx3EWXUA3TV5K9AXW24YJ95YA3O" hidden="1">#N/A</definedName>
    <definedName name="BEx3FHMD1P5XBCH23ZKIFO6ZTCNB" hidden="1">#N/A</definedName>
    <definedName name="BEx3FI2G3YYIACQHXNXEA15M8ZK5" hidden="1">#N/A</definedName>
    <definedName name="BEx3FJ9MHSLDK8W91GO85FX1GX57" hidden="1">#N/A</definedName>
    <definedName name="BEx3FR251HFU7A33PU01SJUENL2B" hidden="1">#N/A</definedName>
    <definedName name="BEx3FX7EJL47JSLSWP3EOC265WAE" hidden="1">#N/A</definedName>
    <definedName name="BEx3G201R8NLJ6FIHO2QS0SW9QVV" hidden="1">#N/A</definedName>
    <definedName name="BEx3G2LL2II66XY5YCDPG4JE13A3" hidden="1">#N/A</definedName>
    <definedName name="BEx3G2WA0DTYY9D8AGHHOBTPE2B2" hidden="1">#N/A</definedName>
    <definedName name="BEx3GCXR6IAS0B6WJ03GJVH7CO52" hidden="1">#N/A</definedName>
    <definedName name="BEx3GEVV18SEQDI1JGY7EN6D1GT1" hidden="1">#N/A</definedName>
    <definedName name="BEx3GKFH64MKQX61S7DYTZ15JCPY" hidden="1">#N/A</definedName>
    <definedName name="BEx3GMJ1Y6UU02DLRL0QXCEKDA6C" hidden="1">#N/A</definedName>
    <definedName name="BEx3GN4LY0135CBDIN1TU2UEODGF" hidden="1">#N/A</definedName>
    <definedName name="BEx3GPDH2AH4QKT4OOSN563XUHBD" hidden="1">#N/A</definedName>
    <definedName name="BEx3H5UX2GZFZZT657YR76RHW5I6" hidden="1">#N/A</definedName>
    <definedName name="BEx3HMSEFOP6DBM4R97XA6B7NFG6" hidden="1">#N/A</definedName>
    <definedName name="BEx3HWJ5SQSD2CVCQNR183X44FR8" hidden="1">#N/A</definedName>
    <definedName name="BEx3I09YVXO0G4X7KGSA4WGORM35" hidden="1">#N/A</definedName>
    <definedName name="BEx3ICF1GY8HQEBIU9S43PDJ90BX" hidden="1">#N/A</definedName>
    <definedName name="BEx3IYAH2DEBFWO8F94H4MXE3RLY" hidden="1">#N/A</definedName>
    <definedName name="BEx3IZXXSYEW50379N2EAFWO8DZV" hidden="1">#N/A</definedName>
    <definedName name="BEx3J1VZVGTKT4ATPO9O5JCSFTTR" hidden="1">#N/A</definedName>
    <definedName name="BEx3J56PAU1OHPRDFDG67H0BD0TJ" hidden="1">#N/A</definedName>
    <definedName name="BEx3JC2TY7JNAAC3L7QHVPQXLGQ8" hidden="1">#N/A</definedName>
    <definedName name="BEx3JQBEVT0037JKHKBA4BI5NDG7" hidden="1">#N/A</definedName>
    <definedName name="BEx3JX23SYDIGOGM4Y0CQFBW8ZBV" hidden="1">#N/A</definedName>
    <definedName name="BEx3JXCXCVBZJGV5VEG9MJEI01AL" hidden="1">#N/A</definedName>
    <definedName name="BEx3JYK2N7X59TPJSKYZ77ENY8SS" hidden="1">#N/A</definedName>
    <definedName name="BEx3K4EII7GU1CG0BN7UL15M6J8Z" hidden="1">#N/A</definedName>
    <definedName name="BEx3K4ZXQUQ2KYZF74B84SO48XMW" hidden="1">#N/A</definedName>
    <definedName name="BEx3KEFXUCVNVPH7KSEGAZYX13B5" hidden="1">#N/A</definedName>
    <definedName name="BEx3KFXUAF6YXAA47B7Q6X9B3VGB" hidden="1">#N/A</definedName>
    <definedName name="BEx3KIXQYOGMPK4WJJAVBRX4NR28" hidden="1">#N/A</definedName>
    <definedName name="BEx3KJOMVOSFZVJUL3GKCNP6DQDS" hidden="1">#N/A</definedName>
    <definedName name="BEx3KP2VRBMORK0QEAZUYCXL3DHJ" hidden="1">#N/A</definedName>
    <definedName name="BEx3L4IN3LI4C26SITKTGAH27CDU" hidden="1">#N/A</definedName>
    <definedName name="BEx3L4YQ0J7ZU0M5QM6YIPCEYC9K" hidden="1">#N/A</definedName>
    <definedName name="BEx3L60DJOR7NQN42G7YSAODP1EX" hidden="1">#N/A</definedName>
    <definedName name="BEx3L7D0PI38HWZ7VADU16C9E33D" hidden="1">#N/A</definedName>
    <definedName name="BEx3LM1PR4Y7KINKMTMKR984GX8Q" hidden="1">#N/A</definedName>
    <definedName name="BEx3LPCEZ1C0XEKNCM3YT09JWCUO" hidden="1">#N/A</definedName>
    <definedName name="BEx3M1MR1K1NQD03H74BFWOK4MWQ" hidden="1">#N/A</definedName>
    <definedName name="BEx3M4H77MYUKOOD31H9F80NMVK8" hidden="1">#N/A</definedName>
    <definedName name="BEx3M9VFX329PZWYC4DMZ6P3W9R2" hidden="1">#N/A</definedName>
    <definedName name="BEx3MCQ0VEBV0CZXDS505L38EQ8N" hidden="1">#N/A</definedName>
    <definedName name="BEx3MEYV5LQY0BAL7V3CFAFVOM3T" hidden="1">#N/A</definedName>
    <definedName name="BEx3MREOFWJQEYMCMBL7ZE06NBN6" hidden="1">#N/A</definedName>
    <definedName name="BEx3NKXF7GYXHBK75UI6MDRUSU0J" hidden="1">#N/A</definedName>
    <definedName name="BEx3NLIZ7PHF2XE59ECZ3MD04ZG1" hidden="1">#N/A</definedName>
    <definedName name="BEx3NMQ4BVC94728AUM7CCX7UHTU" hidden="1">#N/A</definedName>
    <definedName name="BEx3NR2I4OUFP3Z2QZEDU2PIFIDI" hidden="1">#N/A</definedName>
    <definedName name="BEx3O19B8FTTAPVT5DZXQGQXWFR8" hidden="1">#N/A</definedName>
    <definedName name="BEx3O85IKWARA6NCJOLRBRJFMEWW" hidden="1">#N/A</definedName>
    <definedName name="BEx3OJZSCGFRW7SVGBFI0X9DNVMM" hidden="1">#N/A</definedName>
    <definedName name="BEx3ORSBUXAF21MKEY90YJV9AY9A" hidden="1">#N/A</definedName>
    <definedName name="BEx3OV8BH6PYNZT7C246LOAU9SVX" hidden="1">#N/A</definedName>
    <definedName name="BEx3OXRYJZUEY6E72UJU0PHLMYAR" hidden="1">#N/A</definedName>
    <definedName name="BEx3P59TTRSGQY888P5C1O7M2PQT" hidden="1">#N/A</definedName>
    <definedName name="BEx3PDNRRNKD5GOUBUQFXAHIXLD9" hidden="1">#N/A</definedName>
    <definedName name="BEx3PDT8GNPWLLN02IH1XPV90XYK" hidden="1">#N/A</definedName>
    <definedName name="BEx3PKEMDW8KZEP11IL927C5O7I2" hidden="1">#N/A</definedName>
    <definedName name="BEx3PKJZ1Z7L9S6KV8KXVS6B2FX4" hidden="1">#N/A</definedName>
    <definedName name="BEx3PMNG53Z5HY138H99QOMTX8W3" hidden="1">#N/A</definedName>
    <definedName name="BEx3PP1RRSFZ8UC0JC9R91W6LNKW" hidden="1">#N/A</definedName>
    <definedName name="BEx3PVXYZC8WB9ZJE7OCKUXZ46EA" hidden="1">#N/A</definedName>
    <definedName name="BEx3Q0VWPU5EQECK7MQ47TYJ3SWW" hidden="1">#N/A</definedName>
    <definedName name="BEx3Q7BZ9PUXK2RLIOFSIS9AHU1B" hidden="1">#N/A</definedName>
    <definedName name="BEx3Q8J42S9VU6EAN2Y28MR6DF88" hidden="1">#N/A</definedName>
    <definedName name="BEx3QEDFOYFY5NBTININ5W4RLD4Q" hidden="1">#N/A</definedName>
    <definedName name="BEx3QIKJ3U962US1Q564NZDLU8LD" hidden="1">#N/A</definedName>
    <definedName name="BEx3QR9D45DHW50VQ7Y3Q1AXPOB9" hidden="1">#N/A</definedName>
    <definedName name="BEx3QSWT2S5KWG6U2V9711IYDQBM" hidden="1">#N/A</definedName>
    <definedName name="BEx3QVGG7Q2X4HZHJAM35A8T3VR7" hidden="1">#N/A</definedName>
    <definedName name="BEx3R0JUB9YN8PHPPQTAMIT1IHWK" hidden="1">#N/A</definedName>
    <definedName name="BEx3R81NFRO7M81VHVKOBFT0QBIL" hidden="1">#N/A</definedName>
    <definedName name="BEx3RHC2ZD5UFS6QD4OPFCNNMWH1" hidden="1">#N/A</definedName>
    <definedName name="BEx3RQ10QIWBAPHALAA91BUUCM2X" hidden="1">#N/A</definedName>
    <definedName name="BEx3RV4E1WT43SZBUN09RTB8EK1O" hidden="1">#N/A</definedName>
    <definedName name="BEx3RXYU0QLFXSFTM5EB20GD03W5" hidden="1">#N/A</definedName>
    <definedName name="BEx3RYKLC3QQO3XTUN7BEW2AQL98" hidden="1">#N/A</definedName>
    <definedName name="BEx3SICJ45BYT6FHBER86PJT25FC" hidden="1">#N/A</definedName>
    <definedName name="BEx3SMUCMJVGQ2H4EHQI5ZFHEF0P" hidden="1">#N/A</definedName>
    <definedName name="BEx3SN56F03CPDRDA7LZ763V0N4I" hidden="1">#N/A</definedName>
    <definedName name="BEx3SPE6N1ORXPRCDL3JPZD73Z9F" hidden="1">#N/A</definedName>
    <definedName name="BEx3T29ZTULQE0OMSMWUMZDU9ZZ0" hidden="1">#N/A</definedName>
    <definedName name="BEx3T6MJ1QDJ929WMUDVZ0O3UW0Y" hidden="1">#N/A</definedName>
    <definedName name="BEx3TPCSI16OAB2L9M9IULQMQ9J9" hidden="1">#N/A</definedName>
    <definedName name="BEx3U64YUOZ419BAJS2W78UMATAW" hidden="1">#N/A</definedName>
    <definedName name="BEx3U94WCEA5DKMWBEX1GU0LKYG2" hidden="1">#N/A</definedName>
    <definedName name="BEx3U9VZ8SQVYS6ZA038J7AP7ZGW" hidden="1">#N/A</definedName>
    <definedName name="BEx3UIQ5WRJBGNTFCCLOR4N7B1OQ" hidden="1">#N/A</definedName>
    <definedName name="BEx3UJMIX2NUSSWGMSI25A5DM4CH" hidden="1">#N/A</definedName>
    <definedName name="BEx3UKOCOQG7S1YQ436S997K1KWV" hidden="1">#N/A</definedName>
    <definedName name="BEx3UYM19VIXLA0EU7LB9NHA77PB" hidden="1">#N/A</definedName>
    <definedName name="BEx3VML7CG70HPISMVYIUEN3711Q" hidden="1">#N/A</definedName>
    <definedName name="BEx3VSKYARHRC25ANEWZGA9GLUAA" hidden="1">#N/A</definedName>
    <definedName name="BEx56ZID5H04P9AIYLP1OASFGV56" hidden="1">#N/A</definedName>
    <definedName name="BEx587EYSS57E3PI8DT973HLJM9E" hidden="1">#N/A</definedName>
    <definedName name="BEx587KFQ3VKCOCY1SA5F24PQGUI" hidden="1">#N/A</definedName>
    <definedName name="BEx58O780PQ05NF0Z1SKKRB3N099" hidden="1">#N/A</definedName>
    <definedName name="BEx58XHO7ZULLF2EUD7YIS0MGQJ5" hidden="1">#N/A</definedName>
    <definedName name="BEx58ZW0HAIGIPEX9CVA1PQQTR6X" hidden="1">#N/A</definedName>
    <definedName name="BEx59BA1KH3RG6K1LHL7YS2VB79N" hidden="1">#N/A</definedName>
    <definedName name="BEx59E9WABJP2TN71QAIKK79HPK9" hidden="1">#N/A</definedName>
    <definedName name="BEx59P7MAPNU129ZTC5H3EH892G1" hidden="1">#N/A</definedName>
    <definedName name="BEx5A11WZRQSIE089QE119AOX9ZG" hidden="1">#N/A</definedName>
    <definedName name="BEx5A7CIGCOTHJKHGUBDZG91JGPZ" hidden="1">#N/A</definedName>
    <definedName name="BEx5A8UFLT2SWVSG5COFA9B8P376" hidden="1">#N/A</definedName>
    <definedName name="BEx5AFFTN3IXIBHDKM0FYC4OFL1S" hidden="1">#N/A</definedName>
    <definedName name="BEx5AOFIO8KVRHIZ1RII337AA8ML" hidden="1">#N/A</definedName>
    <definedName name="BEx5APRZ66L5BWHFE8E4YYNEDTI4" hidden="1">#N/A</definedName>
    <definedName name="BEx5AUVDSQ35VO4BD9AKKGBM5S7D" hidden="1">#N/A</definedName>
    <definedName name="BEx5B4RHHX0J1BF2FZKEA0SPP29O" hidden="1">#N/A</definedName>
    <definedName name="BEx5B5YMSWP0OVI5CIQRP5V18D0C" hidden="1">#N/A</definedName>
    <definedName name="BEx5B825RW35M5H0UB2IZGGRS4ER" hidden="1">#N/A</definedName>
    <definedName name="BEx5BAWPMY0TL684WDXX6KKJLRCN" hidden="1">#N/A</definedName>
    <definedName name="BEx5BBI61U4Y65GD0ARMTALPP7SJ" hidden="1">#N/A</definedName>
    <definedName name="BEx5BDR56MEV4IHY6CIH2SVNG1UB" hidden="1">#N/A</definedName>
    <definedName name="BEx5BESZC5H329SKHGJOHZFILYJJ" hidden="1">#N/A</definedName>
    <definedName name="BEx5BHSQ42B50IU1TEQFUXFX9XQD" hidden="1">#N/A</definedName>
    <definedName name="BEx5BKSM4UN4C1DM3EYKM79MRC5K" hidden="1">#N/A</definedName>
    <definedName name="BEx5BLP00QMF8U26ZPILK6CFKDKP" hidden="1">#N/A</definedName>
    <definedName name="BEx5BNN8NPH9KVOBARB9CDD9WLB6" hidden="1">#N/A</definedName>
    <definedName name="BEx5BYFMZ80TDDN2EZO8CF39AIAC" hidden="1">#N/A</definedName>
    <definedName name="BEx5C2BWFW6SHZBFDEISKGXHZCQW" hidden="1">#N/A</definedName>
    <definedName name="BEx5C49ZFH8TO9ZU55729C3F7XG7" hidden="1">#N/A</definedName>
    <definedName name="BEx5C8GZQK13G60ZM70P63I5OS0L" hidden="1">#N/A</definedName>
    <definedName name="BEx5CAPTVN2NBT3UOMA1UFAL1C2R" hidden="1">#N/A</definedName>
    <definedName name="BEx5CEM3SYF9XP0ZZVE0GEPCLV3F" hidden="1">#N/A</definedName>
    <definedName name="BEx5CFYQ0F1Z6P8SCVJ0I3UPVFE4" hidden="1">#N/A</definedName>
    <definedName name="BEx5CINUDCSDCAJSNNV7XVNU8Q79" hidden="1">#N/A</definedName>
    <definedName name="BEx5CNLUIOYU8EODGA03Z3547I9T" hidden="1">#N/A</definedName>
    <definedName name="BEx5CPEKNSJORIPFQC2E1LTRYY8L" hidden="1">#N/A</definedName>
    <definedName name="BEx5CSUOL05D8PAM2TRDA9VRJT1O" hidden="1">#N/A</definedName>
    <definedName name="BEx5CUNFOO4YDFJ22HCMI2QKIGKM" hidden="1">#N/A</definedName>
    <definedName name="BEx5D8L47OF0WHBPFWXGZINZWUBZ" hidden="1">#N/A</definedName>
    <definedName name="BEx5DAJAHQ2SKUPCKSCR3PYML67L" hidden="1">#N/A</definedName>
    <definedName name="BEx5DC18JM1KJCV44PF18E0LNRKA" hidden="1">#N/A</definedName>
    <definedName name="BEx5DJIZBTNS011R9IIG2OQ2L6ZX" hidden="1">#N/A</definedName>
    <definedName name="BEx5DVYP51PH1M6DTU5RBJNM94GO" hidden="1">#N/A</definedName>
    <definedName name="BEx5E123OLO9WQUOIRIDJ967KAGK" hidden="1">#N/A</definedName>
    <definedName name="BEx5E2UU5NES6W779W2OZTZOB4O7" hidden="1">#N/A</definedName>
    <definedName name="BEx5E4CSE5G83J5K32WENF7BXL82" hidden="1">#N/A</definedName>
    <definedName name="BEx5ELQL9B0VR6UT18KP11DHOTFX" hidden="1">#N/A</definedName>
    <definedName name="BEx5ER4TJTFPN7IB1MNEB1ZFR5M6" hidden="1">#N/A</definedName>
    <definedName name="BEx5F6V72QTCK7O39Y59R0EVM6CW" hidden="1">#N/A</definedName>
    <definedName name="BEx5FGLQVACD5F5YZG4DGSCHCGO2" hidden="1">#N/A</definedName>
    <definedName name="BEx5FLJWHLW3BTZILDPN5NMA449V" hidden="1">#N/A</definedName>
    <definedName name="BEx5FNI2O10YN2SI1NO4X5GP3GTF" hidden="1">#N/A</definedName>
    <definedName name="BEx5FO8YRFSZCG3L608EHIHIHFY4" hidden="1">#N/A</definedName>
    <definedName name="BEx5FQNA6V4CNYSH013K45RI4BCV" hidden="1">#N/A</definedName>
    <definedName name="BEx5FVQPPEU32CPNV9RRQ9MNLLVE" hidden="1">#N/A</definedName>
    <definedName name="BEx5G08KGMG5X2AQKDGPFYG5GH94" hidden="1">#N/A</definedName>
    <definedName name="BEx5G1A8TFN4C4QII35U9DKYNIS8" hidden="1">#N/A</definedName>
    <definedName name="BEx5G1L0QO91KEPDMV1D8OT4BT73" hidden="1">#N/A</definedName>
    <definedName name="BEx5G86DZL1VYUX6KWODAP3WFAWP" hidden="1">#N/A</definedName>
    <definedName name="BEx5G8BV2GIOCM3C7IUFK8L04A6M" hidden="1">#N/A</definedName>
    <definedName name="BEx5GID9MVBUPFFT9M8K8B5MO9NV" hidden="1">#N/A</definedName>
    <definedName name="BEx5GN0EWA9SCQDPQ7NTUQH82QVK" hidden="1">#N/A</definedName>
    <definedName name="BEx5GNBCU4WZ74I0UXFL9ZG2XSGJ" hidden="1">#N/A</definedName>
    <definedName name="BEx5GUCTYC7QCWGWU5BTO7Y7HDZX" hidden="1">#N/A</definedName>
    <definedName name="BEx5GYUPJULJQ624TEESYFG1NFOH" hidden="1">#N/A</definedName>
    <definedName name="BEx5H0NEE0AIN5E2UHJ9J9ISU9N1" hidden="1">#N/A</definedName>
    <definedName name="BEx5H1UJSEUQM2K8QHQXO5THVHSO" hidden="1">#N/A</definedName>
    <definedName name="BEx5HAOT9XWUF7XIFRZZS8B9F5TZ" hidden="1">#N/A</definedName>
    <definedName name="BEx5HE4XRF9BUY04MENWY9CHHN5H" hidden="1">#N/A</definedName>
    <definedName name="BEx5HFHMABAT0H9KKS754X4T304E" hidden="1">#N/A</definedName>
    <definedName name="BEx5HGDZ7MX1S3KNXLRL9WU565V4" hidden="1">#N/A</definedName>
    <definedName name="BEx5HJZ9FAVNZSSBTAYRPZDYM9NU" hidden="1">#N/A</definedName>
    <definedName name="BEx5HZ9JMKHNLFWLVUB1WP5B39BL" hidden="1">#N/A</definedName>
    <definedName name="BEx5I244LQHZTF3XI66J8705R9XX" hidden="1">#N/A</definedName>
    <definedName name="BEx5I8PBP4LIXDGID5BP0THLO0AQ" hidden="1">#N/A</definedName>
    <definedName name="BEx5I8USVUB3JP4S9OXGMZVMOQXR" hidden="1">#N/A</definedName>
    <definedName name="BEx5I9GDQSYIAL65UQNDMNFQCS9Y" hidden="1">#N/A</definedName>
    <definedName name="BEx5IBUPG9AWNW5PK7JGRGEJ4OLM" hidden="1">#N/A</definedName>
    <definedName name="BEx5IC06RVN8BSAEPREVKHKLCJ2L" hidden="1">#N/A</definedName>
    <definedName name="BEx5J0FFP1KS4NGY20AEJI8VREEA" hidden="1">#N/A</definedName>
    <definedName name="BEx5JF3ZXLDIS8VNKDCY7ZI7H1CI" hidden="1">#N/A</definedName>
    <definedName name="BEx5JHCZJ8G6OOOW6EF3GABXKH6F" hidden="1">#N/A</definedName>
    <definedName name="BEx5JJB6W446THXQCRUKD3I7RKLP" hidden="1">#N/A</definedName>
    <definedName name="BEx5JJWTMI37U3RDEJOYLO93RJ6Z" hidden="1">#N/A</definedName>
    <definedName name="BEx5JNCT8Z7XSSPD5EMNAJELCU2V" hidden="1">#N/A</definedName>
    <definedName name="BEx5JQCNT9Y4RM306CHC8IPY3HBZ" hidden="1">#N/A</definedName>
    <definedName name="BEx5K08PYKE6JOKBYIB006TX619P" hidden="1">#N/A</definedName>
    <definedName name="BEx5K51DSERT1TR7B4A29R41W4NX" hidden="1">#N/A</definedName>
    <definedName name="BEx5KYER580I4T7WTLMUN7NLNP5K" hidden="1">#N/A</definedName>
    <definedName name="BEx5LHLB3M6K4ZKY2F42QBZT30ZH" hidden="1">#N/A</definedName>
    <definedName name="BEx5LRMNU3HXIE1BUMDHRU31F7JJ" hidden="1">#N/A</definedName>
    <definedName name="BEx5LSJ1LPUAX3ENSPECWPG4J7D1" hidden="1">#N/A</definedName>
    <definedName name="BEx5LTKQ8RQWJE4BC88OP928893U" hidden="1">#N/A</definedName>
    <definedName name="BEx5MB9BR71LZDG7XXQ2EO58JC5F" hidden="1">#N/A</definedName>
    <definedName name="BEx5MLQZM68YQSKARVWTTPINFQ2C" hidden="1">#N/A</definedName>
    <definedName name="BEx5MVXTKNBXHNWTL43C670E4KXC" hidden="1">#N/A</definedName>
    <definedName name="BEx5N4XI4PWB1W9PMZ4O5R0HWTYD" hidden="1">#N/A</definedName>
    <definedName name="BEx5NA68N6FJFX9UJXK4M14U487F" hidden="1">#N/A</definedName>
    <definedName name="BEx5NIKBG2GDJOYGE3WCXKU7YY51" hidden="1">#N/A</definedName>
    <definedName name="BEx5NV06L5J5IMKGOMGKGJ4PBZCD" hidden="1">#N/A</definedName>
    <definedName name="BEx5NZ1R2DMV2BHXW634VHSF5D5C" hidden="1">#N/A</definedName>
    <definedName name="BEx5NZSSQ6PY99ZX2D7Q9IGOR34W" hidden="1">#N/A</definedName>
    <definedName name="BEx5O3ZUQ2OARA1CDOZ3NC4UE5AA" hidden="1">#N/A</definedName>
    <definedName name="BEx5OAFS0NJ2CB86A02E1JYHMLQ1" hidden="1">#N/A</definedName>
    <definedName name="BEx5OG4RPU8W1ETWDWM234NYYYEN" hidden="1">#N/A</definedName>
    <definedName name="BEx5OP9Y43F99O2IT69MKCCXGL61" hidden="1">#N/A</definedName>
    <definedName name="BEx5P9Y9RDXNUAJ6CZ2LHMM8IM7T" hidden="1">#N/A</definedName>
    <definedName name="BEx5PHWB2C0D5QLP3BZIP3UO7DIZ" hidden="1">#N/A</definedName>
    <definedName name="BEx5PJP02W68K2E46L5C5YBSNU6T" hidden="1">#N/A</definedName>
    <definedName name="BEx5PLCA8DOMAU315YCS5275L2HS" hidden="1">#N/A</definedName>
    <definedName name="BEx5PRXMZ5M65Z732WNNGV564C2J" hidden="1">#N/A</definedName>
    <definedName name="BEx5QPSW4IPLH50WSR87HRER05RF" hidden="1">#N/A</definedName>
    <definedName name="BEx73V0EP8EMNRC3EZJJKKVKWQVB" hidden="1">#N/A</definedName>
    <definedName name="BEx741WJHIJVXUX131SBXTVW8D71" hidden="1">#N/A</definedName>
    <definedName name="BEx74ESIB9Y8KGETIERMKU5PLCQR" hidden="1">#N/A</definedName>
    <definedName name="BEx74Q6H3O7133AWQXWC21MI2UFT" hidden="1">#N/A</definedName>
    <definedName name="BEx74W6BJ8ENO3J25WNM5H5APKA3" hidden="1">#N/A</definedName>
    <definedName name="BEx755GRRD9BL27YHLH5QWIYLWB7" hidden="1">#N/A</definedName>
    <definedName name="BEx759D1D5SXS5ELLZVBI0SXYUNF" hidden="1">#N/A</definedName>
    <definedName name="BEx75GJZSZHUDN6OOAGQYFUDA2LP" hidden="1">#N/A</definedName>
    <definedName name="BEx75HGCCV5K4UCJWYV8EV9AG5YT" hidden="1">#N/A</definedName>
    <definedName name="BEx75PZT8TY5P13U978NVBUXKHT4" hidden="1">#N/A</definedName>
    <definedName name="BEx75T55F7GML8V1DMWL26WRT006" hidden="1">#N/A</definedName>
    <definedName name="BEx75VJGR07JY6UUWURQ4PJ29UKC" hidden="1">#N/A</definedName>
    <definedName name="BEx7741OUGLA0WJQLQRUJSL4DE00" hidden="1">#N/A</definedName>
    <definedName name="BEx774N83DXLJZ54Q42PWIJZ2DN1" hidden="1">#N/A</definedName>
    <definedName name="BEx779QNIY3061ZV9BR462WKEGRW" hidden="1">#N/A</definedName>
    <definedName name="BEx77G19QU9A95CNHE6QMVSQR2T3" hidden="1">#N/A</definedName>
    <definedName name="BEx77P0S3GVMS7BJUL9OWUGJ1B02" hidden="1">#N/A</definedName>
    <definedName name="BEx77QDESURI6WW5582YXSK3A972" hidden="1">#N/A</definedName>
    <definedName name="BEx77VBI9XOPFHKEWU5EHQ9J675Y" hidden="1">#N/A</definedName>
    <definedName name="BEx7809GQOCLHSNH95VOYIX7P1TV" hidden="1">#N/A</definedName>
    <definedName name="BEx780K8XAXUHGVZGZWQ74DK4CI3" hidden="1">#N/A</definedName>
    <definedName name="BEx78226TN58UE0CTY98YEDU0LSL" hidden="1">#N/A</definedName>
    <definedName name="BEx7881ZZBWHRAX6W2GY19J8MGEQ" hidden="1">#N/A</definedName>
    <definedName name="BEx78HHRIWDLHQX2LG0HWFRYEL1T" hidden="1">#N/A</definedName>
    <definedName name="BEx78QMXZ2P1ZB3HJ9O50DWHCMXR" hidden="1">#N/A</definedName>
    <definedName name="BEx78SFO5VR28677DWZEMDN7G86X" hidden="1">#N/A</definedName>
    <definedName name="BEx78SFOYH1Z0ZDTO47W2M60TW6K" hidden="1">#N/A</definedName>
    <definedName name="BEx79JK3E6JO8MX4O35A5G8NZCC8" hidden="1">#N/A</definedName>
    <definedName name="BEx79OCP4HQ6XP8EWNGEUDLOZBBS" hidden="1">#N/A</definedName>
    <definedName name="BEx79SEAYKUZB0H4LYBCD6WWJBG2" hidden="1">#N/A</definedName>
    <definedName name="BEx79SJRHTLS9PYM69O9BWW1FMJK" hidden="1">#N/A</definedName>
    <definedName name="BEx79YJJLBELICW9F9FRYSCQ101L" hidden="1">#N/A</definedName>
    <definedName name="BEx79YUC7B0V77FSBGIRCY1BR4VK" hidden="1">#N/A</definedName>
    <definedName name="BEx7A06T3RC2891FUX05G3QPRAUE" hidden="1">#N/A</definedName>
    <definedName name="BEx7A9S3JA1X7FH4CFSQLTZC4691" hidden="1">#N/A</definedName>
    <definedName name="BEx7ABA2C9IWH5VSLVLLLCY62161" hidden="1">#N/A</definedName>
    <definedName name="BEx7AE4LPLX8N85BYB0WCO5S7ZPV" hidden="1">#N/A</definedName>
    <definedName name="BEx7ASD1I654MEDCO6GGWA95PXSC" hidden="1">#N/A</definedName>
    <definedName name="BEx7AVCX9S5RJP3NSZ4QM4E6ERDT" hidden="1">#N/A</definedName>
    <definedName name="BEx7AVYIGP0930MV5JEBWRYCJN68" hidden="1">#N/A</definedName>
    <definedName name="BEx7B6LH6917TXOSAAQ6U7HVF018" hidden="1">#N/A</definedName>
    <definedName name="BEx7BPXFZXJ79FQ0E8AQE21PGVHA" hidden="1">#N/A</definedName>
    <definedName name="BEx7C04AM39DQMC1TIX7CFZ2ADHX" hidden="1">#N/A</definedName>
    <definedName name="BEx7C40F0PQURHPI6YQ39NFIR86Z" hidden="1">#N/A</definedName>
    <definedName name="BEx7C93VR7SYRIJS1JO8YZKSFAW9" hidden="1">#N/A</definedName>
    <definedName name="BEx7CCPC6R1KQQZ2JQU6EFI1G0RM" hidden="1">#N/A</definedName>
    <definedName name="BEx7CIJST9GLS2QD383UK7VUDTGL" hidden="1">#N/A</definedName>
    <definedName name="BEx7CL3MNZVB7T6R4YIFXB2NOBT8" hidden="1">#N/A</definedName>
    <definedName name="BEx7CO8T2XKC7GHDSYNAWTZ9L7YR" hidden="1">#N/A</definedName>
    <definedName name="BEx7CW1CF00DO8A36UNC2X7K65C2" hidden="1">#N/A</definedName>
    <definedName name="BEx7CW6NFRL2P4XWP0MWHIYA97KF" hidden="1">#N/A</definedName>
    <definedName name="BEx7D5RWKRS4W71J4NZ6ZSFHPKFT" hidden="1">#N/A</definedName>
    <definedName name="BEx7D8H1TPOX1UN17QZYEV7Q58GA" hidden="1">#N/A</definedName>
    <definedName name="BEx7DGF13H2074LRWFZQ45PZ6JPX" hidden="1">#N/A</definedName>
    <definedName name="BEx7DKWUXEDIISSX4GDD4YYT887F" hidden="1">#N/A</definedName>
    <definedName name="BEx7DMUYR2HC26WW7AOB1TULERMB" hidden="1">#N/A</definedName>
    <definedName name="BEx7DVJTRV44IMJIBFXELE67SZ7S" hidden="1">#N/A</definedName>
    <definedName name="BEx7DVUMFCI5INHMVFIJ44RTTSTT" hidden="1">#N/A</definedName>
    <definedName name="BEx7E2QT2U8THYOKBPXONB1B47WH" hidden="1">#N/A</definedName>
    <definedName name="BEx7E5QP7W6UKO74F5Y0VJ741HS5" hidden="1">#N/A</definedName>
    <definedName name="BEx7E6N29HGH3I47AFB2DCS6MVS6" hidden="1">#N/A</definedName>
    <definedName name="BEx7EBA8IYHQKT7IQAOAML660SYA" hidden="1">#N/A</definedName>
    <definedName name="BEx7EI6C8MCRZFEQYUBE5FSUTIHK" hidden="1">#N/A</definedName>
    <definedName name="BEx7EI6DL1Z6UWLFBXAKVGZTKHWJ" hidden="1">#N/A</definedName>
    <definedName name="BEx7EQKHX7GZYOLXRDU534TT4H64" hidden="1">#N/A</definedName>
    <definedName name="BEx7ETV6L1TM7JSXJIGK3FC6RVZW" hidden="1">#N/A</definedName>
    <definedName name="BEx7EWK9GUVV6FXWYIGH0TAI4V2O" hidden="1">#N/A</definedName>
    <definedName name="BEx7EYYLHMBYQTH6I377FCQS7CSX" hidden="1">#N/A</definedName>
    <definedName name="BEx7FCLG1RYI2SNOU1Y2GQZNZSWA" hidden="1">#N/A</definedName>
    <definedName name="BEx7FN32ZGWOAA4TTH79KINTDWR9" hidden="1">#N/A</definedName>
    <definedName name="BEx7G82CKM3NIY1PHNFK28M09PCH" hidden="1">#N/A</definedName>
    <definedName name="BEx7GR3ENYWRXXS5IT0UMEGOLGUH" hidden="1">#N/A</definedName>
    <definedName name="BEx7GSAL6P7TASL8MB63RFST1LJL" hidden="1">#N/A</definedName>
    <definedName name="BEx7H0JD6I5I8WQLLWOYWY5YWPQE" hidden="1">#N/A</definedName>
    <definedName name="BEx7H14XCXH7WEXEY1HVO53A6AGH" hidden="1">#N/A</definedName>
    <definedName name="BEx7HFTIA8AC8BR8HKIN81VE1SGW" hidden="1">#N/A</definedName>
    <definedName name="BEx7HGVBEF4LEIF6RC14N3PSU461" hidden="1">#N/A</definedName>
    <definedName name="BEx7HJKG6I7Q3UCJ834GPTI67WZP" hidden="1">#N/A</definedName>
    <definedName name="BEx7HQ5T9FZ42QWS09UO4DT42Y0R" hidden="1">#N/A</definedName>
    <definedName name="BEx7HRCZE3CVGON1HV07MT5MNDZ3" hidden="1">#N/A</definedName>
    <definedName name="BEx7HWGE2CANG5M17X4C8YNC3N8F" hidden="1">#N/A</definedName>
    <definedName name="BEx7I8FZ96C5JAHXS18ZV0912LZP" hidden="1">#N/A</definedName>
    <definedName name="BEx7IBVYN47SFZIA0K4MDKQZNN9V" hidden="1">#N/A</definedName>
    <definedName name="BEx7IV2IJ5WT7UC0UG7WP0WF2JZI" hidden="1">#N/A</definedName>
    <definedName name="BEx7IXGU74GE5E4S6W4Z13AR092Y" hidden="1">#N/A</definedName>
    <definedName name="BEx7J4YL8Q3BI1MLH16YYQ18IJRD" hidden="1">#N/A</definedName>
    <definedName name="BEx7JH3HGBPI07OHZ5LFYK0UFZQR" hidden="1">#N/A</definedName>
    <definedName name="BEx7JV194190CNM6WWGQ3UBJ3CHH" hidden="1">#N/A</definedName>
    <definedName name="BEx7K7GZ607XQOGB81A1HINBTGOZ" hidden="1">#N/A</definedName>
    <definedName name="BEx7KEYPBDXSNROH8M6CDCBN6B50" hidden="1">#N/A</definedName>
    <definedName name="BEx7KSAS8BZT6H8OQCZ5DNSTMO07" hidden="1">#N/A</definedName>
    <definedName name="BEx7KWHTBD21COXVI4HNEQH0Z3L8" hidden="1">#N/A</definedName>
    <definedName name="BEx7KXUGRMRSUXCM97Z7VRZQ9JH2" hidden="1">#N/A</definedName>
    <definedName name="BEx7L21IQVP1N1TTQLRMANSSLSLE" hidden="1">#N/A</definedName>
    <definedName name="BEx7L5C6U8MP6IZ67BD649WQYJEK" hidden="1">#N/A</definedName>
    <definedName name="BEx7L8HEYEVTATR0OG5JJO647KNI" hidden="1">#N/A</definedName>
    <definedName name="BEx7L8XOV64OMS15ZFURFEUXLMWF" hidden="1">#N/A</definedName>
    <definedName name="BEx7LJVFQACL9F4DRS9YZQ9R2N30" hidden="1">#N/A</definedName>
    <definedName name="BEx7MAUI1JJFDIJGDW4RWY5384LY" hidden="1">#N/A</definedName>
    <definedName name="BEx7MJZO3UKAMJ53UWOJ5ZD4GGMQ" hidden="1">#N/A</definedName>
    <definedName name="BEx7MT4MFNXIVQGAT6D971GZW7CA" hidden="1">#N/A</definedName>
    <definedName name="BEx7NI062THZAM6I8AJWTFJL91CS" hidden="1">#N/A</definedName>
    <definedName name="BEx904S75BPRYMHF0083JF7ES4NG" hidden="1">#N/A</definedName>
    <definedName name="BEx90HDD4RWF7JZGA8GCGG7D63MG" hidden="1">#N/A</definedName>
    <definedName name="BEx90VGH5H09ON2QXYC9WIIEU98T" hidden="1">#N/A</definedName>
    <definedName name="BEx9175B70QXYAU5A8DJPGZQ46L9" hidden="1">#N/A</definedName>
    <definedName name="BEx91AQQRTV87AO27VWHSFZAD4ZR" hidden="1">#N/A</definedName>
    <definedName name="BEx91L8FLL5CWLA2CDHKCOMGVDZN" hidden="1">#N/A</definedName>
    <definedName name="BEx91OTVH9ZDBC3QTORU8RZX4EOC" hidden="1">#N/A</definedName>
    <definedName name="BEx91QH5JRZKQP1GPN2SQMR3CKAG" hidden="1">#N/A</definedName>
    <definedName name="BEx91ROALDNHO7FI4X8L61RH4UJE" hidden="1">#N/A</definedName>
    <definedName name="BEx91TMID71GVYH0U16QM1RV3PX0" hidden="1">#N/A</definedName>
    <definedName name="BEx91VF2D78PAF337E3L2L81K9W2" hidden="1">#N/A</definedName>
    <definedName name="BEx921PNZ46VORG2VRMWREWIC0SE" hidden="1">#N/A</definedName>
    <definedName name="BEx92DPEKL5WM5A3CN8674JI0PR3" hidden="1">#N/A</definedName>
    <definedName name="BEx92ER2RMY93TZK0D9L9T3H0GI5" hidden="1">#N/A</definedName>
    <definedName name="BEx92FI04PJT4LI23KKIHRXWJDTT" hidden="1">#N/A</definedName>
    <definedName name="BEx92HR14HQ9D5JXCSPA4SS4RT62" hidden="1">#N/A</definedName>
    <definedName name="BEx92HWA2D6A5EX9MFG68G0NOMSN" hidden="1">#N/A</definedName>
    <definedName name="BEx92I1RLVR3ZIAROGUHDW2HCBW6" hidden="1">#N/A</definedName>
    <definedName name="BEx92PUBDIXAU1FW5ZAXECMAU0LN" hidden="1">#N/A</definedName>
    <definedName name="BEx92S8MHFFIVRQ2YSHZNQGOFUHD" hidden="1">#N/A</definedName>
    <definedName name="BEx93B9OULL2YGC896XXYAAJSTRK" hidden="1">#N/A</definedName>
    <definedName name="BEx93FRKF99NRT3LH99UTIH7AAYF" hidden="1">#N/A</definedName>
    <definedName name="BEx93M7FSHP50OG34A4W8W8DF12U" hidden="1">#N/A</definedName>
    <definedName name="BEx93OLWY2O3PRA74U41VG5RXT4Q" hidden="1">#N/A</definedName>
    <definedName name="BEx93RWFAF6YJGYUTITVM445C02U" hidden="1">#N/A</definedName>
    <definedName name="BEx93SY9RWG3HUV4YXQKXJH9FH14" hidden="1">#N/A</definedName>
    <definedName name="BEx93TJUX3U0FJDBG6DDSNQ91R5J" hidden="1">#N/A</definedName>
    <definedName name="BEx942UCRHMI4B0US31HO95GSC2X" hidden="1">#N/A</definedName>
    <definedName name="BEx948ZFFQWVIDNG4AZAUGGGEB5U" hidden="1">#N/A</definedName>
    <definedName name="BEx94CKXG92OMURH41SNU6IOHK4J" hidden="1">#N/A</definedName>
    <definedName name="BEx94GXG30CIVB6ZQN3X3IK6BZXQ" hidden="1">#N/A</definedName>
    <definedName name="BEx94HZ5LURYM9ST744ALV6ZCKYP" hidden="1">#N/A</definedName>
    <definedName name="BEx94IQ75E90YUMWJ9N591LR7DQQ" hidden="1">#N/A</definedName>
    <definedName name="BEx94L9TBK45AUQSX1IUZ86U1GPQ" hidden="1">#N/A</definedName>
    <definedName name="BEx94N7W5T3U7UOE97D6OVIBUCXS" hidden="1">#N/A</definedName>
    <definedName name="BEx953PB6S6ECMD8N0JSW0CBG0DA" hidden="1">#N/A</definedName>
    <definedName name="BEx955NIAWX5OLAHMTV6QFUZPR30" hidden="1">#N/A</definedName>
    <definedName name="BEx9581TYVI2M5TT4ISDAJV4W7Z6" hidden="1">#N/A</definedName>
    <definedName name="BEx95NHF4RVUE0YDOAFZEIVBYJXD" hidden="1">#N/A</definedName>
    <definedName name="BEx95QBZMG0E2KQ9BERJ861QLYN3" hidden="1">#N/A</definedName>
    <definedName name="BEx95QHBVDN795UNQJLRXG3RDU49" hidden="1">#N/A</definedName>
    <definedName name="BEx95TBVUWV7L7OMFMZDQEXGVHU6" hidden="1">#N/A</definedName>
    <definedName name="BEx95U89DZZSVO39TGS62CX8G9N4" hidden="1">#N/A</definedName>
    <definedName name="BEx9602K2GHNBUEUVT9ONRQU1GMD" hidden="1">#N/A</definedName>
    <definedName name="BEx962BL3Y4LA53EBYI64ZYMZE8U" hidden="1">#N/A</definedName>
    <definedName name="BEx96KR21O7H9R29TN0S45Y3QPUK" hidden="1">#N/A</definedName>
    <definedName name="BEx96SUFKHHFE8XQ6UUO6ILDOXHO" hidden="1">#N/A</definedName>
    <definedName name="BEx96UN4YWXBDEZ1U1ZUIPP41Z7I" hidden="1">#N/A</definedName>
    <definedName name="BEx970MYCPJ6DQ44TKLOIGZO5LHH" hidden="1">#N/A</definedName>
    <definedName name="BEx978KSD61YJH3S9DGO050R2EHA" hidden="1">#N/A</definedName>
    <definedName name="BEx97H9O1NAKAPK4MX4PKO34ICL5" hidden="1">#N/A</definedName>
    <definedName name="BEx97HVA5F2I0D6ID81KCUDEQOIH" hidden="1">#N/A</definedName>
    <definedName name="BEx97MNUZQ1Z0AO2FL7XQYVNCPR7" hidden="1">#N/A</definedName>
    <definedName name="BEx97NPQBACJVD9K1YXI08RTW9E2" hidden="1">#N/A</definedName>
    <definedName name="BEx97RWQLXS0OORDCN69IGA58CWU" hidden="1">#N/A</definedName>
    <definedName name="BEx97YNGGDFIXHTMGFL2IHAQX9MI" hidden="1">#N/A</definedName>
    <definedName name="BEx981HW73BUZWT14TBTZHC0ZTJ4" hidden="1">#N/A</definedName>
    <definedName name="BEx9871KU0N99P0900EAK69VFYT2" hidden="1">#N/A</definedName>
    <definedName name="BEx98IFKNJFGZFLID1YTRFEG1SXY" hidden="1">#N/A</definedName>
    <definedName name="BEx9915UVD4G7RA3IMLFZ0LG3UA2" hidden="1">#N/A</definedName>
    <definedName name="BEx992CZON8AO7U7V88VN1JBO0MG" hidden="1">#N/A</definedName>
    <definedName name="BEx9952469XMFGSPXL7CMXHPJF90" hidden="1">#N/A</definedName>
    <definedName name="BEx99B77I7TUSHRR4HIZ9FU2EIUT" hidden="1">#N/A</definedName>
    <definedName name="BEx99Q6PH5F3OQKCCAAO75PYDEFN" hidden="1">#N/A</definedName>
    <definedName name="BEx99WBYT2D6UUC1PT7A40ENYID4" hidden="1">#N/A</definedName>
    <definedName name="BEx99XOGHOM28CNCYKQWYGL56W2S" hidden="1">#N/A</definedName>
    <definedName name="BEx99ZRZ4I7FHDPGRAT5VW7NVBPU" hidden="1">#N/A</definedName>
    <definedName name="BEx9AT5E3ZSHKSOL35O38L8HF9TH" hidden="1">#N/A</definedName>
    <definedName name="BEx9AV8W1FAWF5BHATYEN47X12JN" hidden="1">#N/A</definedName>
    <definedName name="BEx9B6HFAULSW9IXMIKBHKRW03Z5" hidden="1">#N/A</definedName>
    <definedName name="BEx9B8A5186FNTQQNLIO5LK02ABI" hidden="1">#N/A</definedName>
    <definedName name="BEx9B8VR20E2CILU4CDQUQQ9ONXK" hidden="1">#N/A</definedName>
    <definedName name="BEx9B917EUP13X6FQ3NPQL76XM5V" hidden="1">#N/A</definedName>
    <definedName name="BEx9BAJ5WYEQ623HUT9NNCMP3RUG" hidden="1">#N/A</definedName>
    <definedName name="BEx9BYSYW7QCPXS2NAVLFAU5Y2Z2" hidden="1">#N/A</definedName>
    <definedName name="BEx9C590HJ2O31IWJB73C1HR74AI" hidden="1">#N/A</definedName>
    <definedName name="BEx9CCQRMYYOGIOYTOM73VKDIPS1" hidden="1">#N/A</definedName>
    <definedName name="BEx9D1BC9FT19KY0INAABNDBAMR1" hidden="1">#N/A</definedName>
    <definedName name="BEx9DN6ZMF18Q39MPMXSDJTZQNJ3" hidden="1">#N/A</definedName>
    <definedName name="BEx9DUU8DALPSCW66GTMQRPXZ6GL" hidden="1">#N/A</definedName>
    <definedName name="BEx9E14TDNSEMI784W0OTIEQMWN6" hidden="1">#N/A</definedName>
    <definedName name="BEx9E2BZ2B1R41FMGJCJ7JLGLUAJ" hidden="1">#N/A</definedName>
    <definedName name="BEx9EG9KBJ77M8LEOR9ITOKN5KXY" hidden="1">#N/A</definedName>
    <definedName name="BEx9EMK6HAJJMVYZTN5AUIV7O1E6" hidden="1">#N/A</definedName>
    <definedName name="BEx9EQAY352HT2ZRQK6GWSIN7DT6" hidden="1">#N/A</definedName>
    <definedName name="BEx9EQLVZHYQ1TPX7WH3SOWXCZLE" hidden="1">#N/A</definedName>
    <definedName name="BEx9ETLU0EK5LGEM1QCNYN2S8O5F" hidden="1">#N/A</definedName>
    <definedName name="BEx9F0Y2ESUNE3U7TQDLMPE9BO67" hidden="1">#N/A</definedName>
    <definedName name="BEx9F5W18ZGFOKGRE8PR6T1MO6GT" hidden="1">#N/A</definedName>
    <definedName name="BEx9F78N4HY0XFGBQ4UJRD52L1EI" hidden="1">#N/A</definedName>
    <definedName name="BEx9FF16LOQP5QIR4UHW5EIFGQB8" hidden="1">#N/A</definedName>
    <definedName name="BEx9FJTSRCZ3ZXT3QVBJT5NF8T7V" hidden="1">#N/A</definedName>
    <definedName name="BEx9FRBEEYPS5HLS3XT34AKZN94G" hidden="1">#N/A</definedName>
    <definedName name="BEx9GDY4D8ZPQJCYFIMYM0V0C51Y" hidden="1">#N/A</definedName>
    <definedName name="BEx9GGY04V0ZWI6O9KZH4KSBB389" hidden="1">#N/A</definedName>
    <definedName name="BEx9GNOPB6OZ2RH3FCDNJR38RJOS" hidden="1">#N/A</definedName>
    <definedName name="BEx9GUQALUWCD30UKUQGSWW8KBQ7" hidden="1">#N/A</definedName>
    <definedName name="BEx9GY6BVFQGCLMOWVT6PIC9WP5X" hidden="1">#N/A</definedName>
    <definedName name="BEx9GZ2P3FDHKXEBXX2VS0BG2NP2" hidden="1">#N/A</definedName>
    <definedName name="BEx9H04IB14E1437FF2OIRRWBSD7" hidden="1">#N/A</definedName>
    <definedName name="BEx9H5O1KDZJCW91Q29VRPY5YS6P" hidden="1">#N/A</definedName>
    <definedName name="BEx9H8YR0E906F1JXZMBX3LNT004" hidden="1">#N/A</definedName>
    <definedName name="BEx9I8XIG7E5NB48QQHXP23FIN60" hidden="1">#N/A</definedName>
    <definedName name="BEx9IQRF01ATLVK0YE60ARKQJ68L" hidden="1">#N/A</definedName>
    <definedName name="BEx9IT5QNZWKM6YQ5WER0DC2PMMU" hidden="1">#N/A</definedName>
    <definedName name="BEx9IW5MFLXTVCJHVUZTUH93AXOS" hidden="1">#N/A</definedName>
    <definedName name="BEx9IXCSPSZC80YZUPRCYTG326KV" hidden="1">#N/A</definedName>
    <definedName name="BEx9IZR39NHDGOM97H4E6F81RTQW" hidden="1">#N/A</definedName>
    <definedName name="BEx9J6CH5E7YZPER7HXEIOIKGPCA" hidden="1">#N/A</definedName>
    <definedName name="BEx9JJTZKVUJAVPTRE0RAVTEH41G" hidden="1">#N/A</definedName>
    <definedName name="BEx9JLBYK239B3F841C7YG1GT7ST" hidden="1">#N/A</definedName>
    <definedName name="BExAW4IIW5D0MDY6TJ3G4FOLPYIR" hidden="1">#N/A</definedName>
    <definedName name="BExAX410NB4F2XOB84OR2197H8M5" hidden="1">#N/A</definedName>
    <definedName name="BExAX8TNG8LQ5Q4904SAYQIPGBSV" hidden="1">#N/A</definedName>
    <definedName name="BExAY0EAT2LXR5MFGM0DLIB45PLO" hidden="1">#N/A</definedName>
    <definedName name="BExAYE6LNIEBR9DSNI5JGNITGKIT" hidden="1">#N/A</definedName>
    <definedName name="BExAYHMLXGGO25P8HYB2S75DEB4F" hidden="1">#N/A</definedName>
    <definedName name="BExAYKXAUWGDOPG952TEJ2UKZKWN" hidden="1">#N/A</definedName>
    <definedName name="BExAYP9TDTI2MBP6EYE0H39CPMXN" hidden="1">#N/A</definedName>
    <definedName name="BExAYPPWJPWDKU59O051WMGB7O0J" hidden="1">#N/A</definedName>
    <definedName name="BExAYR2JZCJBUH6F1LZC2A7JIVRJ" hidden="1">#N/A</definedName>
    <definedName name="BExAYTGVRD3DLKO75RFPMBKCIWB8" hidden="1">#N/A</definedName>
    <definedName name="BExAYY9H9COOT46HJLPVDLTO12UL" hidden="1">#N/A</definedName>
    <definedName name="BExAZCNEGB4JYHC8CZ51KTN890US" hidden="1">#N/A</definedName>
    <definedName name="BExAZFCI302YFYRDJYQDWQQL0Q0O" hidden="1">#N/A</definedName>
    <definedName name="BExAZLHLST9OP89R1HJMC1POQG8H" hidden="1">#N/A</definedName>
    <definedName name="BExAZMDYMIAA7RX1BMCKU1VLBRGY" hidden="1">#N/A</definedName>
    <definedName name="BExAZNL6BHI8DCQWXOX4I2P839UX" hidden="1">#N/A</definedName>
    <definedName name="BExAZRMWSONMCG9KDUM4KAQ7BONM" hidden="1">#N/A</definedName>
    <definedName name="BExAZTFG4SJRG4TW6JXRF7N08JFI" hidden="1">#N/A</definedName>
    <definedName name="BExAZUS4A8OHDZK0MWAOCCCKTH73" hidden="1">#N/A</definedName>
    <definedName name="BExAZX6FECVK3E07KXM2XPYKGM6U" hidden="1">#N/A</definedName>
    <definedName name="BExB012NJ8GASTNNPBRRFTLHIOC9" hidden="1">#N/A</definedName>
    <definedName name="BExB072HHXVMUC0VYNGG48GRSH5Q" hidden="1">#N/A</definedName>
    <definedName name="BExB0FRDEYDEUEAB1W8KD6D965XA" hidden="1">#N/A</definedName>
    <definedName name="BExB0KPCN7YJORQAYUCF4YKIKPMC" hidden="1">#N/A</definedName>
    <definedName name="BExB0WE4PI3NOBXXVO9CTEN4DIU2" hidden="1">#N/A</definedName>
    <definedName name="BExB10QNIVITUYS55OAEKK3VLJFE" hidden="1">#N/A</definedName>
    <definedName name="BExB15ZDRY4CIJ911DONP0KCY9KU" hidden="1">#N/A</definedName>
    <definedName name="BExB16VQY0O0RLZYJFU3OFEONVTE" hidden="1">#N/A</definedName>
    <definedName name="BExB1FKNY2UO4W5FUGFHJOA2WFGG" hidden="1">#N/A</definedName>
    <definedName name="BExB1GMD0PIDGTFBGQOPRWQSP9I4" hidden="1">#N/A</definedName>
    <definedName name="BExB1Q29OO6LNFNT1EQLA3KYE7MX" hidden="1">#N/A</definedName>
    <definedName name="BExB1TNRV5EBWZEHYLHI76T0FVA7" hidden="1">#N/A</definedName>
    <definedName name="BExB1WI6M8I0EEP1ANUQZCFY24EV" hidden="1">#N/A</definedName>
    <definedName name="BExB203OWC9QZA3BYOKQ18L4FUJE" hidden="1">#N/A</definedName>
    <definedName name="BExB2CJHTU7C591BR4WRL5L2F2K6" hidden="1">#N/A</definedName>
    <definedName name="BExB2K1AV4PGNS1O6C7D7AO411AX" hidden="1">#N/A</definedName>
    <definedName name="BExB2O2UYHKI324YE324E1N7FVIB" hidden="1">#N/A</definedName>
    <definedName name="BExB2Q0VJ0MU2URO3JOVUAVHEI3V" hidden="1">#N/A</definedName>
    <definedName name="BExB30IP1DNKNQ6PZ5ERUGR5MK4Z" hidden="1">#N/A</definedName>
    <definedName name="BExB442RX0T3L6HUL6X5T21CENW6" hidden="1">#N/A</definedName>
    <definedName name="BExB4ADD0L7417CII901XTFKXD1J" hidden="1">#N/A</definedName>
    <definedName name="BExB4DO1V1NL2AVK5YE1RSL5RYHL" hidden="1">#N/A</definedName>
    <definedName name="BExB4DYU06HCGRIPBSWRCXK804UM" hidden="1">#N/A</definedName>
    <definedName name="BExB4QEHP88TDHO8TGYV91365M0F" hidden="1">#N/A</definedName>
    <definedName name="BExB4Z3EZBGYYI33U0KQ8NEIH8PY" hidden="1">#N/A</definedName>
    <definedName name="BExB55368XW7UX657ZSPC6BFE92S" hidden="1">#N/A</definedName>
    <definedName name="BExB57MZEPL2SA2ONPK66YFLZWJU" hidden="1">#N/A</definedName>
    <definedName name="BExB5833OAOJ22VK1YK47FHUSVK2" hidden="1">#N/A</definedName>
    <definedName name="BExB58JDIHS42JZT9DJJMKA8QFCO" hidden="1">#N/A</definedName>
    <definedName name="BExB58U5FQC5JWV9CGC83HLLZUZI" hidden="1">#N/A</definedName>
    <definedName name="BExB5EDO9XUKHF74X3HAU2WPPHZH" hidden="1">#N/A</definedName>
    <definedName name="BExB5G6EH68AYEP1UT0GHUEL3SLN" hidden="1">#N/A</definedName>
    <definedName name="BExB5QYVEZWFE5DQVHAM760EV05X" hidden="1">#N/A</definedName>
    <definedName name="BExB5U9IRH14EMOE0YGIE3WIVLFS" hidden="1">#N/A</definedName>
    <definedName name="BExB5VWYMOV6BAIH7XUBBVPU7MMD" hidden="1">#N/A</definedName>
    <definedName name="BExB610DZWIJP1B72U9QM42COH2B" hidden="1">#N/A</definedName>
    <definedName name="BExB6C3FUAKK9ML5T767NMWGA9YB" hidden="1">#N/A</definedName>
    <definedName name="BExB6C8X6JYRLKZKK17VE3QUNL3D" hidden="1">#N/A</definedName>
    <definedName name="BExB6HN3QRFPXM71MDUK21BKM7PF" hidden="1">#N/A</definedName>
    <definedName name="BExB6IZMHCZ3LB7N73KD90YB1HBZ" hidden="1">#N/A</definedName>
    <definedName name="BExB719SGNX4Y8NE6JEXC555K596" hidden="1">#N/A</definedName>
    <definedName name="BExB7265DCHKS7V2OWRBXCZTEIW9" hidden="1">#N/A</definedName>
    <definedName name="BExB74PS5P9G0P09Y6DZSCX0FLTJ" hidden="1">#N/A</definedName>
    <definedName name="BExB78RH79J0MIF7H8CAZ0CFE88Q" hidden="1">#N/A</definedName>
    <definedName name="BExB7ELT09HGDVO5BJC1ZY9D09GZ" hidden="1">#N/A</definedName>
    <definedName name="BExB806PAXX70XUTA3ZI7OORD78R" hidden="1">#N/A</definedName>
    <definedName name="BExB8B4K8WFO3JUW66JXKOKB130W" hidden="1">#N/A</definedName>
    <definedName name="BExB8HF4UBVZKQCSRFRUQL2EE6VL" hidden="1">#N/A</definedName>
    <definedName name="BExB8HKHKZ1ORJZUYGG2M4VSCC39" hidden="1">#N/A</definedName>
    <definedName name="BExB8QPH8DC5BESEVPSMBCWVN6PO" hidden="1">#N/A</definedName>
    <definedName name="BExB8U5N0D85YR8APKN3PPKG0FWP" hidden="1">#N/A</definedName>
    <definedName name="BExB9DHI5I2TJ2LXYPM98EE81L27" hidden="1">#N/A</definedName>
    <definedName name="BExB9Q2MZZHBGW8QQKVEYIMJBPIE" hidden="1">#N/A</definedName>
    <definedName name="BExBA1GON0EZRJ20UYPILAPLNQWM" hidden="1">#N/A</definedName>
    <definedName name="BExBA69ASGYRZW1G1DYIS9QRRTBN" hidden="1">#N/A</definedName>
    <definedName name="BExBA6K42582A14WFFWQ3Q8QQWB6" hidden="1">#N/A</definedName>
    <definedName name="BExBA8I5D4R8R2PYQ1K16TWGTOEP" hidden="1">#N/A</definedName>
    <definedName name="BExBA93PE0DGUUTA7LLSIGBIXWE5" hidden="1">#N/A</definedName>
    <definedName name="BExBAI8X0FKDQJ6YZJQDTTG4ZCWY" hidden="1">#N/A</definedName>
    <definedName name="BExBAKN7XIBAXCF9PCNVS038PCQO" hidden="1">#N/A</definedName>
    <definedName name="BExBAKXZ7PBW3DDKKA5MWC1ZUC7O" hidden="1">#N/A</definedName>
    <definedName name="BExBAO8NLXZXHO6KCIECSFCH3RR0" hidden="1">#N/A</definedName>
    <definedName name="BExBAOOT1KBSIEISN1ADL4RMY879" hidden="1">#N/A</definedName>
    <definedName name="BExBAVKX8Q09370X1GCZWJ4E91YJ" hidden="1">#N/A</definedName>
    <definedName name="BExBAX2X2ENJYO4QTR5VAIQ86L7B" hidden="1">#N/A</definedName>
    <definedName name="BExBAZ13D3F1DVJQ6YJ8JGUYEYJE" hidden="1">#N/A</definedName>
    <definedName name="BExBBTG649R9I0CT042JLL8LXV18" hidden="1">#N/A</definedName>
    <definedName name="BExBBUCJQRR74Q7GPWDEZXYK2KJL" hidden="1">#N/A</definedName>
    <definedName name="BExBBV8XVMD9CKZY711T0BN7H3PM" hidden="1">#N/A</definedName>
    <definedName name="BExBC78HXWXHO3XAB6E8NVTBGLJS" hidden="1">#N/A</definedName>
    <definedName name="BExBCKKJTIRKC1RZJRTK65HHLX4W" hidden="1">#N/A</definedName>
    <definedName name="BExBCLMEPAN3XXX174TU8SS0627Q" hidden="1">#N/A</definedName>
    <definedName name="BExBCRBEYR2KZ8FAQFZ2NHY13WIY" hidden="1">#N/A</definedName>
    <definedName name="BExBD4I559NXSV6J07Q343TKYMVJ" hidden="1">#N/A</definedName>
    <definedName name="BExBDBZQLTX3OGFYGULQFK5WEZU5" hidden="1">#N/A</definedName>
    <definedName name="BExBDJS9TUEU8Z84IV59E5V4T8K6" hidden="1">#N/A</definedName>
    <definedName name="BExBDKOMSVH4XMH52CFJ3F028I9R" hidden="1">#N/A</definedName>
    <definedName name="BExBDSRXVZQ0W5WXQMP5XD00GRRL" hidden="1">#N/A</definedName>
    <definedName name="BExBDUVGK3E1J4JY9ZYTS7V14BLY" hidden="1">#N/A</definedName>
    <definedName name="BExBE162OSBKD30I7T1DKKPT3I9I" hidden="1">#N/A</definedName>
    <definedName name="BExBE5YPUY1T7N7DHMMIGGXK8TMP" hidden="1">#N/A</definedName>
    <definedName name="BExBEC9ATLQZF86W1M3APSM4HEOH" hidden="1">#N/A</definedName>
    <definedName name="BExBEYFQJE9YK12A6JBMRFKEC7RN" hidden="1">#N/A</definedName>
    <definedName name="BExBG1ED81J2O4A2S5F5Y3BPHMCR" hidden="1">#N/A</definedName>
    <definedName name="BExCRLIHS7466WFJ3RPIUGGXYESZ" hidden="1">#N/A</definedName>
    <definedName name="BExCS1EDDUEAEWHVYXHIP9I1WCJH" hidden="1">#N/A</definedName>
    <definedName name="BExCS6SLRCBH006GNRE27HFRHP40" hidden="1">#N/A</definedName>
    <definedName name="BExCS7ZPMHFJ4UJDAL8CQOLSZ13B" hidden="1">#N/A</definedName>
    <definedName name="BExCS8W4NJUZH9S1CYB6XSDLEPBW" hidden="1">#N/A</definedName>
    <definedName name="BExCSAE1M6G20R41J0Y24YNN0YC1" hidden="1">#N/A</definedName>
    <definedName name="BExCSAOUZOYKHN7HV511TO8VDJ02" hidden="1">#N/A</definedName>
    <definedName name="BExCSMOFTXSUEC1T46LR1UPYRCX5" hidden="1">#N/A</definedName>
    <definedName name="BExCSSDG3TM6TPKS19E9QYJEELZ6" hidden="1">#N/A</definedName>
    <definedName name="BExCSZV7U67UWXL2HKJNM5W1E4OO" hidden="1">#N/A</definedName>
    <definedName name="BExCT4NSDT61OCH04Y2QIFIOP75H" hidden="1">#N/A</definedName>
    <definedName name="BExCTW8G3VCZ55S09HTUGXKB1P2M" hidden="1">#N/A</definedName>
    <definedName name="BExCTYS2KX0QANOLT8LGZ9WV3S3T" hidden="1">#N/A</definedName>
    <definedName name="BExCTZZ9JNES4EDHW97NP0EGQALX" hidden="1">#N/A</definedName>
    <definedName name="BExCU0A1V6NMZQ9ASYJ8QIVQ5UR2" hidden="1">#N/A</definedName>
    <definedName name="BExCU2834920JBHSPCRC4UF80OLL" hidden="1">#N/A</definedName>
    <definedName name="BExCU8O54I3P3WRYWY1CRP3S78QY" hidden="1">#N/A</definedName>
    <definedName name="BExCUDRJO23YOKT8GPWOVQ4XEHF5" hidden="1">#N/A</definedName>
    <definedName name="BExCUPAXFR16YMWL30ME3F3BSRDZ" hidden="1">#N/A</definedName>
    <definedName name="BExCUR94DHCE47PUUWEMT5QZOYR2" hidden="1">#N/A</definedName>
    <definedName name="BExCV634L7SVHGB0UDDTRRQ2Q72H" hidden="1">#N/A</definedName>
    <definedName name="BExCVBXGSXT9FWJRG62PX9S1RK83" hidden="1">#N/A</definedName>
    <definedName name="BExCVHBNLOHNFS0JAV3I1XGPNH9W" hidden="1">#N/A</definedName>
    <definedName name="BExCVI86R31A2IOZIEBY1FJLVILD" hidden="1">#N/A</definedName>
    <definedName name="BExCVKGZXE0I9EIXKBZVSGSEY2RR" hidden="1">#N/A</definedName>
    <definedName name="BExCVV44WY5807WGMTGKPW0GT256" hidden="1">#N/A</definedName>
    <definedName name="BExCVZ5PN4V6MRBZ04PZJW3GEF8S" hidden="1">#N/A</definedName>
    <definedName name="BExCW13R0GWJYGXZBNCPAHQN4NR2" hidden="1">#N/A</definedName>
    <definedName name="BExCW9Y5HWU4RJTNX74O6L24VGCK" hidden="1">#N/A</definedName>
    <definedName name="BExCWPDPESGZS07QGBLSBWDNVJLZ" hidden="1">#N/A</definedName>
    <definedName name="BExCWTVKHIVCRHF8GC39KI58YM5K" hidden="1">#N/A</definedName>
    <definedName name="BExCX2KGRZBRVLZNM8SUSIE6A0RL" hidden="1">#N/A</definedName>
    <definedName name="BExCX3X451T70LZ1VF95L7W4Y4TM" hidden="1">#N/A</definedName>
    <definedName name="BExCX4NZ2N1OUGXM7EV0U7VULJMM" hidden="1">#N/A</definedName>
    <definedName name="BExCXILMURGYMAH6N5LF5DV6K3GM" hidden="1">#N/A</definedName>
    <definedName name="BExCXQUFBMXQ1650735H48B1AZT3" hidden="1">#N/A</definedName>
    <definedName name="BExCY2DQO9VLA77Q7EG3T0XNXX4F" hidden="1">#N/A</definedName>
    <definedName name="BExCY6VMJ68MX3C981R5Q0BX5791" hidden="1">#N/A</definedName>
    <definedName name="BExCYAH2SAZCPW6XCB7V7PMMCAWO" hidden="1">#N/A</definedName>
    <definedName name="BExCYJBB52X8B3AREHCC1L5QNPX7" hidden="1">#N/A</definedName>
    <definedName name="BExCYPRC5HJE6N2XQTHCT6NXGP8N" hidden="1">#N/A</definedName>
    <definedName name="BExCYUK0I3UEXZNFDW71G6Z6D8XR" hidden="1">#N/A</definedName>
    <definedName name="BExCZ15DB89J6GSEBMRW45QG2RQ8" hidden="1">#N/A</definedName>
    <definedName name="BExCZFZCXMLY5DWESYJ9NGTJYQ8M" hidden="1">#N/A</definedName>
    <definedName name="BExCZJ4P8WS0BDT31WDXI0ROE7D6" hidden="1">#N/A</definedName>
    <definedName name="BExCZKH6NI0EE02L995IFVBD1J59" hidden="1">#N/A</definedName>
    <definedName name="BExCZUD9FEOJBKDJ51Z3JON9LKJ8" hidden="1">#N/A</definedName>
    <definedName name="BExD0508DAALLU00PHFPBC8SRRKT" hidden="1">#N/A</definedName>
    <definedName name="BExD0HALIN0JR4JTPGDEVAEE5EX5" hidden="1">#N/A</definedName>
    <definedName name="BExD0LCCDPG16YLY5WQSZF1XI5DA" hidden="1">#N/A</definedName>
    <definedName name="BExD0RMWSB4TRECEHTH6NN4K9DFZ" hidden="1">#N/A</definedName>
    <definedName name="BExD0U6KG10QGVDI1XSHK0J10A2V" hidden="1">#N/A</definedName>
    <definedName name="BExD13RUIBGRXDL4QDZ305UKUR12" hidden="1">#N/A</definedName>
    <definedName name="BExD14DETV5R4OOTMAXD5NAKWRO3" hidden="1">#N/A</definedName>
    <definedName name="BExD1OAU9OXQAZA4D70HP72CU6GB" hidden="1">#N/A</definedName>
    <definedName name="BExD1Y1JV61416YA1XRQHKWPZIE7" hidden="1">#N/A</definedName>
    <definedName name="BExD2CFHIRMBKN5KXE5QP4XXEWFS" hidden="1">#N/A</definedName>
    <definedName name="BExD2DMHH1HWXQ9W0YYMDP8AAX8Q" hidden="1">#N/A</definedName>
    <definedName name="BExD2HTPC7IWBAU6OSQ67MQA8BYZ" hidden="1">#N/A</definedName>
    <definedName name="BExD363H2VGFIQUCE6LS4AC5J0ZT" hidden="1">#N/A</definedName>
    <definedName name="BExD3A588E939V61P1XEW0FI5Q0S" hidden="1">#N/A</definedName>
    <definedName name="BExD3CJJDKVR9M18XI3WDZH80WL6" hidden="1">#N/A</definedName>
    <definedName name="BExD3ESD9WYJIB3TRDPJ1CKXRAVL" hidden="1">#N/A</definedName>
    <definedName name="BExD3F368X5S25MWSUNIV57RDB57" hidden="1">#N/A</definedName>
    <definedName name="BExD3IJ5IT335SOSNV9L85WKAOSI" hidden="1">#N/A</definedName>
    <definedName name="BExD3KBVUY57GMMQTOFEU6S6G1AY" hidden="1">#N/A</definedName>
    <definedName name="BExD3NMR7AW2Z6V8SC79VQR37NA6" hidden="1">#N/A</definedName>
    <definedName name="BExD3QXA2UQ2W4N7NYLUEOG40BZB" hidden="1">#N/A</definedName>
    <definedName name="BExD3U2N041TEJ7GCN005UTPHNXY" hidden="1">#N/A</definedName>
    <definedName name="BExD40O0CFTNJFOFMMM1KH0P7BUI" hidden="1">#N/A</definedName>
    <definedName name="BExD4BR9HJ3MWWZ5KLVZWX9FJAUS" hidden="1">#N/A</definedName>
    <definedName name="BExD4F1WTKT3H0N9MF4H1LX7MBSY" hidden="1">#N/A</definedName>
    <definedName name="BExD4H5GQWXBS6LUL3TSP36DVO38" hidden="1">#N/A</definedName>
    <definedName name="BExD4JJSS3QDBLABCJCHD45SRNPI" hidden="1">#N/A</definedName>
    <definedName name="BExD4R1I0MKF033I5LPUYIMTZ6E8" hidden="1">#N/A</definedName>
    <definedName name="BExD50MT3M6XZLNUP9JL93EG6D9R" hidden="1">#N/A</definedName>
    <definedName name="BExD5EV7KDSVF1CJT38M4IBPFLPY" hidden="1">#N/A</definedName>
    <definedName name="BExD5FRK547OESJRYAW574DZEZ7J" hidden="1">#N/A</definedName>
    <definedName name="BExD5I5X2YA2YNCTCDSMEL4CWF4N" hidden="1">#N/A</definedName>
    <definedName name="BExD5QUSRFJWRQ1ZM50WYLCF74DF" hidden="1">#N/A</definedName>
    <definedName name="BExD5SSUIF6AJQHBHK8PNMFBPRYB" hidden="1">#N/A</definedName>
    <definedName name="BExD623C9LRX18BE0W2V6SZLQUXX" hidden="1">#N/A</definedName>
    <definedName name="BExD6CQA7UMJBXV7AIFAIHUF2ICX" hidden="1">#N/A</definedName>
    <definedName name="BExD6FKVK8WJWNYPVENR7Q8Q30PK" hidden="1">#N/A</definedName>
    <definedName name="BExD6GMP0LK8WKVWMIT1NNH8CHLF" hidden="1">#N/A</definedName>
    <definedName name="BExD6H2TE0WWAUIWVSSCLPZ6B88N" hidden="1">#N/A</definedName>
    <definedName name="BExD71LTOE015TV5RSAHM8NT8GVW" hidden="1">#N/A</definedName>
    <definedName name="BExD73USXVADC7EHGHVTQNCT06ZA" hidden="1">#N/A</definedName>
    <definedName name="BExD7GAIGULTB3YHM1OS9RBQOTEC" hidden="1">#N/A</definedName>
    <definedName name="BExD7IE1DHIS52UFDCTSKPJQNRD5" hidden="1">#N/A</definedName>
    <definedName name="BExD7IUBGUWHYC9UNZ1IY5XFYKQN" hidden="1">#N/A</definedName>
    <definedName name="BExD7JQOJ35HGL8U2OCEI2P2JT7I" hidden="1">#N/A</definedName>
    <definedName name="BExD7KSDKNDNH95NDT3S7GM3MUU2" hidden="1">#N/A</definedName>
    <definedName name="BExD8H5O087KQVWIVPUUID5VMGMS" hidden="1">#N/A</definedName>
    <definedName name="BExD8OCLZMFN5K3VZYI4Q4ITVKUA" hidden="1">#N/A</definedName>
    <definedName name="BExD93C1R6LC0631ECHVFYH0R0PD" hidden="1">#N/A</definedName>
    <definedName name="BExD97TXIO0COVNN4OH3DEJ33YLM" hidden="1">#N/A</definedName>
    <definedName name="BExD99RZ1RFIMK6O1ZHSPJ68X9Y5" hidden="1">#N/A</definedName>
    <definedName name="BExD9L0ID3VSOU609GKWYTA5BFMA" hidden="1">#N/A</definedName>
    <definedName name="BExD9M7SEMG0JK2FUTTZXWIEBTKB" hidden="1">#N/A</definedName>
    <definedName name="BExD9MNYBYB1AICQL5165G472IE2" hidden="1">#N/A</definedName>
    <definedName name="BExD9PNSYT7GASEGUVL48MUQ02WO" hidden="1">#N/A</definedName>
    <definedName name="BExD9TK2MIWFH5SKUYU9ZKF4NPHQ" hidden="1">#N/A</definedName>
    <definedName name="BExDA6LD9061UULVKUUI4QP8SK13" hidden="1">#N/A</definedName>
    <definedName name="BExDAGMVMNLQ6QXASB9R6D8DIT12" hidden="1">#N/A</definedName>
    <definedName name="BExDAYBHU9ADLXI8VRC7F608RVGM" hidden="1">#N/A</definedName>
    <definedName name="BExDBDR1XR0FV0CYUCB2OJ7CJCZU" hidden="1">#N/A</definedName>
    <definedName name="BExDC7F818VN0S18ID7XRCRVYPJ4" hidden="1">#N/A</definedName>
    <definedName name="BExDCL7K96PC9VZYB70ZW3QPVIJE" hidden="1">#N/A</definedName>
    <definedName name="BExDCP3UZ3C2O4C1F7KMU0Z9U32N" hidden="1">#N/A</definedName>
    <definedName name="BExEOBX3WECDMYCV9RLN49APTXMM" hidden="1">#N/A</definedName>
    <definedName name="BExEP4E4F36662JDI0TOD85OP7X9" hidden="1">#N/A</definedName>
    <definedName name="BExEPN9VIYI0FVL0HLZQXJFO6TT0" hidden="1">#N/A</definedName>
    <definedName name="BExEPYT6VDSMR8MU2341Q5GM2Y9V" hidden="1">#N/A</definedName>
    <definedName name="BExEQ2ENYLMY8K1796XBB31CJHNN" hidden="1">#N/A</definedName>
    <definedName name="BExEQ2PFE4N40LEPGDPS90WDL6BN" hidden="1">#N/A</definedName>
    <definedName name="BExEQ2PFURT24NQYGYVE8NKX1EGA" hidden="1">#N/A</definedName>
    <definedName name="BExEQB8ZWXO6IIGOEPWTLOJGE2NR" hidden="1">#N/A</definedName>
    <definedName name="BExEQBZX0EL6LIKPY01197ACK65H" hidden="1">#N/A</definedName>
    <definedName name="BExEQDXZALJLD4OBF74IKZBR13SR" hidden="1">#N/A</definedName>
    <definedName name="BExEQFLE2RPWGMWQAI4JMKUEFRPT" hidden="1">#N/A</definedName>
    <definedName name="BExEQTZAP8R69U31W4LKGTKKGKQE" hidden="1">#N/A</definedName>
    <definedName name="BExER2O72H1F9WV6S1J04C15PXX7" hidden="1">#N/A</definedName>
    <definedName name="BExERRUIKIOATPZ9U4HQ0V52RJAU" hidden="1">#N/A</definedName>
    <definedName name="BExERSANFNM1O7T65PC5MJ301YET" hidden="1">#N/A</definedName>
    <definedName name="BExERWCEBKQRYWRQLYJ4UCMMKTHG" hidden="1">#N/A</definedName>
    <definedName name="BExES44RHHDL3V7FLV6M20834WF1" hidden="1">#N/A</definedName>
    <definedName name="BExES4A7VE2X3RYYTVRLKZD4I7WU" hidden="1">#N/A</definedName>
    <definedName name="BExES6ZC8R7PHJ21OVJFLIR7DY30" hidden="1">#N/A</definedName>
    <definedName name="BExESMKD95A649M0WRSG6CXXP326" hidden="1">#N/A</definedName>
    <definedName name="BExESR27ZXJG5VMY4PR9D940VS7T" hidden="1">#N/A</definedName>
    <definedName name="BExESZ03KXL8DQ2591HLR56ZML94" hidden="1">#N/A</definedName>
    <definedName name="BExESZAW5N443NRTKIP59OEI1CR6" hidden="1">#N/A</definedName>
    <definedName name="BExET3HXQ60A4O2OLKX8QNXRI6LQ" hidden="1">#N/A</definedName>
    <definedName name="BExETA3B1FCIOA80H94K90FWXQKE" hidden="1">#N/A</definedName>
    <definedName name="BExETAZOYT4CJIT8RRKC9F2HJG1D" hidden="1">#N/A</definedName>
    <definedName name="BExETF6QD5A9GEINE1KZRRC2LXWM" hidden="1">#N/A</definedName>
    <definedName name="BExETQ9XRXLUACN82805SPSPNKHI" hidden="1">#N/A</definedName>
    <definedName name="BExETR0YRMOR63E6DHLEHV9QVVON" hidden="1">#N/A</definedName>
    <definedName name="BExETVTGY38YXYYF7N73OYN6FYY3" hidden="1">#N/A</definedName>
    <definedName name="BExEUNE4T242Y59C6MS28MXEUGCP" hidden="1">#N/A</definedName>
    <definedName name="BExEV2TP7NA3ZR6RJGH5ER370OUM" hidden="1">#N/A</definedName>
    <definedName name="BExEV69USLNYO2QRJRC0J92XUF00" hidden="1">#N/A</definedName>
    <definedName name="BExEV6KNTQOCFD7GV726XQEVQ7R6" hidden="1">#N/A</definedName>
    <definedName name="BExEV6VGM4POO9QT9KH3QA3VYCWM" hidden="1">#N/A</definedName>
    <definedName name="BExEVET98G3FU6QBF9LHYWSAMV0O" hidden="1">#N/A</definedName>
    <definedName name="BExEVNCUT0PDUYNJH7G6BSEWZOT2" hidden="1">#N/A</definedName>
    <definedName name="BExEVPGF4V5J0WQRZKUM8F9TTKZJ" hidden="1">#N/A</definedName>
    <definedName name="BExEVPWH8S9GER9M14SPIT6XZ8SG" hidden="1">#N/A</definedName>
    <definedName name="BExEVVLIEVWYRF2UUC1H0H5QU1CP" hidden="1">#N/A</definedName>
    <definedName name="BExEVWCKO8T84GW9Z3X47915XKSH" hidden="1">#N/A</definedName>
    <definedName name="BExEVZSJWMZ5L2ZE7AZC57CXKW6T" hidden="1">#N/A</definedName>
    <definedName name="BExEW0JL1GFFCXMDGW54CI7Y8FZN" hidden="1">#N/A</definedName>
    <definedName name="BExEW68M9WL8214QH9C7VCK7BN08" hidden="1">#N/A</definedName>
    <definedName name="BExEW8HFKH6F47KIHYBDRUEFZ2ZZ" hidden="1">#N/A</definedName>
    <definedName name="BExEWLO75K95C6IRKHXSP7VP81T4" hidden="1">#N/A</definedName>
    <definedName name="BExEWNBGQS1U2LW3W84T4LSJ9K00" hidden="1">#N/A</definedName>
    <definedName name="BExEWO7STL7HNZSTY8VQBPTX1WK6" hidden="1">#N/A</definedName>
    <definedName name="BExEWQ0M1N3KMKTDJ73H10QSG4W1" hidden="1">#N/A</definedName>
    <definedName name="BExEX85F3OSW8NSCYGYPS9372Z1Q" hidden="1">#N/A</definedName>
    <definedName name="BExEX9HWY2G6928ZVVVQF77QCM2C" hidden="1">#N/A</definedName>
    <definedName name="BExEXBQWAYKMVBRJRHB8PFCSYFVN" hidden="1">#N/A</definedName>
    <definedName name="BExEXRBZ0DI9E2UFLLKYWGN66B61" hidden="1">#N/A</definedName>
    <definedName name="BExEYLG9FL9V1JPPNZ3FUDNSEJ4V" hidden="1">#N/A</definedName>
    <definedName name="BExEYOW8C1B3OUUCIGEC7L8OOW1Z" hidden="1">#N/A</definedName>
    <definedName name="BExEYUQJXZT6N5HJH8ACJF6SRWEE" hidden="1">#N/A</definedName>
    <definedName name="BExEZ1S6VZCG01ZPLBSS9Z1SBOJ2" hidden="1">#N/A</definedName>
    <definedName name="BExEZGBFNJR8DLPN0V11AU22L6WY" hidden="1">#N/A</definedName>
    <definedName name="BExF02Y3V3QEPO2XLDSK47APK9XJ" hidden="1">#N/A</definedName>
    <definedName name="BExF09OS91RT7N7IW8JLMZ121ZP3" hidden="1">#N/A</definedName>
    <definedName name="BExF0LOEHV42P2DV7QL8O7HOQ3N9" hidden="1">#N/A</definedName>
    <definedName name="BExF0WRM9VO25RLSO03ZOCE8H7K5" hidden="1">#N/A</definedName>
    <definedName name="BExF0ZRI7W4RSLIDLHTSM0AWXO3S" hidden="1">#N/A</definedName>
    <definedName name="BExF19CT3MMZZ2T5EWMDNG3UOJ01" hidden="1">#N/A</definedName>
    <definedName name="BExF1M38U6NX17YJA8YU359B5Z4M" hidden="1">#N/A</definedName>
    <definedName name="BExF1MU4W3NPEY0OHRDWP5IANCBB" hidden="1">#N/A</definedName>
    <definedName name="BExF1MZN8MWMOKOARHJ1QAF9HPGT" hidden="1">#N/A</definedName>
    <definedName name="BExF1US4ZIQYSU5LBFYNRA9N0K2O" hidden="1">#N/A</definedName>
    <definedName name="BExF2CWZN6E87RGTBMD4YQI2QT7R" hidden="1">#N/A</definedName>
    <definedName name="BExF2DYO1WQ7GMXSTAQRDBW1NSFG" hidden="1">#N/A</definedName>
    <definedName name="BExF2JNP0R7R5PGUZ9MGTWY3QT46" hidden="1">#N/A</definedName>
    <definedName name="BExF2MSWNUY9Z6BZJQZ538PPTION" hidden="1">#N/A</definedName>
    <definedName name="BExF2QZYWHTYGUTTXR15CKCV3LS7" hidden="1">#N/A</definedName>
    <definedName name="BExF2T8Y6TSJ74RMSZOA9CEH4OZ6" hidden="1">#N/A</definedName>
    <definedName name="BExF31N3YM4F37EOOY8M8VI1KXN8" hidden="1">#N/A</definedName>
    <definedName name="BExF37C1YKBT79Z9SOJAG5MXQGTU" hidden="1">#N/A</definedName>
    <definedName name="BExF3A6HPA6DGYALZNHHJPMCUYZR" hidden="1">#N/A</definedName>
    <definedName name="BExF3I9T44X7DV9HHV51DVDDPPZG" hidden="1">#N/A</definedName>
    <definedName name="BExF3JMFX5DILOIFUDIO1HZUK875" hidden="1">#N/A</definedName>
    <definedName name="BExF3NTC4BGZEM6B87TCFX277QCS" hidden="1">#N/A</definedName>
    <definedName name="BExF3Q7NI90WT31QHYSJDIG0LLLJ" hidden="1">#N/A</definedName>
    <definedName name="BExF3QD55TIY1MSBSRK9TUJKBEWO" hidden="1">#N/A</definedName>
    <definedName name="BExF3QT8J6RIF1L3R700MBSKIOKW" hidden="1">#N/A</definedName>
    <definedName name="BExF42SSBVPMLK2UB3B7FPEIY9TU" hidden="1">#N/A</definedName>
    <definedName name="BExF4HXSWB50BKYPWA0HTT8W56H6" hidden="1">#N/A</definedName>
    <definedName name="BExF4KHF04IWW4LQ95FHQPFE4Y9K" hidden="1">#N/A</definedName>
    <definedName name="BExF4LU2NV3A47BCWPM3EZXUEH37" hidden="1">#N/A</definedName>
    <definedName name="BExF4MVQM5Y0QRDLDFSKWWTF709C" hidden="1">#N/A</definedName>
    <definedName name="BExF4PVMZYV36E8HOYY06J81AMBI" hidden="1">#N/A</definedName>
    <definedName name="BExF4SF9NEX1FZE9N8EXT89PM54D" hidden="1">#N/A</definedName>
    <definedName name="BExF52GTGP8MHGII4KJ8TJGR8W8U" hidden="1">#N/A</definedName>
    <definedName name="BExF57K7L3UC1I2FSAWURR4SN0UN" hidden="1">#N/A</definedName>
    <definedName name="BExF5D96JEPDW6LV89G2REZJ1ES7" hidden="1">#N/A</definedName>
    <definedName name="BExF5HR2GFV7O8LKG9SJ4BY78LYA" hidden="1">#N/A</definedName>
    <definedName name="BExF5ZFO2A29GHWR5ES64Z9OS16J" hidden="1">#N/A</definedName>
    <definedName name="BExF63S045JO7H2ZJCBTBVH3SUIF" hidden="1">#N/A</definedName>
    <definedName name="BExF642TEGTXCI9A61ZOONJCB0U1" hidden="1">#N/A</definedName>
    <definedName name="BExF67O951CF8UJF3KBDNR0E83C1" hidden="1">#N/A</definedName>
    <definedName name="BExF6EV7I35NVMIJGYTB6E24YVPA" hidden="1">#N/A</definedName>
    <definedName name="BExF6FGUF393KTMBT40S5BYAFG00" hidden="1">#N/A</definedName>
    <definedName name="BExF6GNYXWY8A0SY4PW1B6KJMMTM" hidden="1">#N/A</definedName>
    <definedName name="BExF6IB8K74Z0AFT05GPOKKZW7C9" hidden="1">#N/A</definedName>
    <definedName name="BExF6NUXJI11W2IAZNAM1QWC0459" hidden="1">#N/A</definedName>
    <definedName name="BExF6RR76KNVIXGJOVFO8GDILKGZ" hidden="1">#N/A</definedName>
    <definedName name="BExF6ZE8D5CMPJPRWT6S4HM56LPF" hidden="1">#N/A</definedName>
    <definedName name="BExF76FV8SF7AJK7B35AL7VTZF6D" hidden="1">#N/A</definedName>
    <definedName name="BExF7EOIMC1OYL1N7835KGOI0FIZ" hidden="1">#N/A</definedName>
    <definedName name="BExF7K88K7ASGV6RAOAGH52G04VR" hidden="1">#N/A</definedName>
    <definedName name="BExF7OVDRP3LHNAF2CX4V84CKKIR" hidden="1">#N/A</definedName>
    <definedName name="BExF7QO41X2A2SL8UXDNP99GY7U9" hidden="1">#N/A</definedName>
    <definedName name="BExF81GI8B8WBHXFTET68A9358BR" hidden="1">#N/A</definedName>
    <definedName name="BExGL97US0Y3KXXASUTVR26XLT70" hidden="1">#N/A</definedName>
    <definedName name="BExGLC7R4C33RO0PID97ZPPVCW4M" hidden="1">#N/A</definedName>
    <definedName name="BExGLFIF7HCFSHNQHKEV6RY0WCO3" hidden="1">#N/A</definedName>
    <definedName name="BExGLTARRL0J772UD2TXEYAVPY6E" hidden="1">#N/A</definedName>
    <definedName name="BExGLVP1IU8K5A8J1340XFMYPR88" hidden="1">#N/A</definedName>
    <definedName name="BExGLYE6RZTAAWHJBG2QFJPTDS2Q" hidden="1">#N/A</definedName>
    <definedName name="BExGM4DZ65OAQP7MA4LN6QMYZOFF" hidden="1">#N/A</definedName>
    <definedName name="BExGMCXCWEC9XNUOEMZ61TMI6CUO" hidden="1">#N/A</definedName>
    <definedName name="BExGMJDGIH0MEPC2TUSFUCY2ROTB" hidden="1">#N/A</definedName>
    <definedName name="BExGMKPW2HPKN0M0XKF3AZ8YP0D6" hidden="1">#N/A</definedName>
    <definedName name="BExGMP2F175LGL6QVSJGP6GKYHHA" hidden="1">#N/A</definedName>
    <definedName name="BExGMPIIP8GKML2VVA8OEFL43NCS" hidden="1">#N/A</definedName>
    <definedName name="BExGMZ3SRIXLXMWBVOXXV3M4U4YL" hidden="1">#N/A</definedName>
    <definedName name="BExGMZ3UBN48IXU1ZEFYECEMZ1IM" hidden="1">#N/A</definedName>
    <definedName name="BExGN4I0QATXNZCLZJM1KH1OIJQH" hidden="1">#N/A</definedName>
    <definedName name="BExGN9FZ2RWCMSY1YOBJKZMNIM9R" hidden="1">#N/A</definedName>
    <definedName name="BExGNDSIMTHOCXXG6QOGR6DA8SGG" hidden="1">#N/A</definedName>
    <definedName name="BExGNN2YQ9BDAZXT2GLCSAPXKIM7" hidden="1">#N/A</definedName>
    <definedName name="BExGNSS0CKRPKHO25R3TDBEL2NHX" hidden="1">#N/A</definedName>
    <definedName name="BExGNYH0MO8NOVS85L15G0RWX4GW" hidden="1">#N/A</definedName>
    <definedName name="BExGNZO44DEG8CGIDYSEGDUQ531R" hidden="1">#N/A</definedName>
    <definedName name="BExGO2O0V6UYDY26AX8OSN72F77N" hidden="1">#N/A</definedName>
    <definedName name="BExGO2YUBOVLYHY1QSIHRE1KLAFV" hidden="1">#N/A</definedName>
    <definedName name="BExGO70E2O70LF46V8T26YFPL4V8" hidden="1">#N/A</definedName>
    <definedName name="BExGOB25QJMQCQE76MRW9X58OIOO" hidden="1">#N/A</definedName>
    <definedName name="BExGODAZKJ9EXMQZNQR5YDBSS525" hidden="1">#N/A</definedName>
    <definedName name="BExGODR8ZSMUC11I56QHSZ686XV5" hidden="1">#N/A</definedName>
    <definedName name="BExGOT6UXUX5FVTAYL9SOBZ1D0II" hidden="1">#N/A</definedName>
    <definedName name="BExGOXJDHUDPDT8I8IVGVW9J0R5Q" hidden="1">#N/A</definedName>
    <definedName name="BExGPG9NM1GD24B9DS3V4NFKFZEF" hidden="1">#N/A</definedName>
    <definedName name="BExGPHGT5KDOCMV2EFS4OVKTWBRD" hidden="1">#N/A</definedName>
    <definedName name="BExGPID72Y4Y619LWASUQZKZHJNC" hidden="1">#N/A</definedName>
    <definedName name="BExGPPENQIANVGLVQJ77DK5JPRTB" hidden="1">#N/A</definedName>
    <definedName name="BExGQ1ZU4967P72AHF4V1D0FOL5C" hidden="1">#N/A</definedName>
    <definedName name="BExGQ36ZOMR9GV8T05M605MMOY3Y" hidden="1">#N/A</definedName>
    <definedName name="BExGQ61DTJ0SBFMDFBAK3XZ9O0ZO" hidden="1">#N/A</definedName>
    <definedName name="BExGQ6SG9XEOD0VMBAR22YPZWSTA" hidden="1">#N/A</definedName>
    <definedName name="BExGQGJ1A7LNZUS8QSMOG8UNGLMK" hidden="1">#N/A</definedName>
    <definedName name="BExGQPO7ENFEQC0NC6MC9OZR2LHY" hidden="1">#N/A</definedName>
    <definedName name="BExGQX0H4EZMXBJTKJJE4ICJWN5O" hidden="1">#N/A</definedName>
    <definedName name="BExGR4CW3WRIID17GGX4MI9ZDHFE" hidden="1">#N/A</definedName>
    <definedName name="BExGR65GJX27MU2OL6NI5PB8XVB4" hidden="1">#N/A</definedName>
    <definedName name="BExGR6LQ97HETGS3CT96L4IK0JSH" hidden="1">#N/A</definedName>
    <definedName name="BExGR9ATP2LVT7B9OCPSLJ11H9SX" hidden="1">#N/A</definedName>
    <definedName name="BExGRUKVVKDL8483WI70VN2QZDGD" hidden="1">#N/A</definedName>
    <definedName name="BExGS2IWR5DUNJ1U9PAKIV8CMBNI" hidden="1">#N/A</definedName>
    <definedName name="BExGS69P9FFTEOPDS0MWFKF45G47" hidden="1">#N/A</definedName>
    <definedName name="BExGS6F1JFHM5MUJ1RFO50WP6D05" hidden="1">#N/A</definedName>
    <definedName name="BExGSA5YB5ZGE4NHDVCZ55TQAJTL" hidden="1">#N/A</definedName>
    <definedName name="BExGSCEUCQQVDEEKWJ677QTGUVTE" hidden="1">#N/A</definedName>
    <definedName name="BExGSQY65LH1PCKKM5WHDW83F35O" hidden="1">#N/A</definedName>
    <definedName name="BExGSYW1GKISF0PMUAK3XJK9PEW9" hidden="1">#N/A</definedName>
    <definedName name="BExGT0DZJB6LSF6L693UUB9EY1VQ" hidden="1">#N/A</definedName>
    <definedName name="BExGTGVFIF8HOQXR54SK065A8M4K" hidden="1">#N/A</definedName>
    <definedName name="BExGTIYX3OWPIINOGY1E4QQYSKHP" hidden="1">#N/A</definedName>
    <definedName name="BExGTKGUN0KUU3C0RL2LK98D8MEK" hidden="1">#N/A</definedName>
    <definedName name="BExGTZ046J7VMUG4YPKFN2K8TWB7" hidden="1">#N/A</definedName>
    <definedName name="BExGU2G9OPRZRIU9YGF6NX9FUW0J" hidden="1">#N/A</definedName>
    <definedName name="BExGU6HTKLRZO8UOI3DTAM5RFDBA" hidden="1">#N/A</definedName>
    <definedName name="BExGUDDZXFFQHAF4UZF8ZB1HO7H6" hidden="1">#N/A</definedName>
    <definedName name="BExGUIBXBRHGM97ZX6GBA4ZDQ79C" hidden="1">#N/A</definedName>
    <definedName name="BExGUM8D91UNPCOO4TKP9FGX85TF" hidden="1">#N/A</definedName>
    <definedName name="BExGUQF9N9FKI7S0H30WUAEB5LPD" hidden="1">#N/A</definedName>
    <definedName name="BExGUR6BA03XPBK60SQUW197GJ5X" hidden="1">#N/A</definedName>
    <definedName name="BExGUVIP60TA4B7X2PFGMBFUSKGX" hidden="1">#N/A</definedName>
    <definedName name="BExGUZKF06F209XL1IZWVJEQ82EE" hidden="1">#N/A</definedName>
    <definedName name="BExGV2EVT380QHD4AP2RL9MR8L5L" hidden="1">#N/A</definedName>
    <definedName name="BExGVV6OOLDQ3TXZK51TTF3YX0WN" hidden="1">#N/A</definedName>
    <definedName name="BExGW0KVS7U0C87XFZ78QW991IEV" hidden="1">#N/A</definedName>
    <definedName name="BExGW2Z7AMPG6H9EXA9ML6EZVGGA" hidden="1">#N/A</definedName>
    <definedName name="BExGWABG5VT5XO1A196RK61AXA8C" hidden="1">#N/A</definedName>
    <definedName name="BExGWEO0JDG84NYLEAV5NSOAGMJZ" hidden="1">#N/A</definedName>
    <definedName name="BExGWLEOC70Z8QAJTPT2PDHTNM4L" hidden="1">#N/A</definedName>
    <definedName name="BExGWNCXLCRTLBVMTXYJ5PHQI6SS" hidden="1">#N/A</definedName>
    <definedName name="BExGX6U988MCFIGDA1282F92U9AA" hidden="1">#N/A</definedName>
    <definedName name="BExGX7FTB1CKAT5HUW6H531FIY6I" hidden="1">#N/A</definedName>
    <definedName name="BExGX9DVACJQIZ4GH6YAD2A7F70O" hidden="1">#N/A</definedName>
    <definedName name="BExGXDVP2S2Y8Z8Q43I78RCIK3DD" hidden="1">#N/A</definedName>
    <definedName name="BExGXJ9W5JU7TT9S0BKL5Y6VVB39" hidden="1">#N/A</definedName>
    <definedName name="BExGXWB73RJ4BASBQTQ8EY0EC1EB" hidden="1">#N/A</definedName>
    <definedName name="BExGXZ0ABB43C7SMRKZHWOSU9EQX" hidden="1">#N/A</definedName>
    <definedName name="BExGY6SU3SYVCJ3AG2ITY59SAZ5A" hidden="1">#N/A</definedName>
    <definedName name="BExGY6YA4P5KMY2VHT0DYK3YTFAX" hidden="1">#N/A</definedName>
    <definedName name="BExGY8G88PVVRYHPHRPJZFSX6HSC" hidden="1">#N/A</definedName>
    <definedName name="BExGYC718HTZ80PNKYPVIYGRJVF6" hidden="1">#N/A</definedName>
    <definedName name="BExGYCNATXZY2FID93B17YWIPPRD" hidden="1">#N/A</definedName>
    <definedName name="BExGYGJJJ3BBCQAOA51WHP01HN73" hidden="1">#N/A</definedName>
    <definedName name="BExGYOS6TV2C72PLRFU8RP1I58GY" hidden="1">#N/A</definedName>
    <definedName name="BExGYYZ22N0UBZMJCAL672LPDZ5N" hidden="1">#N/A</definedName>
    <definedName name="BExGZ7NXZ0IBS44C2NZ9VMD6T6K2" hidden="1">#N/A</definedName>
    <definedName name="BExGZJ78ZWZCVHZ3BKEKFJZ6MAEO" hidden="1">#N/A</definedName>
    <definedName name="BExGZOLH2QV73J3M9IWDDPA62TP4" hidden="1">#N/A</definedName>
    <definedName name="BExGZP1PWGFKVVVN4YDIS22DZPCR" hidden="1">#N/A</definedName>
    <definedName name="BExH00L21GZX5YJJGVMOAWBERLP5" hidden="1">#N/A</definedName>
    <definedName name="BExH02ZD6VAY1KQLAQYBBI6WWIZB" hidden="1">#N/A</definedName>
    <definedName name="BExH08Z6LQCGGSGSAILMHX4X7JMD" hidden="1">#N/A</definedName>
    <definedName name="BExH0KT9Z8HEVRRQRGQ8YHXRLIJA" hidden="1">#N/A</definedName>
    <definedName name="BExH0M0FDN12YBOCKL3XL2Z7T7Y8" hidden="1">#N/A</definedName>
    <definedName name="BExH0O9G06YPZ5TN9RYT326I1CP2" hidden="1">#N/A</definedName>
    <definedName name="BExH0WNJAKTJRCKMTX8O4KNMIIJM" hidden="1">#N/A</definedName>
    <definedName name="BExH12Y4WX542WI3ZEM15AK4UM9J" hidden="1">#N/A</definedName>
    <definedName name="BExH1FDTQXR9QQ31WDB7OPXU7MPT" hidden="1">#N/A</definedName>
    <definedName name="BExH1FOMEUIJNIDJAUY0ZQFBJSY9" hidden="1">#N/A</definedName>
    <definedName name="BExH1JFFHEBFX9BWJMNIA3N66R3Z" hidden="1">#N/A</definedName>
    <definedName name="BExH1Z0GIUSVTF2H1G1I3PDGBNK2" hidden="1">#N/A</definedName>
    <definedName name="BExH225UTM6S9FW4MUDZS7F1PQSH" hidden="1">#N/A</definedName>
    <definedName name="BExH23271RF7AYZ542KHQTH68GQ7" hidden="1">#N/A</definedName>
    <definedName name="BExH2GJQR4JALNB314RY0LDI49VH" hidden="1">#N/A</definedName>
    <definedName name="BExH2JZR49T7644JFVE7B3N7RZM9" hidden="1">#N/A</definedName>
    <definedName name="BExH2UHF0QTJG107MULYB16WBJM9" hidden="1">#N/A</definedName>
    <definedName name="BExH2WKXV8X5S2GSBBTWGI0NLNAH" hidden="1">#N/A</definedName>
    <definedName name="BExH2XS1UFYFGU0S0EBXX90W2WE8" hidden="1">#N/A</definedName>
    <definedName name="BExH2XS2TND9SB0GC295R4FP6K5Y" hidden="1">#N/A</definedName>
    <definedName name="BExH2ZA0SZ4SSITL50NA8LZ3OEX6" hidden="1">#N/A</definedName>
    <definedName name="BExH31Z3JNVJPESWKXHILGXZHP2M" hidden="1">#N/A</definedName>
    <definedName name="BExH3E9HZ3QJCDZW7WI7YACFQCHE" hidden="1">#N/A</definedName>
    <definedName name="BExH3IRB6764RQ5HBYRLH6XCT29X" hidden="1">#N/A</definedName>
    <definedName name="BExH3J2593RB0I6TIEMI2MJ7ONOM" hidden="1">#N/A</definedName>
    <definedName name="BExIG2U8V6RSB47SXLCQG3Q68YRO" hidden="1">#N/A</definedName>
    <definedName name="BExIGJBO8R13LV7CZ7C1YCP974NN" hidden="1">#N/A</definedName>
    <definedName name="BExIGWT86FPOEYTI8GXCGU5Y3KGK" hidden="1">#N/A</definedName>
    <definedName name="BExIHBHXA7E7VUTBVHXXXCH3A5CL" hidden="1">#N/A</definedName>
    <definedName name="BExIHPQCQTGEW8QOJVIQ4VX0P6DX" hidden="1">#N/A</definedName>
    <definedName name="BExIHXTOF9TVS92WGZ1MHWCY2D4Q" hidden="1">#N/A</definedName>
    <definedName name="BExII1KN91Q7DLW0UB7W2TJ5ACT9" hidden="1">#N/A</definedName>
    <definedName name="BExII50LI8I0CDOOZEMIVHVA2V95" hidden="1">#N/A</definedName>
    <definedName name="BExIIXMY38TQD12CVV4S57L3I809" hidden="1">#N/A</definedName>
    <definedName name="BExIIY37NEVU2LGS1JE4VR9AN6W4" hidden="1">#N/A</definedName>
    <definedName name="BExIIYJAGXR8TPZ1KCYM7EGJ79UW" hidden="1">#N/A</definedName>
    <definedName name="BExIJ3160YCWGAVEU0208ZGXXG3P" hidden="1">#N/A</definedName>
    <definedName name="BExIJFGZJ5ED9D6KAY4PGQYLELAX" hidden="1">#N/A</definedName>
    <definedName name="BExIJQK80ZEKSTV62E59AYJYUNLI" hidden="1">#N/A</definedName>
    <definedName name="BExIJRLX3M0YQLU1D5Y9V7HM5QNM" hidden="1">#N/A</definedName>
    <definedName name="BExIJV22J0QA7286KNPMHO1ZUCB3" hidden="1">#N/A</definedName>
    <definedName name="BExIJVI6OC7B6ZE9V4PAOYZXKNER" hidden="1">#N/A</definedName>
    <definedName name="BExIJWK0NGTGQ4X7D5VIVXD14JHI" hidden="1">#N/A</definedName>
    <definedName name="BExIJWPCIYINEJUTXU74VK7WG031" hidden="1">#N/A</definedName>
    <definedName name="BExIKHTXPZR5A8OHB6HDP6QWDHAD" hidden="1">#N/A</definedName>
    <definedName name="BExIKMMJOETSAXJYY1SIKM58LMA2" hidden="1">#N/A</definedName>
    <definedName name="BExIKRF6AQ6VOO9KCIWSM6FY8M7D" hidden="1">#N/A</definedName>
    <definedName name="BExIKTYZESFT3LC0ASFMFKSE0D1X" hidden="1">#N/A</definedName>
    <definedName name="BExIKXVA6M8K0PTRYAGXS666L335" hidden="1">#N/A</definedName>
    <definedName name="BExIL0PMZ2SXK9R6MLP43KBU1J2P" hidden="1">#N/A</definedName>
    <definedName name="BExILAAXRTRAD18K74M6MGUEEPUM" hidden="1">#N/A</definedName>
    <definedName name="BExILG5F338C0FFLMVOKMKF8X5ZP" hidden="1">#N/A</definedName>
    <definedName name="BExILGQTQM0HOD0BJI90YO7GOIN3" hidden="1">#N/A</definedName>
    <definedName name="BExIM9DBUB7ZGF4B20FVUO9QGOX2" hidden="1">#N/A</definedName>
    <definedName name="BExIMGK9Z94TFPWWZFMD10HV0IF6" hidden="1">#N/A</definedName>
    <definedName name="BExIMPEGKG18TELVC33T4OQTNBWC" hidden="1">#N/A</definedName>
    <definedName name="BExIN4OR435DL1US13JQPOQK8GD5" hidden="1">#N/A</definedName>
    <definedName name="BExINI6A7H3KSFRFA6UBBDPKW37F" hidden="1">#N/A</definedName>
    <definedName name="BExINIMK8XC3JOBT2EXYFHHH52H0" hidden="1">#N/A</definedName>
    <definedName name="BExINLX401ZKEGWU168DS4JUM2J6" hidden="1">#N/A</definedName>
    <definedName name="BExINMYYJO1FTV1CZF6O5XCFAMQX" hidden="1">#N/A</definedName>
    <definedName name="BExINP2H4KI05FRFV5PKZFE00HKO" hidden="1">#N/A</definedName>
    <definedName name="BExINZELVWYGU876QUUZCIMXPBQC" hidden="1">#N/A</definedName>
    <definedName name="BExIOCQUQHKUU1KONGSDOLQTQEIC" hidden="1">#N/A</definedName>
    <definedName name="BExIOFL8Y5O61VLKTB4H20IJNWS1" hidden="1">#N/A</definedName>
    <definedName name="BExIOMBXRW5NS4ZPYX9G5QREZ5J6" hidden="1">#N/A</definedName>
    <definedName name="BExIORA3GK78T7C7SNBJJUONJ0LS" hidden="1">#N/A</definedName>
    <definedName name="BExIORFDXP4AVIEBLSTZ8ETSXMNM" hidden="1">#N/A</definedName>
    <definedName name="BExIOTZ5EFZ2NASVQ05RH15HRSW6" hidden="1">#N/A</definedName>
    <definedName name="BExIP1GVVZII3MXG581QPIQOI33O" hidden="1">#N/A</definedName>
    <definedName name="BExIP8YNN6UUE1GZ223SWH7DLGKO" hidden="1">#N/A</definedName>
    <definedName name="BExIPAB4AOL592OJCC1CFAXTLF1A" hidden="1">#N/A</definedName>
    <definedName name="BExIPB25DKX4S2ZCKQN7KWSC3JBF" hidden="1">#N/A</definedName>
    <definedName name="BExIPDLT8JYAMGE5HTN4D1YHZF3V" hidden="1">#N/A</definedName>
    <definedName name="BExIPG040Q08EWIWL6CAVR3GRI43" hidden="1">#N/A</definedName>
    <definedName name="BExIPKNFUDPDKOSH5GHDVNA8D66S" hidden="1">#N/A</definedName>
    <definedName name="BExIQ1VS9A2FHVD9TUHKG9K8EVVP" hidden="1">#N/A</definedName>
    <definedName name="BExIQ3J19L30PSQ2CXNT6IHW0I7V" hidden="1">#N/A</definedName>
    <definedName name="BExIQ3OJ7M04XCY276IO0LJA5XUK" hidden="1">#N/A</definedName>
    <definedName name="BExIQ5S19ITB0NDRUN4XV7B905ED" hidden="1">#N/A</definedName>
    <definedName name="BExIQ9TMQT2EIXSVQW7GVSOAW2VJ" hidden="1">#N/A</definedName>
    <definedName name="BExIQBMDE1L6J4H27K1FMSHQKDSE" hidden="1">#N/A</definedName>
    <definedName name="BExIQE65LVXUOF3UZFO7SDHFJH22" hidden="1">#N/A</definedName>
    <definedName name="BExIQG9OO2KKBOWTMD1OXY36TEGA" hidden="1">#N/A</definedName>
    <definedName name="BExIQX1XBB31HZTYEEVOBSE3C5A6" hidden="1">#N/A</definedName>
    <definedName name="BExIQYP5T1TPAQYW7QU1Q98BKX7W" hidden="1">#N/A</definedName>
    <definedName name="BExIR2ALYRP9FW99DK2084J7IIDC" hidden="1">#N/A</definedName>
    <definedName name="BExIR8FQETPTQYW37DBVDWG3J4JW" hidden="1">#N/A</definedName>
    <definedName name="BExIRRBGTY01OQOI3U5SW59RFDFI" hidden="1">#N/A</definedName>
    <definedName name="BExIS4T0DRF57HYO7OGG72KBOFOI" hidden="1">#N/A</definedName>
    <definedName name="BExIS77BJDDK18PGI9DSEYZPIL7P" hidden="1">#N/A</definedName>
    <definedName name="BExIS8USL1T3Z97CZ30HJ98E2GXQ" hidden="1">#N/A</definedName>
    <definedName name="BExISC5B700MZUBFTQ9K4IKTF7HR" hidden="1">#N/A</definedName>
    <definedName name="BExISDHXS49S1H56ENBPRF1NLD5C" hidden="1">#N/A</definedName>
    <definedName name="BExISM1JLV54A21A164IURMPGUMU" hidden="1">#N/A</definedName>
    <definedName name="BExISRFKJYUZ4AKW44IJF7RF9Y90" hidden="1">#N/A</definedName>
    <definedName name="BExIT1MK8TBAK3SNP36A8FKDQSOK" hidden="1">#N/A</definedName>
    <definedName name="BExITBNYANV2S8KD56GOGCKW393R" hidden="1">#N/A</definedName>
    <definedName name="BExIUD4OJGH65NFNQ4VMCE3R4J1X" hidden="1">#N/A</definedName>
    <definedName name="BExIUTB5OAAXYW0OFMP0PS40SPOB" hidden="1">#N/A</definedName>
    <definedName name="BExIUUT2MHIOV6R3WHA0DPM1KBKY" hidden="1">#N/A</definedName>
    <definedName name="BExIUYPDT1AM6MWGWQS646PIZIWC" hidden="1">#N/A</definedName>
    <definedName name="BExIV0I2O9F8D1UK1SI8AEYR6U0A" hidden="1">#N/A</definedName>
    <definedName name="BExIV2LM38XPLRTWT0R44TMQ59E5" hidden="1">#N/A</definedName>
    <definedName name="BExIV3HY4S0YRV1F7XEMF2YHAR2I" hidden="1">#N/A</definedName>
    <definedName name="BExIV6HUZFRIFLXW2SICKGTAH1PV" hidden="1">#N/A</definedName>
    <definedName name="BExIVC6WZMHRBRGIBUVX0CO2RK05" hidden="1">#N/A</definedName>
    <definedName name="BExIVCXWL6H5LD9DHDIA4F5U9TQL" hidden="1">#N/A</definedName>
    <definedName name="BExIVMOIPSEWSIHIDDLOXESQ28A0" hidden="1">#N/A</definedName>
    <definedName name="BExIVNVNJX9BYDLC88NG09YF5XQ6" hidden="1">#N/A</definedName>
    <definedName name="BExIVQVKLMGSRYT1LFZH0KUIA4OR" hidden="1">#N/A</definedName>
    <definedName name="BExIVYTFI35KNR2XSA6N8OJYUTUR" hidden="1">#N/A</definedName>
    <definedName name="BExIWB3SY3WRIVIOF988DNNODBOA" hidden="1">#N/A</definedName>
    <definedName name="BExIWB99CG0H52LRD6QWPN4L6DV2" hidden="1">#N/A</definedName>
    <definedName name="BExIWG1W7XP9DFYYSZAIOSHM0QLQ" hidden="1">#N/A</definedName>
    <definedName name="BExIWH3KUK94B7833DD4TB0Y6KP9" hidden="1">#N/A</definedName>
    <definedName name="BExIWKE9MGIDWORBI43AWTUNYFAN" hidden="1">#N/A</definedName>
    <definedName name="BExIX34PM5DBTRHRQWP6PL6WIX88" hidden="1">#N/A</definedName>
    <definedName name="BExIX5OAP9KSUE5SIZCW9P39Q4WE" hidden="1">#N/A</definedName>
    <definedName name="BExIXGRJPVJMUDGSG7IHPXPNO69B" hidden="1">#N/A</definedName>
    <definedName name="BExIXM5R87ZL3FHALWZXYCPHGX3E" hidden="1">#N/A</definedName>
    <definedName name="BExIXS036ZCKT2Z8XZKLZ8PFWQGL" hidden="1">#N/A</definedName>
    <definedName name="BExIXY5CF9PFM0P40AZ4U51TMWV0" hidden="1">#N/A</definedName>
    <definedName name="BExIYEXJBK8JDWIRSVV4RJSKZVV1" hidden="1">#N/A</definedName>
    <definedName name="BExIYI2RH0K4225XO970K2IQ1E79" hidden="1">#N/A</definedName>
    <definedName name="BExIYMPZ0KS2KOJFQAUQJ77L7701" hidden="1">#N/A</definedName>
    <definedName name="BExIYP9Q6FV9T0R9G3UDKLS4TTYX" hidden="1">#N/A</definedName>
    <definedName name="BExIYZGLDQ1TN7BIIN4RLDP31GIM" hidden="1">#N/A</definedName>
    <definedName name="BExIZ4K0EZJK6PW3L8SVKTJFSWW9" hidden="1">#N/A</definedName>
    <definedName name="BExIZAECOEZGBAO29QMV14E6XDIV" hidden="1">#N/A</definedName>
    <definedName name="BExIZKVXYD5O2JBU81F2UFJZLLSI" hidden="1">#N/A</definedName>
    <definedName name="BExIZPZDHC8HGER83WHCZAHOX7LK" hidden="1">#N/A</definedName>
    <definedName name="BExIZY2PUZ0OF9YKK1B13IW0VS6G" hidden="1">#N/A</definedName>
    <definedName name="BExJ08KBRR2XMWW3VZMPSQKXHZUH" hidden="1">#N/A</definedName>
    <definedName name="BExJ0DYJWXGE7DA39PYL3WM05U9O" hidden="1">#N/A</definedName>
    <definedName name="BExJ0MY8SY5J5V50H3UKE78ODTVB" hidden="1">#N/A</definedName>
    <definedName name="BExJ0YC98G37ML4N8FLP8D95EFRF" hidden="1">#N/A</definedName>
    <definedName name="BExKCDYKAEV45AFXHVHZZ62E5BM3" hidden="1">#N/A</definedName>
    <definedName name="BExKDKO0W4AGQO1V7K6Q4VM750FT" hidden="1">#N/A</definedName>
    <definedName name="BExKDLF10G7W77J87QWH3ZGLUCLW" hidden="1">#N/A</definedName>
    <definedName name="BExKEFE0I3MT6ZLC4T1L9465HKTN" hidden="1">#N/A</definedName>
    <definedName name="BExKEK6O5BVJP4VY02FY7JNAZ6BT" hidden="1">#N/A</definedName>
    <definedName name="BExKEKXK6E6QX339ELPXDIRZSJE0" hidden="1">#N/A</definedName>
    <definedName name="BExKEOOIBMP7N8033EY2CJYCBX6H" hidden="1">#N/A</definedName>
    <definedName name="BExKEW0RR5LA3VC46A2BEOOMQE56" hidden="1">#N/A</definedName>
    <definedName name="BExKFA3VI1CZK21SM0N3LZWT9LA1" hidden="1">#N/A</definedName>
    <definedName name="BExKFINBFV5J2NFRCL4YUO3YF0ZE" hidden="1">#N/A</definedName>
    <definedName name="BExKFISRBFACTAMJSALEYMY66F6X" hidden="1">#N/A</definedName>
    <definedName name="BExKFOSK5DJ151C4E8544UWMYTOC" hidden="1">#N/A</definedName>
    <definedName name="BExKFYJC4EVEV54F82K6VKP7Q3OU" hidden="1">#N/A</definedName>
    <definedName name="BExKG4IYHBKQQ8J8FN10GB2IKO33" hidden="1">#N/A</definedName>
    <definedName name="BExKGF0L44S78D33WMQ1A75TRKB9" hidden="1">#N/A</definedName>
    <definedName name="BExKGFRN31B3G20LMQ4LRF879J68" hidden="1">#N/A</definedName>
    <definedName name="BExKGJD3U3ADZILP20U3EURP0UQP" hidden="1">#N/A</definedName>
    <definedName name="BExKGNK5YGKP0YHHTAAOV17Z9EIM" hidden="1">#N/A</definedName>
    <definedName name="BExKGV77YH9YXIQTRKK2331QGYKF" hidden="1">#N/A</definedName>
    <definedName name="BExKH3FTZ5VGTB86W9M4AB39R0G8" hidden="1">#N/A</definedName>
    <definedName name="BExKH3FV5U5O6XZM7STS3NZKQFGJ" hidden="1">#N/A</definedName>
    <definedName name="BExKHAMUH8NR3HRV0V6FHJE3ROLN" hidden="1">#N/A</definedName>
    <definedName name="BExKHCFKOWFHO2WW0N7Y5XDXEWAO" hidden="1">#N/A</definedName>
    <definedName name="BExKHIVLONZ46HLMR50DEXKEUNEP" hidden="1">#N/A</definedName>
    <definedName name="BExKHKDK2PRBCUJS8TEDP8K3VODQ" hidden="1">#N/A</definedName>
    <definedName name="BExKHPM9XA0ADDK7TUR0N38EXWEP" hidden="1">#N/A</definedName>
    <definedName name="BExKI4076KXCDE5KXL79KT36OKLO" hidden="1">#N/A</definedName>
    <definedName name="BExKI7LO70WYISR7Q0Y1ZDWO9M3B" hidden="1">#N/A</definedName>
    <definedName name="BExKIGQV6TXIZG039HBOJU62WP2U" hidden="1">#N/A</definedName>
    <definedName name="BExKILE008SF3KTAN8WML3XKI1NZ" hidden="1">#N/A</definedName>
    <definedName name="BExKINSBB6RS7I489QHMCOMU4Z2X" hidden="1">#N/A</definedName>
    <definedName name="BExKIU87ZKSOC2DYZWFK6SAK9I8E" hidden="1">#N/A</definedName>
    <definedName name="BExKJ449HLYX2DJ9UF0H9GTPSQ73" hidden="1">#N/A</definedName>
    <definedName name="BExKJ79MJ4X2JPWSEE7UL9K7B7AV" hidden="1">#N/A</definedName>
    <definedName name="BExKJELX2RUC8UEC56IZPYYZXHA7" hidden="1">#N/A</definedName>
    <definedName name="BExKJINMXS61G2TZEXCJAWVV4F57" hidden="1">#N/A</definedName>
    <definedName name="BExKJK5ME8KB7HA0180L7OUZDDGV" hidden="1">#N/A</definedName>
    <definedName name="BExKJN5IF0VMDILJ5K8ZENF2QYV1" hidden="1">#N/A</definedName>
    <definedName name="BExKJUSJPFUIK20FTVAFJWR2OUYX" hidden="1">#N/A</definedName>
    <definedName name="BExKK8VP5RS3D0UXZVKA37C4SYBP" hidden="1">#N/A</definedName>
    <definedName name="BExKKIM9NPF6B3SPMPIQB27HQME4" hidden="1">#N/A</definedName>
    <definedName name="BExKKIX1BCBQ4R3K41QD8NTV0OV0" hidden="1">#N/A</definedName>
    <definedName name="BExKKQ3ZWADYV03YHMXDOAMU90EB" hidden="1">#N/A</definedName>
    <definedName name="BExKKUGD2HMJWQEYZ8H3X1BMXFS9" hidden="1">#N/A</definedName>
    <definedName name="BExKKX05KCZZZPKOR1NE5A8RGVT4" hidden="1">#N/A</definedName>
    <definedName name="BExKLD6S9L66QYREYHBE5J44OK7X" hidden="1">#N/A</definedName>
    <definedName name="BExKLEZK32L28GYJWVO63BZ5E1JD" hidden="1">#N/A</definedName>
    <definedName name="BExKLLKVVHT06LA55JB2FC871DC5" hidden="1">#N/A</definedName>
    <definedName name="BExKMWBX4EH3EYJ07UFEM08NB40Z" hidden="1">#N/A</definedName>
    <definedName name="BExKNBGV2IR3S7M0BX4810KZB4V3" hidden="1">#N/A</definedName>
    <definedName name="BExKNCTBZTSY3MO42VU5PLV6YUHZ" hidden="1">#N/A</definedName>
    <definedName name="BExKNGV2YY749C42AQ2T9QNIE5C3" hidden="1">#N/A</definedName>
    <definedName name="BExKNV8UOHVWEHDJWI2WMJ9X6QHZ" hidden="1">#N/A</definedName>
    <definedName name="BExKNZLD7UATC1MYRNJD8H2NH4KU" hidden="1">#N/A</definedName>
    <definedName name="BExKNZQUKQQG2Y97R74G4O4BJP1L" hidden="1">#N/A</definedName>
    <definedName name="BExKO06X0EAD3ABEG1E8PWLDWHBA" hidden="1">#N/A</definedName>
    <definedName name="BExKO2AHHSGNI1AZOIOW21KPXKPE" hidden="1">#N/A</definedName>
    <definedName name="BExKO2FXWJWC5IZLDN8JHYILQJ2N" hidden="1">#N/A</definedName>
    <definedName name="BExKO438WZ8FKOU00NURGFMOYXWN" hidden="1">#N/A</definedName>
    <definedName name="BExKODIZGWW2EQD0FEYW6WK6XLCM" hidden="1">#N/A</definedName>
    <definedName name="BExKOH4G6WIP8EKJSEO9HIWVORH7" hidden="1">#N/A</definedName>
    <definedName name="BExKOPO2HPWVQGAKW8LOZMPIDEFG" hidden="1">#N/A</definedName>
    <definedName name="BExKPEZP0QTKOTLIMMIFSVTHQEEK" hidden="1">#N/A</definedName>
    <definedName name="BExKPLQJX0HJ8OTXBXH9IC9J2V0W" hidden="1">#N/A</definedName>
    <definedName name="BExKPN8C7GN36ZJZHLOB74LU6KT0" hidden="1">#N/A</definedName>
    <definedName name="BExKPX9VZ1J5021Q98K60HMPJU58" hidden="1">#N/A</definedName>
    <definedName name="BExKQ27TLWTB9A5H0QYF2DM21VK9" hidden="1">#N/A</definedName>
    <definedName name="BExKQJGAAWNM3NT19E9I0CQDBTU0" hidden="1">#N/A</definedName>
    <definedName name="BExKQM5GJ1ZN5REKFE7YVBQ0KXWF" hidden="1">#N/A</definedName>
    <definedName name="BExKQOEA7HV9U5DH9C8JXFD62EKH" hidden="1">#N/A</definedName>
    <definedName name="BExKQQ71278061G7ZFYGPWOMOMY2" hidden="1">#N/A</definedName>
    <definedName name="BExKQTXRG3ECU8NT47UR7643LO5G" hidden="1">#N/A</definedName>
    <definedName name="BExKQVL7HPOIZ4FHANDFMVOJLEPR" hidden="1">#N/A</definedName>
    <definedName name="BExKR32XG1WY77WDT8KW9FJPGQTU" hidden="1">#N/A</definedName>
    <definedName name="BExKR7A0AGCI1UC3P4YGXKCK4JOK" hidden="1">#N/A</definedName>
    <definedName name="BExKR8RZSEHW184G0Z56B4EGNU72" hidden="1">#N/A</definedName>
    <definedName name="BExKRVUSQ6PA7ZYQSTEQL3X7PB9P" hidden="1">#N/A</definedName>
    <definedName name="BExKRY3KZ7F7RB2KH8HXSQ85IEQO" hidden="1">#N/A</definedName>
    <definedName name="BExKSA37DZTCK6H13HPIKR0ZFVL8" hidden="1">#N/A</definedName>
    <definedName name="BExKSFMOMSZYDE0WNC94F40S6636" hidden="1">#N/A</definedName>
    <definedName name="BExKSHQ9K79S8KYUWIV5M5LAHHF1" hidden="1">#N/A</definedName>
    <definedName name="BExKSIS3VA1NCEFCZZSIK8B3YIBZ" hidden="1">#N/A</definedName>
    <definedName name="BExKSJTWG9L3FCX8FLK4EMUJMF27" hidden="1">#N/A</definedName>
    <definedName name="BExKSU0MKNAVZYYPKCYTZDWQX4R8" hidden="1">#N/A</definedName>
    <definedName name="BExKSX60G1MUS689FXIGYP2F7C62" hidden="1">#N/A</definedName>
    <definedName name="BExKT2UZ7Y2VWF5NQE18SJRLD2RN" hidden="1">#N/A</definedName>
    <definedName name="BExKT3GJFNGAM09H5F615E36A38C" hidden="1">#N/A</definedName>
    <definedName name="BExKTQZGN8GI3XGSEXMPCCA3S19H" hidden="1">#N/A</definedName>
    <definedName name="BExKTUKYYU0F6TUW1RXV24LRAZFE" hidden="1">#N/A</definedName>
    <definedName name="BExKU3FBLHQBIUTN6XEZW5GC9OG1" hidden="1">#N/A</definedName>
    <definedName name="BExKU82I99FEUIZLODXJDOJC96CQ" hidden="1">#N/A</definedName>
    <definedName name="BExKUDM0DFSCM3D91SH0XLXJSL18" hidden="1">#N/A</definedName>
    <definedName name="BExKULEKJLA77AUQPDUHSM94Y76Z" hidden="1">#N/A</definedName>
    <definedName name="BExKV08R85MKI3MAX9E2HERNQUNL" hidden="1">#N/A</definedName>
    <definedName name="BExKV4AAUNNJL5JWD7PX6BFKVS6O" hidden="1">#N/A</definedName>
    <definedName name="BExKVDVK6HN74GQPTXICP9BFC8CF" hidden="1">#N/A</definedName>
    <definedName name="BExKVFZ3ZZGIC1QI8XN6BYFWN0ZY" hidden="1">#N/A</definedName>
    <definedName name="BExKVG4KGO28KPGTAFL1R8TTZ10N" hidden="1">#N/A</definedName>
    <definedName name="BExKW0CSH7DA02YSNV64PSEIXB2P" hidden="1">#N/A</definedName>
    <definedName name="BExM9NUG3Q31X01AI9ZJCZIX25CS" hidden="1">#N/A</definedName>
    <definedName name="BExM9OG182RP30MY23PG49LVPZ1C" hidden="1">#N/A</definedName>
    <definedName name="BExMA64MW1S18NH8DCKPCCEI5KCB" hidden="1">#N/A</definedName>
    <definedName name="BExMALEWFUEM8Y686IT03ECURUBR" hidden="1">#N/A</definedName>
    <definedName name="BExMAR3XSK6RSFLHP7ZX1EWGHASI" hidden="1">#N/A</definedName>
    <definedName name="BExMAXJS82ZJ8RS22VLE0V0LDUII" hidden="1">#N/A</definedName>
    <definedName name="BExMB4QRS0R3MTB4CMUHFZ84LNZQ" hidden="1">#N/A</definedName>
    <definedName name="BExMBC35WKQY5CWQJLV4D05O6971" hidden="1">#N/A</definedName>
    <definedName name="BExMBFTZV4Q1A5KG25C1N9PHQNSW" hidden="1">#N/A</definedName>
    <definedName name="BExMBK6ISK3U7KHZKUJXIDKGF6VW" hidden="1">#N/A</definedName>
    <definedName name="BExMBYPQDG9AYDQ5E8IECVFREPO6" hidden="1">#N/A</definedName>
    <definedName name="BExMC8AZUTX8LG89K2JJR7ZG62XX" hidden="1">#N/A</definedName>
    <definedName name="BExMCA96YR10V72G2R0SCIKPZLIZ" hidden="1">#N/A</definedName>
    <definedName name="BExMCB5JU5I2VQDUBS4O42BTEVKI" hidden="1">#N/A</definedName>
    <definedName name="BExMCFSQFSEMPY5IXDIRKZDASDBR" hidden="1">#N/A</definedName>
    <definedName name="BExMCMZOEYWVOOJ98TBHTTCS7XB8" hidden="1">#N/A</definedName>
    <definedName name="BExMCS8EF2W3FS9QADNKREYSI8P0" hidden="1">#N/A</definedName>
    <definedName name="BExMCUS7GSOM96J0HJ7EH0FFM2AC" hidden="1">#N/A</definedName>
    <definedName name="BExMCYTT6TVDWMJXO1NZANRTVNAN" hidden="1">#N/A</definedName>
    <definedName name="BExMD5F6IAV108XYJLXUO9HD0IT6" hidden="1">#N/A</definedName>
    <definedName name="BExMDANV66W9T3XAXID40XFJ0J93" hidden="1">#N/A</definedName>
    <definedName name="BExMDGD1KQP7NNR78X2ZX4FCBQ1S" hidden="1">#N/A</definedName>
    <definedName name="BExMDIRDK0DI8P86HB7WPH8QWLSQ" hidden="1">#N/A</definedName>
    <definedName name="BExMDPI2FVMORSWDDCVAJ85WYAYO" hidden="1">#N/A</definedName>
    <definedName name="BExMDUWB7VWHFFR266QXO46BNV2S" hidden="1">#N/A</definedName>
    <definedName name="BExME2U47N8LZG0BPJ49ANY5QVV2" hidden="1">#N/A</definedName>
    <definedName name="BExME88DH5DUKMUFI9FNVECXFD2E" hidden="1">#N/A</definedName>
    <definedName name="BExME9A7MOGAK7YTTQYXP5DL6VYA" hidden="1">#N/A</definedName>
    <definedName name="BExMEOV9YFRY5C3GDLU60GIX10BY" hidden="1">#N/A</definedName>
    <definedName name="BExMEY09ESM4H2YGKEQQRYUD114R" hidden="1">#N/A</definedName>
    <definedName name="BExMF4G4IUPQY1Y5GEY5N3E04CL6" hidden="1">#N/A</definedName>
    <definedName name="BExMF9UIGYMOAQK0ELUWP0S0HZZY" hidden="1">#N/A</definedName>
    <definedName name="BExMFDLBSWFMRDYJ2DZETI3EXKN2" hidden="1">#N/A</definedName>
    <definedName name="BExMFLDTMRTCHKA37LQW67BG8D5C" hidden="1">#N/A</definedName>
    <definedName name="BExMG73ZUQSF7VEJ8FIY1VE8KT4W" hidden="1">#N/A</definedName>
    <definedName name="BExMG9NSK30KD01QX0UBN2VNRTG4" hidden="1">#N/A</definedName>
    <definedName name="BExMGG3PFIHPHX7NXB7HDFI3N12L" hidden="1">#N/A</definedName>
    <definedName name="BExMH3H9TW5TJCNU5Z1EWXP3BAEP" hidden="1">#N/A</definedName>
    <definedName name="BExMHOWPB34KPZ76M2KIX2C9R2VB" hidden="1">#N/A</definedName>
    <definedName name="BExMHSSYC6KVHA3QDTSYPN92TWMI" hidden="1">#N/A</definedName>
    <definedName name="BExMI0WA793SF41LQ40A28U8OXQY" hidden="1">#N/A</definedName>
    <definedName name="BExMI3AJ9477KDL4T9DHET4LJJTW" hidden="1">#N/A</definedName>
    <definedName name="BExMI6L9KX05GAK523JFKICJMTA5" hidden="1">#N/A</definedName>
    <definedName name="BExMI6QQ20XHD0NWJUN741B37182" hidden="1">#N/A</definedName>
    <definedName name="BExMI8JB94SBD9EMNJEK7Y2T6GYU" hidden="1">#N/A</definedName>
    <definedName name="BExMI8OS85YTW3KYVE4YD0R7Z6UV" hidden="1">#N/A</definedName>
    <definedName name="BExMIBOOZU40JS3F89OMPSRCE9MM" hidden="1">#N/A</definedName>
    <definedName name="BExMIIQ5MBWSIHTFWAQADXMZC22Q" hidden="1">#N/A</definedName>
    <definedName name="BExMIL4I2GE866I25CR5JBLJWJ6A" hidden="1">#N/A</definedName>
    <definedName name="BExMIRKIPF27SNO82SPFSB3T5U17" hidden="1">#N/A</definedName>
    <definedName name="BExMIV0KC8555D5E42ZGWG15Y0MO" hidden="1">#N/A</definedName>
    <definedName name="BExMIZT6AN7E6YMW2S87CTCN2UXH" hidden="1">#N/A</definedName>
    <definedName name="BExMJ15T9F3475M0896SG60TN0SR" hidden="1">#N/A</definedName>
    <definedName name="BExMJNC8ZFB9DRFOJ961ZAJ8U3A8" hidden="1">#N/A</definedName>
    <definedName name="BExMJTBV8A3D31W2IQHP9RDFPPHQ" hidden="1">#N/A</definedName>
    <definedName name="BExMK2RTXN4QJWEUNX002XK8VQP8" hidden="1">#N/A</definedName>
    <definedName name="BExMKBGQDUZ8AWXYHA3QVMSDVZ3D" hidden="1">#N/A</definedName>
    <definedName name="BExMKBM1467553LDFZRRKVSHN374" hidden="1">#N/A</definedName>
    <definedName name="BExMKGK5FJUC0AU8MABRGDC5ZM70" hidden="1">#N/A</definedName>
    <definedName name="BExMKTW7R5SOV4PHAFGHU3W73DYE" hidden="1">#N/A</definedName>
    <definedName name="BExMKU7051J2W1RQXGZGE62NBRUZ" hidden="1">#N/A</definedName>
    <definedName name="BExMKUN3WPECJR2XRID2R7GZRGNX" hidden="1">#N/A</definedName>
    <definedName name="BExMKZ535P011X4TNV16GCOH4H21" hidden="1">#N/A</definedName>
    <definedName name="BExML3XQNDIMX55ZCHHXKUV3D6E6" hidden="1">#N/A</definedName>
    <definedName name="BExML5QGSWHLI18BGY4CGOTD3UWH" hidden="1">#N/A</definedName>
    <definedName name="BExMLO5Z61RE85X8HHX2G4IU3AZW" hidden="1">#N/A</definedName>
    <definedName name="BExMLVI7UORSHM9FMO8S2EI0TMTS" hidden="1">#N/A</definedName>
    <definedName name="BExMM5UCOT2HSSN0ZIPZW55GSOVO" hidden="1">#N/A</definedName>
    <definedName name="BExMM5UJOEW3J5OO03E5ABKNN86K" hidden="1">#N/A</definedName>
    <definedName name="BExMM8ZRS5RQ8H1H55RVPVTDL5NL" hidden="1">#N/A</definedName>
    <definedName name="BExMMH8EAZB09XXQ5X4LR0P4NHG9" hidden="1">#N/A</definedName>
    <definedName name="BExMMIQH5BABNZVCIQ7TBCQ10AY5" hidden="1">#N/A</definedName>
    <definedName name="BExMMNIZ2T7M22WECMUQXEF4NJ71" hidden="1">#N/A</definedName>
    <definedName name="BExMMPMIOU7BURTV0L1K6ACW9X73" hidden="1">#N/A</definedName>
    <definedName name="BExMMQ835AJDHS4B419SS645P67Q" hidden="1">#N/A</definedName>
    <definedName name="BExMMQIUVPCOBISTEJJYNCCLUCPY" hidden="1">#N/A</definedName>
    <definedName name="BExMMTIXETA5VAKBSOFDD5SRU887" hidden="1">#N/A</definedName>
    <definedName name="BExMMV0P6P5YS3C35G0JYYHI7992" hidden="1">#N/A</definedName>
    <definedName name="BExMNDR4V2VG5RFZDGTAGD3Q9PPG" hidden="1">#N/A</definedName>
    <definedName name="BExMNJLFWZBRN9PZF1IO9CYWV1B2" hidden="1">#N/A</definedName>
    <definedName name="BExMNKCJ0FA57YEUUAJE43U1QN5P" hidden="1">#N/A</definedName>
    <definedName name="BExMNKN5D1WEF2OOJVP6LZ6DLU3Y" hidden="1">#N/A</definedName>
    <definedName name="BExMNR38HMPLWAJRQ9MMS3ZAZ9IU" hidden="1">#N/A</definedName>
    <definedName name="BExMNRDZULKJMVY2VKIIRM2M5A1M" hidden="1">#N/A</definedName>
    <definedName name="BExMO9IOWKTWHO8LQJJQI5P3INWY" hidden="1">#N/A</definedName>
    <definedName name="BExMOI29DOEK5R1A5QZPUDKF7N6T" hidden="1">#N/A</definedName>
    <definedName name="BExMPAJ5AJAXGKGK3F6H3ODS6RF4" hidden="1">#N/A</definedName>
    <definedName name="BExMPD2X55FFBVJ6CBUKNPROIOEU" hidden="1">#N/A</definedName>
    <definedName name="BExMPGZ848E38FUH1JBQN97DGWAT" hidden="1">#N/A</definedName>
    <definedName name="BExMPMTICOSMQENOFKQ18K0ZT4S8" hidden="1">#N/A</definedName>
    <definedName name="BExMPMZ07II0R4KGWQQ7PGS3RZS4" hidden="1">#N/A</definedName>
    <definedName name="BExMPOBH04JMDO6Z8DMSEJZM4ANN" hidden="1">#N/A</definedName>
    <definedName name="BExMPSD77XQ3HA6A4FZOJK8G2JP3" hidden="1">#N/A</definedName>
    <definedName name="BExMQ4I3Q7F0BMPHSFMFW9TZ87UD" hidden="1">#N/A</definedName>
    <definedName name="BExMQ4SWDWI4N16AZ0T5CJ6HH8WC" hidden="1">#N/A</definedName>
    <definedName name="BExMQ71WHW50GVX45JU951AGPLFQ" hidden="1">#N/A</definedName>
    <definedName name="BExMQGXSLPT4A6N47LE6FBVHWBOF" hidden="1">#N/A</definedName>
    <definedName name="BExMQSBR7PL4KLB1Q4961QO45Y4G" hidden="1">#N/A</definedName>
    <definedName name="BExMR1MA4I1X77714ZEPUVC8W398" hidden="1">#N/A</definedName>
    <definedName name="BExMR8YQHA7N77HGHY4Y6R30I3XT" hidden="1">#N/A</definedName>
    <definedName name="BExMRENOIARWRYOIVPDIEBVNRDO7" hidden="1">#N/A</definedName>
    <definedName name="BExMRQHUEHGF2FS4LCB0THFELGDI" hidden="1">#N/A</definedName>
    <definedName name="BExMRRJNUMGRSDD5GGKKGEIZ6FTS" hidden="1">#N/A</definedName>
    <definedName name="BExMRU3ACIU0RD2BNWO55LH5U2BR" hidden="1">#N/A</definedName>
    <definedName name="BExMSQRCC40AP8BDUPL2I2DNC210" hidden="1">#N/A</definedName>
    <definedName name="BExO4J9LR712G00TVA82VNTG8O7H" hidden="1">#N/A</definedName>
    <definedName name="BExO4M9K2CBU94O8MQ66XTL8BVK4" hidden="1">#N/A</definedName>
    <definedName name="BExO55G2KVZ7MIJ30N827CLH0I2A" hidden="1">#N/A</definedName>
    <definedName name="BExO5A8PZD9EUHC5CMPU6N3SQ15L" hidden="1">#N/A</definedName>
    <definedName name="BExO5XMAHL7CY3X0B1OPKZ28DCJ5" hidden="1">#N/A</definedName>
    <definedName name="BExO66LZJKY4PTQVREELI6POS4AY" hidden="1">#N/A</definedName>
    <definedName name="BExO6LLHCYTF7CIVHKAO0NMET14Q" hidden="1">#N/A</definedName>
    <definedName name="BExO7OUQS3XTUQ2LDKGQ8AAQ3OJJ" hidden="1">#N/A</definedName>
    <definedName name="BExO7RUSODZC2NQZMT2AFSMV2ONF" hidden="1">#N/A</definedName>
    <definedName name="BExO85HMYXZJ7SONWBKKIAXMCI3C" hidden="1">#N/A</definedName>
    <definedName name="BExO863922O4PBGQMUNEQKGN3K96" hidden="1">#N/A</definedName>
    <definedName name="BExO89ZIOXN0HOKHY24F7HDZ87UT" hidden="1">#N/A</definedName>
    <definedName name="BExO8CDTBCABLEUD6PE2UM2EZ6C4" hidden="1">#N/A</definedName>
    <definedName name="BExO8IZ05ZG0XVOL3W41KBQE176A" hidden="1">#N/A</definedName>
    <definedName name="BExO8UTAGQWDBQZEEF4HUNMLQCVU" hidden="1">#N/A</definedName>
    <definedName name="BExO937E20IHMGQOZMECL3VZC7OX" hidden="1">#N/A</definedName>
    <definedName name="BExO94UTJKQQ7TJTTJRTSR70YVJC" hidden="1">#N/A</definedName>
    <definedName name="BExO9J3A438976RXIUX5U9SU5T55" hidden="1">#N/A</definedName>
    <definedName name="BExO9RS5RXFJ1911HL3CCK6M74EP" hidden="1">#N/A</definedName>
    <definedName name="BExO9SDRI1M6KMHXSG3AE5L0F2U3" hidden="1">#N/A</definedName>
    <definedName name="BExO9V2U2YXAY904GYYGU6TD8Y7M" hidden="1">#N/A</definedName>
    <definedName name="BExOAQ3GKCT7YZW1EMVU3EILSZL2" hidden="1">#N/A</definedName>
    <definedName name="BExOB9KT2THGV4SPLDVFTFXS4B14" hidden="1">#N/A</definedName>
    <definedName name="BExOBEZ0IE2WBEYY3D3CMRI72N1K" hidden="1">#N/A</definedName>
    <definedName name="BExOBIPU8760ITY0C8N27XZ3KWEF" hidden="1">#N/A</definedName>
    <definedName name="BExOBM0I5L0MZ1G4H9MGMD87SBMZ" hidden="1">#N/A</definedName>
    <definedName name="BExOBOUXMP88KJY2BX2JLUJH5N0K" hidden="1">#N/A</definedName>
    <definedName name="BExOBP0FKQ4SVR59FB48UNLKCOR6" hidden="1">#N/A</definedName>
    <definedName name="BExOBYAVUCQ0IGM0Y6A75QHP0Q1A" hidden="1">#N/A</definedName>
    <definedName name="BExOC3UEHB1CZNINSQHZANWJYKR8" hidden="1">#N/A</definedName>
    <definedName name="BExOCBSF3XGO9YJ23LX2H78VOUR7" hidden="1">#N/A</definedName>
    <definedName name="BExOCKXFMOW6WPFEVX1I7R7FNDSS" hidden="1">#N/A</definedName>
    <definedName name="BExOCYEXOB95DH5NOB0M5NOYX398" hidden="1">#N/A</definedName>
    <definedName name="BExOD4ERMDMFD8X1016N4EXOUR0S" hidden="1">#N/A</definedName>
    <definedName name="BExOD55RS7BQUHRQ6H3USVGKR0P7" hidden="1">#N/A</definedName>
    <definedName name="BExODEWDDEABM4ZY3XREJIBZ8IVP" hidden="1">#N/A</definedName>
    <definedName name="BExODNLAA1L7WQ9ZQX6A1ZOXK9VR" hidden="1">#N/A</definedName>
    <definedName name="BExODZFEIWV26E8RFU7XQYX1J458" hidden="1">#N/A</definedName>
    <definedName name="BExOEBKG55EROA2VL360A06LKASE" hidden="1">#N/A</definedName>
    <definedName name="BExOERG5LWXYYEN1DY1H2FWRJS9T" hidden="1">#N/A</definedName>
    <definedName name="BExOEV1S6JJVO5PP4BZ20SNGZR7D" hidden="1">#N/A</definedName>
    <definedName name="BExOFEDNCYI2TPTMQ8SJN3AW4YMF" hidden="1">#N/A</definedName>
    <definedName name="BExOFVLXVD6RVHSQO8KZOOACSV24" hidden="1">#N/A</definedName>
    <definedName name="BExOG1GGPOEJA8YA0I1O3W14XUEJ" hidden="1">#N/A</definedName>
    <definedName name="BExOG2SW3XOGP9VAPQ3THV3VWV12" hidden="1">#N/A</definedName>
    <definedName name="BExOG45J81K4OPA40KW5VQU54KY3" hidden="1">#N/A</definedName>
    <definedName name="BExOGFE2SCL8HHT4DFAXKLUTJZOG" hidden="1">#N/A</definedName>
    <definedName name="BExOGT6D0LJ3C22RDW8COECKB1J5" hidden="1">#N/A</definedName>
    <definedName name="BExOGTMI1HT31M1RGWVRAVHAK7DE" hidden="1">#N/A</definedName>
    <definedName name="BExOGXO9JE5XSE9GC3I6O21UEKAO" hidden="1">#N/A</definedName>
    <definedName name="BExOH9ICZ13C1LAW8OTYTR9S7ZP3" hidden="1">#N/A</definedName>
    <definedName name="BExOHL75H3OT4WAKKPUXIVXWFVDS" hidden="1">#N/A</definedName>
    <definedName name="BExOHLHXXJL6363CC082M9M5VVXQ" hidden="1">#N/A</definedName>
    <definedName name="BExOHNAO5UDXSO73BK2ARHWKS90Y" hidden="1">#N/A</definedName>
    <definedName name="BExOHR1G1I9A9CI1HG94EWBLWNM2" hidden="1">#N/A</definedName>
    <definedName name="BExOHTQPP8LQ98L6PYUI6QW08YID" hidden="1">#N/A</definedName>
    <definedName name="BExOHX6Q6NJI793PGX59O5EKTP4G" hidden="1">#N/A</definedName>
    <definedName name="BExOI5VMTHH7Y8MQQ1N635CHYI0P" hidden="1">#N/A</definedName>
    <definedName name="BExOIEVCP4Y6VDS23AK84MCYYHRT" hidden="1">#N/A</definedName>
    <definedName name="BExOIHPQIXR0NDR5WD01BZKPKEO3" hidden="1">#N/A</definedName>
    <definedName name="BExOIM7L0Z3LSII9P7ZTV4KJ8RMA" hidden="1">#N/A</definedName>
    <definedName name="BExOIWJVMJ6MG6JC4SPD1L00OHU1" hidden="1">#N/A</definedName>
    <definedName name="BExOIYCN8Z4JK3OOG86KYUCV0ME8" hidden="1">#N/A</definedName>
    <definedName name="BExOJ3AKZ9BCBZT3KD8WMSLK6MN2" hidden="1">#N/A</definedName>
    <definedName name="BExOJ7XQK71I4YZDD29AKOOWZ47E" hidden="1">#N/A</definedName>
    <definedName name="BExOJM0W6XGSW5MXPTTX0GNF6SFT" hidden="1">#N/A</definedName>
    <definedName name="BExOJXEUJJ9SYRJXKYYV2NCCDT2R" hidden="1">#N/A</definedName>
    <definedName name="BExOK0EQYM9JUMAGWOUN7QDH7VMZ" hidden="1">#N/A</definedName>
    <definedName name="BExOK4WM9O7QNG6O57FOASI5QSN1" hidden="1">#N/A</definedName>
    <definedName name="BExOKKHOPWUVRJGQJ5ONR2U40JX8" hidden="1">#N/A</definedName>
    <definedName name="BExOKTXMJP351VXKH8VT6SXUNIMF" hidden="1">#N/A</definedName>
    <definedName name="BExOKU8GMLOCNVORDE329819XN67" hidden="1">#N/A</definedName>
    <definedName name="BExOL0Z3Z7IAMHPB91EO2MF49U57" hidden="1">#N/A</definedName>
    <definedName name="BExOL7KH12VAR0LG741SIOJTLWFD" hidden="1">#N/A</definedName>
    <definedName name="BExOLICXFHJLILCJVFMJE5MGGWKR" hidden="1">#N/A</definedName>
    <definedName name="BExOLOI0WJS3QC12I3ISL0D9AWOF" hidden="1">#N/A</definedName>
    <definedName name="BExOLYZNG5RBD0BTS1OEZJNU92Q5" hidden="1">#N/A</definedName>
    <definedName name="BExOM3HIJ3UZPOKJI68KPBJAHPDC" hidden="1">#N/A</definedName>
    <definedName name="BExOMKPURE33YQ3K1JG9NVQD4W49" hidden="1">#N/A</definedName>
    <definedName name="BExOMP7NGCLUNFK50QD2LPKRG078" hidden="1">#N/A</definedName>
    <definedName name="BExOMU0A6XMY48SZRYL4WQZD13BI" hidden="1">#N/A</definedName>
    <definedName name="BExOMVT0HSNC59DJP4CLISASGHKL" hidden="1">#N/A</definedName>
    <definedName name="BExON0AX35F2SI0UCVMGWGVIUNI3" hidden="1">#N/A</definedName>
    <definedName name="BExON41U4296DV3DPG6I5EF3OEYF" hidden="1">#N/A</definedName>
    <definedName name="BExONB3A7CO4YD8RB41PHC93BQ9M" hidden="1">#N/A</definedName>
    <definedName name="BExONFQH6UUXF8V0GI4BRIST9RFO" hidden="1">#N/A</definedName>
    <definedName name="BExONIL31DZWU7IFVN3VV0XTXJA1" hidden="1">#N/A</definedName>
    <definedName name="BExONJ1BU17R0F5A2UP1UGJBOGKS" hidden="1">#N/A</definedName>
    <definedName name="BExONNZ9VMHVX3J6NLNJY7KZA61O" hidden="1">#N/A</definedName>
    <definedName name="BExONRQ1BAA4F3TXP2MYQ4YCZ09S" hidden="1">#N/A</definedName>
    <definedName name="BExOO1WWIZSGB0YTGKESB45TSVMZ" hidden="1">#N/A</definedName>
    <definedName name="BExOO4B8FPAFYPHCTYTX37P1TQM5" hidden="1">#N/A</definedName>
    <definedName name="BExOOIULUDOJRMYABWV5CCL906X6" hidden="1">#N/A</definedName>
    <definedName name="BExOOTN0KTXJCL7E476XBN1CJ553" hidden="1">#N/A</definedName>
    <definedName name="BExOP9DEBV5W5P4Q25J3XCJBP5S9" hidden="1">#N/A</definedName>
    <definedName name="BExOPFNYRBL0BFM23LZBJTADNOE4" hidden="1">#N/A</definedName>
    <definedName name="BExOPINVFSIZMCVT9YGT2AODVCX3" hidden="1">#N/A</definedName>
    <definedName name="BExOQ1JN4SAC44RTMZIGHSW023WA" hidden="1">#N/A</definedName>
    <definedName name="BExOQ256YMF115DJL3KBPNKABJ90" hidden="1">#N/A</definedName>
    <definedName name="BExQ19DEUOLC11IW32E2AMVZLFF1" hidden="1">#N/A</definedName>
    <definedName name="BExQ1FD6KISGYU1JWEQ4G243ZPVD" hidden="1">#N/A</definedName>
    <definedName name="BExQ29C73XR33S3668YYSYZAIHTG" hidden="1">#N/A</definedName>
    <definedName name="BExQ2FS228IUDUP2023RA1D4AO4C" hidden="1">#N/A</definedName>
    <definedName name="BExQ2L0XYWLY9VPZWXYYFRIRQRJ1" hidden="1">#N/A</definedName>
    <definedName name="BExQ2M841F5Z1BQYR8DG5FKK0LIU" hidden="1">#N/A</definedName>
    <definedName name="BExQ2MIWLHNKYN9O70NCBXLZ58CB" hidden="1">#N/A</definedName>
    <definedName name="BExQ300G8I8TK45A0MVHV15422EU" hidden="1">#N/A</definedName>
    <definedName name="BExQ39R28MXSG2SEV956F0KZ20AN" hidden="1">#N/A</definedName>
    <definedName name="BExQ3D1P3M5Z3HLMEZ17E0BLEE4U" hidden="1">#N/A</definedName>
    <definedName name="BExQ3O4W7QF8BOXTUT4IOGF6YKUD" hidden="1">#N/A</definedName>
    <definedName name="BExQ3PXOWSN8561ZR8IEY8ZASI3B" hidden="1">#N/A</definedName>
    <definedName name="BExQ3TZF04IPY0B0UG9CQQ5736UA" hidden="1">#N/A</definedName>
    <definedName name="BExQ42IU9MNDYLODP41DL6YTZMAR" hidden="1">#N/A</definedName>
    <definedName name="BExQ452HF7N1HYPXJXQ8WD6SOWUV" hidden="1">#N/A</definedName>
    <definedName name="BExQ499KBJ5W7A1G293A0K14EVQB" hidden="1">#N/A</definedName>
    <definedName name="BExQ4BTBSHPHVEDRCXC2ROW8PLFC" hidden="1">#N/A</definedName>
    <definedName name="BExQ4DGKF54SRKQUTUT4B1CZSS62" hidden="1">#N/A</definedName>
    <definedName name="BExQ4T74LQ5PYTV1MUQUW75A4BDY" hidden="1">#N/A</definedName>
    <definedName name="BExQ4XJHD7EJCNH7S1MJDZJ2MNWG" hidden="1">#N/A</definedName>
    <definedName name="BExQ5039ZCEWBUJHU682G4S89J03" hidden="1">#N/A</definedName>
    <definedName name="BExQ56Z9W6YHZHRXOFFI8EFA7CDI" hidden="1">#N/A</definedName>
    <definedName name="BExQ5KX3Z668H1KUCKZ9J24HUQ1F" hidden="1">#N/A</definedName>
    <definedName name="BExQ5SPMSOCJYLAY20NB5A6O32RE" hidden="1">#N/A</definedName>
    <definedName name="BExQ5UICMGTMK790KTLK49MAGXRC" hidden="1">#N/A</definedName>
    <definedName name="BExQ5VEQEIJO7YY80OJTA3XRQYJ9" hidden="1">#N/A</definedName>
    <definedName name="BExQ5YUUK9FD0QGTY4WD0W90O7OL" hidden="1">#N/A</definedName>
    <definedName name="BExQ63793YQ9BH7JLCNRIATIGTRG" hidden="1">#N/A</definedName>
    <definedName name="BExQ6CN1EF2UPZ57ZYMGK8TUJQSS" hidden="1">#N/A</definedName>
    <definedName name="BExQ6M2YXJ8AMRJF3QGHC40ADAHZ" hidden="1">#N/A</definedName>
    <definedName name="BExQ6M8B0X44N9TV56ATUVHGDI00" hidden="1">#N/A</definedName>
    <definedName name="BExQ6POH065GV0I74XXVD0VUPBJW" hidden="1">#N/A</definedName>
    <definedName name="BExQ6WV9KPSMXPPLGZ3KK4WNYTHU" hidden="1">#N/A</definedName>
    <definedName name="BExQ783XTMM2A9I3UKCFWJH1PP2N" hidden="1">#N/A</definedName>
    <definedName name="BExQ79LX01ZPQB8EGD1ZHR2VK2H3" hidden="1">#N/A</definedName>
    <definedName name="BExQ7B3V9MGDK2OIJ61XXFBFLJFZ" hidden="1">#N/A</definedName>
    <definedName name="BExQ7CB046NVPF9ZXDGA7OXOLSLX" hidden="1">#N/A</definedName>
    <definedName name="BExQ7IWDCGGOO1HTJ97YGO1CK3R9" hidden="1">#N/A</definedName>
    <definedName name="BExQ7JNFIEGS2HKNBALH3Q2N5G7Z" hidden="1">#N/A</definedName>
    <definedName name="BExQ7MY3U2Z1IZ71U5LJUD00VVB4" hidden="1">#N/A</definedName>
    <definedName name="BExQ7XL1FIYPP42CTVM2GJQR8ODN" hidden="1">#N/A</definedName>
    <definedName name="BExQ7XL2Q1GVUFL1F9KK0K0EXMWG" hidden="1">#N/A</definedName>
    <definedName name="BExQ8469L3ZRZ3KYZPYMSJIDL7Y5" hidden="1">#N/A</definedName>
    <definedName name="BExQ84MJB94HL3BWRN50M4NCB6Z0" hidden="1">#N/A</definedName>
    <definedName name="BExQ8583ZE00NW7T9OF11OT9IA14" hidden="1">#N/A</definedName>
    <definedName name="BExQ8A0RPE3IMIFIZLUE7KD2N21W" hidden="1">#N/A</definedName>
    <definedName name="BExQ8ABK6H1ADV2R2OYT8NFFYG2N" hidden="1">#N/A</definedName>
    <definedName name="BExQ8DM90XJ6GCJIK9LC5O82I2TJ" hidden="1">#N/A</definedName>
    <definedName name="BExQ8G0K46ZORA0QVQTDI7Z8LXGF" hidden="1">#N/A</definedName>
    <definedName name="BExQ8O3WEU8HNTTGKTW5T0QSKCLP" hidden="1">#N/A</definedName>
    <definedName name="BExQ8ZCEDBOBJA3D9LDP5TU2WYGR" hidden="1">#N/A</definedName>
    <definedName name="BExQ94LAW6MAQBWY25WTBFV5PPZJ" hidden="1">#N/A</definedName>
    <definedName name="BExQ97QIPOSSRK978N8P234Y1XA4" hidden="1">#N/A</definedName>
    <definedName name="BExQ9E6FBAXTHGF3RXANFIA77GXP" hidden="1">#N/A</definedName>
    <definedName name="BExQ9F2YH4UUCCMQITJ475B3S3NP" hidden="1">#N/A</definedName>
    <definedName name="BExQ9KX9734KIAK7IMRLHCPYDHO2" hidden="1">#N/A</definedName>
    <definedName name="BExQ9L81FF4I7816VTPFBDWVU4CW" hidden="1">#N/A</definedName>
    <definedName name="BExQ9M4E2ACZOWWWP1JJIQO8AHUM" hidden="1">#N/A</definedName>
    <definedName name="BExQ9UTANMJCK7LJ4OQMD6F2Q01L" hidden="1">#N/A</definedName>
    <definedName name="BExQ9ZLYHWABXAA9NJDW8ZS0UQ9P" hidden="1">#N/A</definedName>
    <definedName name="BExQA324HSCK40ENJUT9CS9EC71B" hidden="1">#N/A</definedName>
    <definedName name="BExQA55GY0STSNBWQCWN8E31ZXCS" hidden="1">#N/A</definedName>
    <definedName name="BExQA9HZIN9XEMHEEVHT99UU9Z82" hidden="1">#N/A</definedName>
    <definedName name="BExQAELFYH92K8CJL155181UDORO" hidden="1">#N/A</definedName>
    <definedName name="BExQAG8PP8R5NJKNQD1U4QOSD6X5" hidden="1">#N/A</definedName>
    <definedName name="BExQB6WYCJ2NAEL801BCC8P9XGS4" hidden="1">#N/A</definedName>
    <definedName name="BExQBDICMZTSA1X73TMHNO4JSFLN" hidden="1">#N/A</definedName>
    <definedName name="BExQBEER6CRCRPSSL61S0OMH57ZA" hidden="1">#N/A</definedName>
    <definedName name="BExQBIGGY5TXI2FJVVZSLZ0LTZYH" hidden="1">#N/A</definedName>
    <definedName name="BExQBM1RUSIQ85LLMM2159BYDPIP" hidden="1">#N/A</definedName>
    <definedName name="BExQBPSOZ47V81YAEURP0NQJNTJH" hidden="1">#N/A</definedName>
    <definedName name="BExQC5TWT21CGBKD0IHAXTIN2QB8" hidden="1">#N/A</definedName>
    <definedName name="BExQC94JL9F5GW4S8DQCAF4WB2DA" hidden="1">#N/A</definedName>
    <definedName name="BExQCKTD8AT0824LGWREXM1B5D1X" hidden="1">#N/A</definedName>
    <definedName name="BExQD571YWOXKR2SX85K5MKQ0AO2" hidden="1">#N/A</definedName>
    <definedName name="BExQDB6VCHN8PNX8EA6JNIEQ2JC2" hidden="1">#N/A</definedName>
    <definedName name="BExQDE1B6U2Q9B73KBENABP71YM1" hidden="1">#N/A</definedName>
    <definedName name="BExQDGQCN7ZW41QDUHOBJUGQAX40" hidden="1">#N/A</definedName>
    <definedName name="BExQEC7BRIJ30PTU3UPFOIP2HPE3" hidden="1">#N/A</definedName>
    <definedName name="BExQEMUA4HEFM4OVO8M8MA8PIAW1" hidden="1">#N/A</definedName>
    <definedName name="BExQEQ4XZQFIKUXNU9H7WE7AMZ1U" hidden="1">#N/A</definedName>
    <definedName name="BExQF1OEB07CRAP6ALNNMJNJ3P2D" hidden="1">#N/A</definedName>
    <definedName name="BExQF9X2AQPFJZTCHTU5PTTR0JAH" hidden="1">#N/A</definedName>
    <definedName name="BExQFC0M9KKFMQKPLPEO2RQDB7MM" hidden="1">#N/A</definedName>
    <definedName name="BExQFEEV7627R8TYZCM28C6V6WHE" hidden="1">#N/A</definedName>
    <definedName name="BExQFEK8NUD04X2OBRA275ADPSDL" hidden="1">#N/A</definedName>
    <definedName name="BExQFGYIWDR4W0YF7XR6E4EWWJ02" hidden="1">#N/A</definedName>
    <definedName name="BExQFPNFKA36IAPS22LAUMBDI4KE" hidden="1">#N/A</definedName>
    <definedName name="BExQFPSWEMA8WBUZ4WK20LR13VSU" hidden="1">#N/A</definedName>
    <definedName name="BExQFVSPOSCCPF1TLJPIWYWYB8A9" hidden="1">#N/A</definedName>
    <definedName name="BExQFWJQXNQAW6LUMOEDS6KMJMYL" hidden="1">#N/A</definedName>
    <definedName name="BExQG8TYRD2G42UA5ZPCRLNKUDMX" hidden="1">#N/A</definedName>
    <definedName name="BExQGO48J9MPCDQ96RBB9UN9AIGT" hidden="1">#N/A</definedName>
    <definedName name="BExQGSBB6MJWDW7AYWA0MSFTXKRR" hidden="1">#N/A</definedName>
    <definedName name="BExQH0UURAJ13AVO5UI04HSRGVYW" hidden="1">#N/A</definedName>
    <definedName name="BExQH6ZZY0NR8SE48PSI9D0CU1TC" hidden="1">#N/A</definedName>
    <definedName name="BExQH9P2MCXAJOVEO4GFQT6MNW22" hidden="1">#N/A</definedName>
    <definedName name="BExQHCZSBYUY8OKKJXFYWKBBM6AH" hidden="1">#N/A</definedName>
    <definedName name="BExQHPKXZ1K33V2F90NZIQRZYIAW" hidden="1">#N/A</definedName>
    <definedName name="BExQHVF9KD06AG2RXUQJ9X4PVGX4" hidden="1">#N/A</definedName>
    <definedName name="BExQHZBHVN2L4HC7ACTR73T5OCV0" hidden="1">#N/A</definedName>
    <definedName name="BExQI85V9TNLDJT5LTRZS10Y26SG" hidden="1">#N/A</definedName>
    <definedName name="BExQIAPKHVEV8CU1L3TTHJW67FJ5" hidden="1">#N/A</definedName>
    <definedName name="BExQIBB4I3Z6AUU0HYV1DHRS13M4" hidden="1">#N/A</definedName>
    <definedName name="BExQIBWPAXU7HJZLKGJZY3EB7MIS" hidden="1">#N/A</definedName>
    <definedName name="BExQIS8O6R36CI01XRY9ISM99TW9" hidden="1">#N/A</definedName>
    <definedName name="BExQIVJAYBEPPWN5GDBOQ6IJLZ9L" hidden="1">#N/A</definedName>
    <definedName name="BExQIVJB9MJ25NDUHTCVMSODJY2C" hidden="1">#N/A</definedName>
    <definedName name="BExQJBF7LAX128WR7VTMJC88ZLPG" hidden="1">#N/A</definedName>
    <definedName name="BExQJEVCKX6KZHNCLYXY7D0MX5KN" hidden="1">#N/A</definedName>
    <definedName name="BExQJJYSDX8B0J1QGF2HL071KKA3" hidden="1">#N/A</definedName>
    <definedName name="BExQK1HV6SQQ7CP8H8IUKI9TYXTD" hidden="1">#N/A</definedName>
    <definedName name="BExQK3LE5CSBW1E4H4KHW548FL2R" hidden="1">#N/A</definedName>
    <definedName name="BExQKG6LD6PLNDGNGO9DJXY865BR" hidden="1">#N/A</definedName>
    <definedName name="BExQLE1TOW3A287TQB0AVWENT8O1" hidden="1">#N/A</definedName>
    <definedName name="BExRYOYB4A3E5F6MTROY69LR0PMG" hidden="1">#N/A</definedName>
    <definedName name="BExRYZLA9EW71H4SXQR525S72LLP" hidden="1">#N/A</definedName>
    <definedName name="BExRZ66M8G9FQ0VFP077QSZBSOA5" hidden="1">#N/A</definedName>
    <definedName name="BExRZ8FMQQL46I8AQWU17LRNZD5T" hidden="1">#N/A</definedName>
    <definedName name="BExRZIRRIXRUMZ5GOO95S7460BMP" hidden="1">#N/A</definedName>
    <definedName name="BExRZK9RAHMM0ZLTNSK7A4LDC42D" hidden="1">#N/A</definedName>
    <definedName name="BExRZOGSR69INI6GAEPHDWSNK5Q4" hidden="1">#N/A</definedName>
    <definedName name="BExS0ASQBKRTPDWFK0KUDFOS9LE5" hidden="1">#N/A</definedName>
    <definedName name="BExS0GHQUF6YT0RU3TKDEO8CSJYB" hidden="1">#N/A</definedName>
    <definedName name="BExS0K8IHC45I78DMZBOJ1P13KQA" hidden="1">#N/A</definedName>
    <definedName name="BExS0TZ3GC94JCVS6J3QMVQ11SP8" hidden="1">#N/A</definedName>
    <definedName name="BExS152B2LFCRAUHSLI5T6QRNII0" hidden="1">#N/A</definedName>
    <definedName name="BExS15IJV0WW662NXQUVT3FGP4ST" hidden="1">#N/A</definedName>
    <definedName name="BExS194110MR25BYJI3CJ2EGZ8XT" hidden="1">#N/A</definedName>
    <definedName name="BExS1BNVGNSGD4EP90QL8WXYWZ66" hidden="1">#N/A</definedName>
    <definedName name="BExS1UE39N6NCND7MAARSBWXS6HU" hidden="1">#N/A</definedName>
    <definedName name="BExS226HTWL5WVC76MP5A1IBI8WD" hidden="1">#N/A</definedName>
    <definedName name="BExS26OI2QNNAH2WMDD95Z400048" hidden="1">#N/A</definedName>
    <definedName name="BExS2DF6B4ZUF3VZLI4G6LJ3BF38" hidden="1">#N/A</definedName>
    <definedName name="BExS2QB5FS5LYTFYO4BROTWG3OV5" hidden="1">#N/A</definedName>
    <definedName name="BExS2TLU1HONYV6S3ZD9T12D7CIG" hidden="1">#N/A</definedName>
    <definedName name="BExS318UV9I2FXPQQWUKKX00QLPJ" hidden="1">#N/A</definedName>
    <definedName name="BExS3LBS0SMTHALVM4NRI1BAV1NP" hidden="1">#N/A</definedName>
    <definedName name="BExS3MTQ75VBXDGEBURP6YT8RROE" hidden="1">#N/A</definedName>
    <definedName name="BExS3OMGYO0DFN5186UFKEXZ2RX3" hidden="1">#N/A</definedName>
    <definedName name="BExS3SDERJ27OER67TIGOVZU13A2" hidden="1">#N/A</definedName>
    <definedName name="BExS46R5WDNU5KL04FKY5LHJUCB8" hidden="1">#N/A</definedName>
    <definedName name="BExS4ASWKM93XA275AXHYP8AG6SU" hidden="1">#N/A</definedName>
    <definedName name="BExS4JN3Y6SVBKILQK0R9HS45Y52" hidden="1">#N/A</definedName>
    <definedName name="BExS4P6S41O6Z6BED77U3GD9PNH1" hidden="1">#N/A</definedName>
    <definedName name="BExS51H0N51UT0FZOPZRCF1GU063" hidden="1">#N/A</definedName>
    <definedName name="BExS54X72TJFC41FJK72MLRR2OO7" hidden="1">#N/A</definedName>
    <definedName name="BExS59F0PA1V2ZC7S5TN6IT41SXP" hidden="1">#N/A</definedName>
    <definedName name="BExS5DRER9US6NXY9ATYT41KZII3" hidden="1">#N/A</definedName>
    <definedName name="BExS5L3TGB8JVW9ROYWTKYTUPW27" hidden="1">#N/A</definedName>
    <definedName name="BExS6GKQ96EHVLYWNJDWXZXUZW90" hidden="1">#N/A</definedName>
    <definedName name="BExS6ITKSZFRR01YD5B0F676SYN7" hidden="1">#N/A</definedName>
    <definedName name="BExS6N0LI574IAC89EFW6CLTCQ33" hidden="1">#N/A</definedName>
    <definedName name="BExS6WRDBF3ST86ZOBBUL3GTCR11" hidden="1">#N/A</definedName>
    <definedName name="BExS6XNRKR0C3MTA0LV5B60UB908" hidden="1">#N/A</definedName>
    <definedName name="BExS7TKQYLRZGM93UY3ZJZJBQNFJ" hidden="1">#N/A</definedName>
    <definedName name="BExS7Y2LNGVHSIBKC7C3R6X4LDR6" hidden="1">#N/A</definedName>
    <definedName name="BExS81TE0EY44Y3W2M4Z4MGNP5OM" hidden="1">#N/A</definedName>
    <definedName name="BExS81YPDZDVJJVS15HV2HDXAC3Y" hidden="1">#N/A</definedName>
    <definedName name="BExS82PRVNUTEKQZS56YT2DVF6C2" hidden="1">#N/A</definedName>
    <definedName name="BExS8BPG5A0GR5AO1U951NDGGR0L" hidden="1">#N/A</definedName>
    <definedName name="BExS8GSUS17UY50TEM2AWF36BR9Z" hidden="1">#N/A</definedName>
    <definedName name="BExS8HJRBVG0XI6PWA9KTMJZMQXK" hidden="1">#N/A</definedName>
    <definedName name="BExS8R51C8RM2FS6V6IRTYO9GA4A" hidden="1">#N/A</definedName>
    <definedName name="BExS8WDX408F60MH1X9B9UZ2H4R7" hidden="1">#N/A</definedName>
    <definedName name="BExS8Z2W2QEC3MH0BZIYLDFQNUIP" hidden="1">#N/A</definedName>
    <definedName name="BExS92DKGRFFCIA9C0IXDOLO57EP" hidden="1">#N/A</definedName>
    <definedName name="BExS98OB4321YCHLCQ022PXKTT2W" hidden="1">#N/A</definedName>
    <definedName name="BExS9C9N8GFISC6HUERJ0EI06GB2" hidden="1">#N/A</definedName>
    <definedName name="BExS9DX13CACP3J8JDREK30JB1SQ" hidden="1">#N/A</definedName>
    <definedName name="BExS9FPRS2KRRCS33SE6WFNF5GYL" hidden="1">#N/A</definedName>
    <definedName name="BExS9WI0A6PSEB8N9GPXF2Z7MWHM" hidden="1">#N/A</definedName>
    <definedName name="BExSA5HP306TN9XJS0TU619DLRR7" hidden="1">#N/A</definedName>
    <definedName name="BExSAAVWQOOIA6B3JHQVGP08HFEM" hidden="1">#N/A</definedName>
    <definedName name="BExSAFJ3IICU2M7QPVE4ARYMXZKX" hidden="1">#N/A</definedName>
    <definedName name="BExSAH6ID8OHX379UXVNGFO8J6KQ" hidden="1">#N/A</definedName>
    <definedName name="BExSAQBHIXGQRNIRGCJMBXUPCZQA" hidden="1">#N/A</definedName>
    <definedName name="BExSAUTCT4P7JP57NOR9MTX33QJZ" hidden="1">#N/A</definedName>
    <definedName name="BExSAY9CA9TFXQ9M9FBJRGJO9T9E" hidden="1">#N/A</definedName>
    <definedName name="BExSB4JYKQ3MINI7RAYK5M8BLJDC" hidden="1">#N/A</definedName>
    <definedName name="BExSBMOS41ZRLWYLOU29V6Y7YORR" hidden="1">#N/A</definedName>
    <definedName name="BExSBRBXXQMBU1TYDW1BXTEVEPRU" hidden="1">#N/A</definedName>
    <definedName name="BExSC54998WTZ21DSL0R8UN0Y9JH" hidden="1">#N/A</definedName>
    <definedName name="BExSC60N7WR9PJSNC9B7ORCX9NGY" hidden="1">#N/A</definedName>
    <definedName name="BExSCE99EZTILTTCE4NJJF96OYYM" hidden="1">#N/A</definedName>
    <definedName name="BExSCHUQZ2HFEWS54X67DIS8OSXZ" hidden="1">#N/A</definedName>
    <definedName name="BExSCOG41SKKG4GYU76WRWW1CTE6" hidden="1">#N/A</definedName>
    <definedName name="BExSCVC9P86YVFMRKKUVRV29MZXZ" hidden="1">#N/A</definedName>
    <definedName name="BExSD233CH4MU9ZMGNRF97ZV7KWU" hidden="1">#N/A</definedName>
    <definedName name="BExSD2U0F3BN6IN9N4R2DTTJG15H" hidden="1">#N/A</definedName>
    <definedName name="BExSD6A6NY15YSMFH51ST6XJY429" hidden="1">#N/A</definedName>
    <definedName name="BExSD9VH6PF6RQ135VOEE08YXPAW" hidden="1">#N/A</definedName>
    <definedName name="BExSDP5Y04WWMX2WWRITWOX8R5I9" hidden="1">#N/A</definedName>
    <definedName name="BExSDSGM203BJTNS9MKCBX453HMD" hidden="1">#N/A</definedName>
    <definedName name="BExSDT20XUFXTDM37M148AXAP7HN" hidden="1">#N/A</definedName>
    <definedName name="BExSEEHK1VLWD7JBV9SVVVIKQZ3I" hidden="1">#N/A</definedName>
    <definedName name="BExSEJKZLX37P3V33TRTFJ30BFRK" hidden="1">#N/A</definedName>
    <definedName name="BExSEP9UVOAI6TMXKNK587PQ3328" hidden="1">#N/A</definedName>
    <definedName name="BExSERZ34ETZF8OI93MYIVZX4RDV" hidden="1">#N/A</definedName>
    <definedName name="BExSF07QFLZCO4P6K6QF05XG7PH1" hidden="1">#N/A</definedName>
    <definedName name="BExSFELNPJYUZX393PKWKNNZYV1N" hidden="1">#N/A</definedName>
    <definedName name="BExSFJ8ZAGQ63A4MVMZRQWLVRGQ5" hidden="1">#N/A</definedName>
    <definedName name="BExSFKQRST2S9KXWWLCXYLKSF4G1" hidden="1">#N/A</definedName>
    <definedName name="BExSFYDRRTAZVPXRWUF5PDQ97WFF" hidden="1">#N/A</definedName>
    <definedName name="BExSFZVPFTXA3F0IJ2NGH1GXX9R7" hidden="1">#N/A</definedName>
    <definedName name="BExSG90Q4ZUU2IPGDYOM169NJV9S" hidden="1">#N/A</definedName>
    <definedName name="BExSG9X3DU845PNXYJGGLBQY2UHG" hidden="1">#N/A</definedName>
    <definedName name="BExSGE45J27MDUUNXW7Z8Q33UAON" hidden="1">#N/A</definedName>
    <definedName name="BExSGE9LY91Q0URHB4YAMX0UAMYI" hidden="1">#N/A</definedName>
    <definedName name="BExSGLB2URTLBCKBB4Y885W925F2" hidden="1">#N/A</definedName>
    <definedName name="BExSGOAYG73SFWOPAQV80P710GID" hidden="1">#N/A</definedName>
    <definedName name="BExSGOWJHRW7FWKLO2EHUOOGHNAF" hidden="1">#N/A</definedName>
    <definedName name="BExSGOWJTAP41ZV5Q23H7MI9C76W" hidden="1">#N/A</definedName>
    <definedName name="BExSGR5JQVX2HQ0PKCGZNSSUM1RV" hidden="1">#N/A</definedName>
    <definedName name="BExSGVHX69GJZHD99DKE4RZ042B1" hidden="1">#N/A</definedName>
    <definedName name="BExSGZJO4J4ZO04E2N2ECVYS9DEZ" hidden="1">#N/A</definedName>
    <definedName name="BExSHAHFHS7MMNJR8JPVABRGBVIT" hidden="1">#N/A</definedName>
    <definedName name="BExSHGH88QZWW4RNAX4YKAZ5JEBL" hidden="1">#N/A</definedName>
    <definedName name="BExSHOKK1OO3CX9Z28C58E5J1D9W" hidden="1">#N/A</definedName>
    <definedName name="BExSHQD8KYLTQGDXIRKCHQQ7MKIH" hidden="1">#N/A</definedName>
    <definedName name="BExSHVGPIAHXI97UBLI9G4I4M29F" hidden="1">#N/A</definedName>
    <definedName name="BExSI0K2YL3HTCQAD8A7TR4QCUR6" hidden="1">#N/A</definedName>
    <definedName name="BExSIFUDNRWXWIWNGCCFOOD8WIAZ" hidden="1">#N/A</definedName>
    <definedName name="BExTTWD2PGX3Y9FR5F2MRNLY1DIY" hidden="1">#N/A</definedName>
    <definedName name="BExTTZNS2PBCR93C9IUW49UZ4I6T" hidden="1">#N/A</definedName>
    <definedName name="BExTU2YFQ25JQ6MEMRHHN66VLTPJ" hidden="1">#N/A</definedName>
    <definedName name="BExTU75IOII1V5O0C9X2VAYYVJUG" hidden="1">#N/A</definedName>
    <definedName name="BExTUA5F7V4LUIIAM17J3A8XF3JE" hidden="1">#N/A</definedName>
    <definedName name="BExTUJ53ANGZ3H1KDK4CR4Q0OD6P" hidden="1">#N/A</definedName>
    <definedName name="BExTUKXSZBM7C57G6NGLWGU4WOHY" hidden="1">#N/A</definedName>
    <definedName name="BExTUSQCFFYZCDNHWHADBC2E1ZP1" hidden="1">#N/A</definedName>
    <definedName name="BExTUVFGOJEYS28JURA5KHQFDU5J" hidden="1">#N/A</definedName>
    <definedName name="BExTUW10U40QCYGHM5NJ3YR1O5SP" hidden="1">#N/A</definedName>
    <definedName name="BExTUWXFQHINU66YG82BI20ATMB5" hidden="1">#N/A</definedName>
    <definedName name="BExTUY9WNSJ91GV8CP0SKJTEIV82" hidden="1">#N/A</definedName>
    <definedName name="BExTV67VIM8PV6KO253M4DUBJQLC" hidden="1">#N/A</definedName>
    <definedName name="BExTVELZCF2YA5L6F23BYZZR6WHF" hidden="1">#N/A</definedName>
    <definedName name="BExTVGPIQZ99YFXUC8OONUX5BD42" hidden="1">#N/A</definedName>
    <definedName name="BExTVZQLP9VFLEYQ9280W13X7E8K" hidden="1">#N/A</definedName>
    <definedName name="BExTWB4LA1PODQOH4LDTHQKBN16K" hidden="1">#N/A</definedName>
    <definedName name="BExTWI0Q8AWXUA3ZN7I5V3QK2KM1" hidden="1">#N/A</definedName>
    <definedName name="BExTWJTIA3WUW1PUWXAOP9O8NKLZ" hidden="1">#N/A</definedName>
    <definedName name="BExTWW95OX07FNA01WF5MSSSFQLX" hidden="1">#N/A</definedName>
    <definedName name="BExTX476KI0RNB71XI5TYMANSGBG" hidden="1">#N/A</definedName>
    <definedName name="BExTXJ6HBAIXMMWKZTJNFDYVZCAY" hidden="1">#N/A</definedName>
    <definedName name="BExTXT812NQT8GAEGH738U29BI0D" hidden="1">#N/A</definedName>
    <definedName name="BExTXWIP2TFPTQ76NHFOB72NICRZ" hidden="1">#N/A</definedName>
    <definedName name="BExTY5T62H651VC86QM4X7E28JVA" hidden="1">#N/A</definedName>
    <definedName name="BExTYHCJJ2NWRM1RV59FYR41534U" hidden="1">#N/A</definedName>
    <definedName name="BExTYKCEFJ83LZM95M1V7CSFQVEA" hidden="1">#N/A</definedName>
    <definedName name="BExTYPLA9N640MFRJJQPKXT7P88M" hidden="1">#N/A</definedName>
    <definedName name="BExTZ7F71SNTOX4LLZCK5R9VUMIJ" hidden="1">#N/A</definedName>
    <definedName name="BExTZ8X5G9S3PA4FPSNK7T69W7QT" hidden="1">#N/A</definedName>
    <definedName name="BExTZ97Y0RMR8V5BI9F2H4MFB77O" hidden="1">#N/A</definedName>
    <definedName name="BExTZK5PMCAXJL4DUIGL6H9Y8U4C" hidden="1">#N/A</definedName>
    <definedName name="BExTZKB6L5SXV5UN71YVTCBEIGWY" hidden="1">#N/A</definedName>
    <definedName name="BExTZLICVKK4NBJFEGL270GJ2VQO" hidden="1">#N/A</definedName>
    <definedName name="BExTZO2596CBZKPI7YNA1QQNPAIJ" hidden="1">#N/A</definedName>
    <definedName name="BExTZPEM8EH8CIO6VUZGLP3N5CD7" hidden="1">#N/A</definedName>
    <definedName name="BExTZWG2IY38WXV9B5G0FO8I1U34" hidden="1">#N/A</definedName>
    <definedName name="BExTZY8TDV4U7FQL7O10G6VKWKPJ" hidden="1">#N/A</definedName>
    <definedName name="BExU02QNT4LT7H9JPUC4FXTLVGZT" hidden="1">#N/A</definedName>
    <definedName name="BExU0BFJJQO1HJZKI14QGOQ6JROO" hidden="1">#N/A</definedName>
    <definedName name="BExU0FH5WTGW8MRFUFMDDSMJ6YQ5" hidden="1">#N/A</definedName>
    <definedName name="BExU0GDOIL9U33QGU9ZU3YX3V1I4" hidden="1">#N/A</definedName>
    <definedName name="BExU0HKTO8WJDQDWRTUK5TETM3HS" hidden="1">#N/A</definedName>
    <definedName name="BExU0MTJQPE041ZN7H8UKGV6MZT7" hidden="1">#N/A</definedName>
    <definedName name="BExU0XB6XCXI4SZ92YEUFMW4TAXF" hidden="1">#N/A</definedName>
    <definedName name="BExU0ZUUFYHLUK4M4E8GLGIBBNT0" hidden="1">#N/A</definedName>
    <definedName name="BExU147D6RPG6ZVTSXRKFSVRHSBG" hidden="1">#N/A</definedName>
    <definedName name="BExU16R10W1SOAPNG4CDJ01T7JRE" hidden="1">#N/A</definedName>
    <definedName name="BExU17CKOR3GNIHDNVLH9L1IOJS9" hidden="1">#N/A</definedName>
    <definedName name="BExU1GXUTLRPJN4MRINLAPHSZQFG" hidden="1">#N/A</definedName>
    <definedName name="BExU1IL9AOHFO85BZB6S60DK3N8H" hidden="1">#N/A</definedName>
    <definedName name="BExU1NOPS09CLFZL1O31RAF9BQNQ" hidden="1">#N/A</definedName>
    <definedName name="BExU1PH9MOEX1JZVZ3D5M9DXB191" hidden="1">#N/A</definedName>
    <definedName name="BExU1QZEEKJA35IMEOLOJ3ODX0ZA" hidden="1">#N/A</definedName>
    <definedName name="BExU1VRURIWWVJ95O40WA23LMTJD" hidden="1">#N/A</definedName>
    <definedName name="BExU2M5CK6XK55UIHDVYRXJJJRI4" hidden="1">#N/A</definedName>
    <definedName name="BExU2TXVT25ZTOFQAF6CM53Z1RLF" hidden="1">#N/A</definedName>
    <definedName name="BExU2XZLYIU19G7358W5T9E87AFR" hidden="1">#N/A</definedName>
    <definedName name="BExU3B66MCKJFSKT3HL8B5EJGVX0" hidden="1">#N/A</definedName>
    <definedName name="BExU3UNI9NR1RNZR07NSLSZMDOQQ" hidden="1">#N/A</definedName>
    <definedName name="BExU401R18N6XKZKL7CNFOZQCM14" hidden="1">#N/A</definedName>
    <definedName name="BExU42QVGY7TK39W1BIN6CDRG2OE" hidden="1">#N/A</definedName>
    <definedName name="BExU44P2AEX6PD8VC4ISCROUCQSP" hidden="1">#N/A</definedName>
    <definedName name="BExU47OZMS6TCWMEHHF0UCSFLLPI" hidden="1">#N/A</definedName>
    <definedName name="BExU4D36E8TXN0M8KSNGEAFYP4DQ" hidden="1">#N/A</definedName>
    <definedName name="BExU4G31RRVLJ3AC6E1FNEFMXM3O" hidden="1">#N/A</definedName>
    <definedName name="BExU4GDVLPUEWBA4MRYRTQAUNO7B" hidden="1">#N/A</definedName>
    <definedName name="BExU4I148DA7PRCCISLWQ6ABXFK6" hidden="1">#N/A</definedName>
    <definedName name="BExU4L101H2KQHVKCKQ4PBAWZV6K" hidden="1">#N/A</definedName>
    <definedName name="BExU4NA00RRRBGRT6TOB0MXZRCRZ" hidden="1">#N/A</definedName>
    <definedName name="BExU51IFNZXPBDES28457LR8X60M" hidden="1">#N/A</definedName>
    <definedName name="BExU529I6YHVOG83TJHWSILIQU1S" hidden="1">#N/A</definedName>
    <definedName name="BExU57YCIKPRD8QWL6EU0YR3NG3J" hidden="1">#N/A</definedName>
    <definedName name="BExU5DSTBWXLN6E59B757KRWRI6E" hidden="1">#N/A</definedName>
    <definedName name="BExU5GHXELYT04RGYBR3TYVLLUYB" hidden="1">#N/A</definedName>
    <definedName name="BExU5RVXC6OM8W2ZWGYXVJVHX11T" hidden="1">#N/A</definedName>
    <definedName name="BExU5TDWM8NNDHYPQ7OQODTQ368A" hidden="1">#N/A</definedName>
    <definedName name="BExU5X4OX1V1XHS6WSSORVQPP6Z3" hidden="1">#N/A</definedName>
    <definedName name="BExU5XVPARTFMRYHNUTBKDIL4UJN" hidden="1">#N/A</definedName>
    <definedName name="BExU66KMFBAP8JCVG9VM1RD1TNFF" hidden="1">#N/A</definedName>
    <definedName name="BExU68IOM3CB3TACNAE9565TW7SH" hidden="1">#N/A</definedName>
    <definedName name="BExU6AM82KN21E82HMWVP3LWP9IL" hidden="1">#N/A</definedName>
    <definedName name="BExU6FEU1MRHU98R9YOJC5OKUJ6L" hidden="1">#N/A</definedName>
    <definedName name="BExU6KIAJ663Y8W8QMU4HCF183DF" hidden="1">#N/A</definedName>
    <definedName name="BExU6KT19B4PG6SHXFBGBPLM66KT" hidden="1">#N/A</definedName>
    <definedName name="BExU6PAVKIOAIMQ9XQIHHF1SUAGO" hidden="1">#N/A</definedName>
    <definedName name="BExU6WXXC7SSQDMHSLUN5C2V4IYX" hidden="1">#N/A</definedName>
    <definedName name="BExU73387E74XE8A9UKZLZNJYY65" hidden="1">#N/A</definedName>
    <definedName name="BExU76ZHCJM8I7VSICCMSTC33O6U" hidden="1">#N/A</definedName>
    <definedName name="BExU7BBTUF8BQ42DSGM94X5TG5GF" hidden="1">#N/A</definedName>
    <definedName name="BExU7HH4EAHFQHT4AXKGWAWZP3I0" hidden="1">#N/A</definedName>
    <definedName name="BExU7MF1ZVPDHOSMCAXOSYICHZ4I" hidden="1">#N/A</definedName>
    <definedName name="BExU7O2BJ6D5YCKEL6FD2EFCWYRX" hidden="1">#N/A</definedName>
    <definedName name="BExU7Q0JS9YIUKUPNSSAIDK2KJAV" hidden="1">#N/A</definedName>
    <definedName name="BExU80I6AE5OU7P7F5V7HWIZBJ4P" hidden="1">#N/A</definedName>
    <definedName name="BExU86NB26MCPYIISZ36HADONGT2" hidden="1">#N/A</definedName>
    <definedName name="BExU885EZZNSZV3GP298UJ8LB7OL" hidden="1">#N/A</definedName>
    <definedName name="BExU8FSAUP9TUZ1NO9WXK80QPHWV" hidden="1">#N/A</definedName>
    <definedName name="BExU8KFLAN778MBN93NYZB0FV30G" hidden="1">#N/A</definedName>
    <definedName name="BExU8UX9JX3XLB47YZ8GFXE0V7R2" hidden="1">#N/A</definedName>
    <definedName name="BExU91DC3DGKPZD6LTER2IRTF89C" hidden="1">#N/A</definedName>
    <definedName name="BExU96M1J7P9DZQ3S9H0C12KGYTW" hidden="1">#N/A</definedName>
    <definedName name="BExU9F05OR1GZ3057R6UL3WPEIYI" hidden="1">#N/A</definedName>
    <definedName name="BExU9GCSO5YILIKG6VAHN13DL75K" hidden="1">#N/A</definedName>
    <definedName name="BExU9KJOZLO15N11MJVN782NFGJ0" hidden="1">#N/A</definedName>
    <definedName name="BExU9LG29XU2K1GNKRO4438JYQZE" hidden="1">#N/A</definedName>
    <definedName name="BExU9RW36I5Z6JIXUIUB3PJH86LT" hidden="1">#N/A</definedName>
    <definedName name="BExUA28AO7OWDG3H23Q0CL4B7BHW" hidden="1">#N/A</definedName>
    <definedName name="BExUA5O923FFNEBY8BPO1TU3QGBM" hidden="1">#N/A</definedName>
    <definedName name="BExUA6Q4K25VH452AQ3ZIRBCMS61" hidden="1">#N/A</definedName>
    <definedName name="BExUAFV4JMBSM2SKBQL9NHL0NIBS" hidden="1">#N/A</definedName>
    <definedName name="BExUAMWQODKBXMRH1QCMJLJBF8M7" hidden="1">#N/A</definedName>
    <definedName name="BExUAX8WS5OPVLCDXRGKTU2QMTFO" hidden="1">#N/A</definedName>
    <definedName name="BExUB8HLEXSBVPZ5AXNQEK96F1N4" hidden="1">#N/A</definedName>
    <definedName name="BExUBCDVZIEA7YT0LPSMHL5ZSERQ" hidden="1">#N/A</definedName>
    <definedName name="BExUBKXBUCN760QYU7Q8GESBWOQH" hidden="1">#N/A</definedName>
    <definedName name="BExUBL83ED0P076RN9RJ8P1MZ299" hidden="1">#N/A</definedName>
    <definedName name="BExUC623BDYEODBN0N4DO6PJQ7NU" hidden="1">#N/A</definedName>
    <definedName name="BExUC8WH8TCKBB5313JGYYQ1WFLT" hidden="1">#N/A</definedName>
    <definedName name="BExUCFCDK6SPH86I6STXX8X3WMC4" hidden="1">#N/A</definedName>
    <definedName name="BExUCLC6AQ5KR6LXSAXV4QQ8ASVG" hidden="1">#N/A</definedName>
    <definedName name="BExUD4IOJ12X3PJG5WXNNGDRCKAP" hidden="1">#N/A</definedName>
    <definedName name="BExUD9WX9BWK72UWVSLYZJLAY5VY" hidden="1">#N/A</definedName>
    <definedName name="BExUDBEUJH9IACZDBL1VAUWPG0QW" hidden="1">#N/A</definedName>
    <definedName name="BExUDEV0CYVO7Y5IQQBEJ6FUY9S6" hidden="1">#N/A</definedName>
    <definedName name="BExUDWOXQGIZW0EAIIYLQUPXF8YV" hidden="1">#N/A</definedName>
    <definedName name="BExUDXAIC17W1FUU8Z10XUAVB7CS" hidden="1">#N/A</definedName>
    <definedName name="BExUE5OMY7OAJQ9WR8C8HG311ORP" hidden="1">#N/A</definedName>
    <definedName name="BExUEFKOQWXXGRNLAOJV2BJ66UB8" hidden="1">#N/A</definedName>
    <definedName name="BExUEJGX3OQQP5KFRJSRCZ70EI9V" hidden="1">#N/A</definedName>
    <definedName name="BExUEYR71COFS2X8PDNU21IPMQEU" hidden="1">#N/A</definedName>
    <definedName name="BExVPRLJ9I6RX45EDVFSQGCPJSOK" hidden="1">#N/A</definedName>
    <definedName name="BExVSL787C8E4HFQZ2NVLT35I2XV" hidden="1">#N/A</definedName>
    <definedName name="BExVSTFTVV14SFGHQUOJL5SQ5TX9" hidden="1">#N/A</definedName>
    <definedName name="BExVT3MPE8LQ5JFN3HQIFKSQ80U4" hidden="1">#N/A</definedName>
    <definedName name="BExVT7TRK3NZHPME2TFBXOF1WBR9" hidden="1">#N/A</definedName>
    <definedName name="BExVT9H0R0T7WGQAAC0HABMG54YM" hidden="1">#N/A</definedName>
    <definedName name="BExVTCMDDEDGLUIMUU6BSFHEWTOP" hidden="1">#N/A</definedName>
    <definedName name="BExVTCMDQMLKRA2NQR72XU6Y54IK" hidden="1">#N/A</definedName>
    <definedName name="BExVTCRV8FQ5U9OYWWL44N6KFNHU" hidden="1">#N/A</definedName>
    <definedName name="BExVTNESHPVG0A0KZ7BRX26MS0PF" hidden="1">#N/A</definedName>
    <definedName name="BExVTTJVTNRSBHBTUZ78WG2JM5MK" hidden="1">#N/A</definedName>
    <definedName name="BExVTXLMYR87BC04D1ERALPUFVPG" hidden="1">#N/A</definedName>
    <definedName name="BExVUL9V3H8ZF6Y72LQBBN639YAA" hidden="1">#N/A</definedName>
    <definedName name="BExVV5T14N2HZIK7HQ4P2KG09U0J" hidden="1">#N/A</definedName>
    <definedName name="BExVV7R410VYLADLX9LNG63ID6H1" hidden="1">#N/A</definedName>
    <definedName name="BExVVA03RCXYOCRVTNOLNEYWHIKZ" hidden="1">#N/A</definedName>
    <definedName name="BExVVCEED4JEKF59OV0G3T4XFMFO" hidden="1">#N/A</definedName>
    <definedName name="BExVVPFO2J7FMSRPD36909HN4BZJ" hidden="1">#N/A</definedName>
    <definedName name="BExVVQ19AQ3VCARJOC38SF7OYE9Y" hidden="1">#N/A</definedName>
    <definedName name="BExVVQ19TAECID45CS4HXT1RD3AQ" hidden="1">#N/A</definedName>
    <definedName name="BExVW3YV5XGIVJ97UUPDJGJ2P15B" hidden="1">#N/A</definedName>
    <definedName name="BExVW5X571GEYR5SCU1Z2DHKWM79" hidden="1">#N/A</definedName>
    <definedName name="BExVW6YTKA098AF57M4PHNQ54XMH" hidden="1">#N/A</definedName>
    <definedName name="BExVWINKCH0V0NUWH363SMXAZE62" hidden="1">#N/A</definedName>
    <definedName name="BExVWY3CO5X3NWO843J86GA3IJYS" hidden="1">#N/A</definedName>
    <definedName name="BExVWYU8EK669NP172GEIGCTVPPA" hidden="1">#N/A</definedName>
    <definedName name="BExVX3MVJ0GHWPP1EL59ZQNKMX0B" hidden="1">#N/A</definedName>
    <definedName name="BExVX3XN2DRJKL8EDBIG58RYQ36R" hidden="1">#N/A</definedName>
    <definedName name="BExVX48G0J7DY5O1U4DZPG8QY3H0" hidden="1">#N/A</definedName>
    <definedName name="BExVXDZ63PUART77BBR5SI63TPC6" hidden="1">#N/A</definedName>
    <definedName name="BExVXHKI6LFYMGWISMPACMO247HL" hidden="1">#N/A</definedName>
    <definedName name="BExVXLX2BZ5EF2X6R41BTKRJR1NM" hidden="1">#N/A</definedName>
    <definedName name="BExVY11V7U1SAY4QKYE0PBSPD7LW" hidden="1">#N/A</definedName>
    <definedName name="BExVY1SV37DL5YU59HS4IG3VBCP4" hidden="1">#N/A</definedName>
    <definedName name="BExVY3WFGJKSQA08UF9NCMST928Y" hidden="1">#N/A</definedName>
    <definedName name="BExVY954UOEVQEIC5OFO4NEWVKAQ" hidden="1">#N/A</definedName>
    <definedName name="BExVYHDYIV5397LC02V4FEP8VD6W" hidden="1">#N/A</definedName>
    <definedName name="BExVYOVIZDA18YIQ0A30Q052PCAK" hidden="1">#N/A</definedName>
    <definedName name="BExVYQIXPEM6J4JVP78BRHIC05PV" hidden="1">#N/A</definedName>
    <definedName name="BExVYVGWN7SONLVDH9WJ2F1JS264" hidden="1">#N/A</definedName>
    <definedName name="BExVZ9EO732IK6MNMG17Y1EFTJQC" hidden="1">#N/A</definedName>
    <definedName name="BExVZB1Y5J4UL2LKK0363EU7GIJ1" hidden="1">#N/A</definedName>
    <definedName name="BExVZJQVO5LQ0BJH5JEN5NOBIAF6" hidden="1">#N/A</definedName>
    <definedName name="BExVZNXWS91RD7NXV5NE2R3C8WW7" hidden="1">#N/A</definedName>
    <definedName name="BExW0386REQRCQCVT9BCX80UPTRY" hidden="1">#N/A</definedName>
    <definedName name="BExW0FYP4WXY71CYUG40SUBG9UWU" hidden="1">#N/A</definedName>
    <definedName name="BExW0RI61B4VV0ARXTFVBAWRA1C5" hidden="1">#N/A</definedName>
    <definedName name="BExW1BVUYQTKMOR56MW7RVRX4L1L" hidden="1">#N/A</definedName>
    <definedName name="BExW1F1220628FOMTW5UAATHRJHK" hidden="1">#N/A</definedName>
    <definedName name="BExW1TKA0Z9OP2DTG50GZR5EG8C7" hidden="1">#N/A</definedName>
    <definedName name="BExW1U0JLKQ094DW5MMOI8UHO09V" hidden="1">#N/A</definedName>
    <definedName name="BExW283NP9D366XFPXLGSCI5UB0L" hidden="1">#N/A</definedName>
    <definedName name="BExW2H3C8WJSBW5FGTFKVDVJC4CL" hidden="1">#N/A</definedName>
    <definedName name="BExW2MSCKPGF5K3I7TL4KF5ISUOL" hidden="1">#N/A</definedName>
    <definedName name="BExW2SMO90FU9W8DVVES6Q4E6BZR" hidden="1">#N/A</definedName>
    <definedName name="BExW36V9N91OHCUMGWJQL3I5P4JK" hidden="1">#N/A</definedName>
    <definedName name="BExW3EIBA1J9Q9NA9VCGZGRS8WV7" hidden="1">#N/A</definedName>
    <definedName name="BExW3FEO8FI8N6AGQKYEG4SQVJWB" hidden="1">#N/A</definedName>
    <definedName name="BExW3GB28STOMJUSZEIA7YKYNS4Y" hidden="1">#N/A</definedName>
    <definedName name="BExW3T1K638HT5E0Y8MMK108P5JT" hidden="1">#N/A</definedName>
    <definedName name="BExW4217ZHL9VO39POSTJOD090WU" hidden="1">#N/A</definedName>
    <definedName name="BExW4GPW71EBF8XPS2QGVQHBCDX3" hidden="1">#N/A</definedName>
    <definedName name="BExW4JKC5837JBPCOJV337ZVYYY3" hidden="1">#N/A</definedName>
    <definedName name="BExW4QR9FV9MP5K610THBSM51RYO" hidden="1">#N/A</definedName>
    <definedName name="BExW4Z029R9E19ZENN3WEA3VDAD1" hidden="1">#N/A</definedName>
    <definedName name="BExW5AZNT6IAZGNF2C879ODHY1B8" hidden="1">#N/A</definedName>
    <definedName name="BExW5WPU27WD4NWZOT0ZEJIDLX5J" hidden="1">#N/A</definedName>
    <definedName name="BExW660AV1TUV2XNUPD65RZR3QOO" hidden="1">#N/A</definedName>
    <definedName name="BExW66LVVZK656PQY1257QMHP2AY" hidden="1">#N/A</definedName>
    <definedName name="BExW6EJPHAP1TWT380AZLXNHR22P" hidden="1">#N/A</definedName>
    <definedName name="BExW6G1PJ38H10DVLL8WPQ736OEB" hidden="1">#N/A</definedName>
    <definedName name="BExW794A74Z5F2K8LVQLD6VSKXUE" hidden="1">#N/A</definedName>
    <definedName name="BExW8K0SSIPSKBVP06IJ71600HJZ" hidden="1">#N/A</definedName>
    <definedName name="BExW8NM8DJJESE7GF7VGTO2XO6P1" hidden="1">#N/A</definedName>
    <definedName name="BExW8T0GVY3ZYO4ACSBLHS8SH895" hidden="1">#N/A</definedName>
    <definedName name="BExW8YEP73JMMU9HZ08PM4WHJQZ4" hidden="1">#N/A</definedName>
    <definedName name="BExW937AT53OZQRHNWQZ5BVH24IE" hidden="1">#N/A</definedName>
    <definedName name="BExW95LN5N0LYFFVP7GJEGDVDLF0" hidden="1">#N/A</definedName>
    <definedName name="BExW967733Q8RAJOHR2GJ3HO8JIW" hidden="1">#N/A</definedName>
    <definedName name="BExW9POK1KIOI0ALS5MZIKTDIYMA" hidden="1">#N/A</definedName>
    <definedName name="BExW9TVLB7OIHTG98I7I4EXBL61S" hidden="1">#N/A</definedName>
    <definedName name="BExXLDE6PN4ESWT3LXJNQCY94NE4" hidden="1">#N/A</definedName>
    <definedName name="BExXLQVPK2H3IF0NDDA5CT612EUK" hidden="1">#N/A</definedName>
    <definedName name="BExXLR6IO70TYTACKQH9M5PGV24J" hidden="1">#N/A</definedName>
    <definedName name="BExXM065WOLYRYHGHOJE0OOFXA4M" hidden="1">#N/A</definedName>
    <definedName name="BExXM3GUNXVDM82KUR17NNUMQCNI" hidden="1">#N/A</definedName>
    <definedName name="BExXMA28M8SH7MKIGETSDA72WUIZ" hidden="1">#N/A</definedName>
    <definedName name="BExXMOLHIAHDLFSA31PUB36SC3I9" hidden="1">#N/A</definedName>
    <definedName name="BExXMT8T5Z3M2JBQN65X2LKH0YQI" hidden="1">#N/A</definedName>
    <definedName name="BExXN1XNO7H60M9X1E7EVWFJDM5N" hidden="1">#N/A</definedName>
    <definedName name="BExXN22ZOTIW49GPLWFYKVM90FNZ" hidden="1">#N/A</definedName>
    <definedName name="BExXN4C031W9DK73MJHKL8YT1QA8" hidden="1">#N/A</definedName>
    <definedName name="BExXN6QAP8UJQVN4R4BQKPP4QK35" hidden="1">#N/A</definedName>
    <definedName name="BExXNBOA39T2X6Y5Y5GZ5DDNA1AX" hidden="1">#N/A</definedName>
    <definedName name="BExXND6872VJ3M2PGT056WQMWBHD" hidden="1">#N/A</definedName>
    <definedName name="BExXNPM24UN2PGVL9D1TUBFRIKR4" hidden="1">#N/A</definedName>
    <definedName name="BExXNWYB165VO9MHARCL5WLCHWS0" hidden="1">#N/A</definedName>
    <definedName name="BExXO278QHQN8JDK5425EJ615ECC" hidden="1">#N/A</definedName>
    <definedName name="BExXOBHOP0WGFHI2Y9AO4L440UVQ" hidden="1">#N/A</definedName>
    <definedName name="BExXOHSAD2NSHOLLMZ2JWA4I3I1R" hidden="1">#N/A</definedName>
    <definedName name="BExXP80B5FGA00JCM7UXKPI3PB7Y" hidden="1">#N/A</definedName>
    <definedName name="BExXP85M4WXYVN1UVHUTOEKEG5XS" hidden="1">#N/A</definedName>
    <definedName name="BExXPELOTHOAG0OWILLAH94OZV5J" hidden="1">#N/A</definedName>
    <definedName name="BExXPS31W1VD2NMIE4E37LHVDF0L" hidden="1">#N/A</definedName>
    <definedName name="BExXPZKYEMVF5JOC14HYOOYQK6JK" hidden="1">#N/A</definedName>
    <definedName name="BExXQ89PA10X79WBWOEP1AJX1OQM" hidden="1">#N/A</definedName>
    <definedName name="BExXQCGQGGYSI0LTRVR73MUO50AW" hidden="1">#N/A</definedName>
    <definedName name="BExXQEEXFHDQ8DSRAJSB5ET6J004" hidden="1">#N/A</definedName>
    <definedName name="BExXQH41O5HZAH8BO6HCFY8YC3TU" hidden="1">#N/A</definedName>
    <definedName name="BExXQIRBLQSLAJTFL7224FCFUTKH" hidden="1">#N/A</definedName>
    <definedName name="BExXQJIEF5R3QQ6D8HO3NGPU0IQC" hidden="1">#N/A</definedName>
    <definedName name="BExXQU00K9ER4I1WM7T9J0W1E7ZC" hidden="1">#N/A</definedName>
    <definedName name="BExXQU00KOR7XLM8B13DGJ1MIQDY" hidden="1">#N/A</definedName>
    <definedName name="BExXQXG18PS8HGBOS03OSTQ0KEYC" hidden="1">#N/A</definedName>
    <definedName name="BExXQXQT4OAFQT5B0YB3USDJOJOB" hidden="1">#N/A</definedName>
    <definedName name="BExXR3FSEXAHSXEQNJORWFCPX86N" hidden="1">#N/A</definedName>
    <definedName name="BExXR3W3FKYQBLR299HO9RZ70C43" hidden="1">#N/A</definedName>
    <definedName name="BExXR46U23CRRBV6IZT982MAEQKI" hidden="1">#N/A</definedName>
    <definedName name="BExXR8OKAVX7O70V5IYG2PRKXSTI" hidden="1">#N/A</definedName>
    <definedName name="BExXRA6N6XCLQM6XDV724ZIH6G93" hidden="1">#N/A</definedName>
    <definedName name="BExXRABZ1CNKCG6K1MR6OUFHF7J9" hidden="1">#N/A</definedName>
    <definedName name="BExXRBOFETC0OTJ6WY3VPMFH03VB" hidden="1">#N/A</definedName>
    <definedName name="BExXRD13K1S9Y3JGR7CXSONT7RJZ" hidden="1">#N/A</definedName>
    <definedName name="BExXRIFB4QQ87QIGA9AG0NXP577K" hidden="1">#N/A</definedName>
    <definedName name="BExXRIQ2JF2CVTRDQX2D9SPH7FTN" hidden="1">#N/A</definedName>
    <definedName name="BExXRO4A6VUH1F4XV8N1BRJ4896W" hidden="1">#N/A</definedName>
    <definedName name="BExXRO9N1SNJZGKD90P4K7FU1J0P" hidden="1">#N/A</definedName>
    <definedName name="BExXRV5QP3Z0KAQ1EQT9JYT2FV0L" hidden="1">#N/A</definedName>
    <definedName name="BExXRZ20LZZCW8LVGDK0XETOTSAI" hidden="1">#N/A</definedName>
    <definedName name="BExXRZNM651EJ5HJPGKGTVYLAZQ1" hidden="1">#N/A</definedName>
    <definedName name="BExXS63O4OMWMNXXAODZQFSDG33N" hidden="1">#N/A</definedName>
    <definedName name="BExXSBSP1TOY051HSPEPM0AEIO2M" hidden="1">#N/A</definedName>
    <definedName name="BExXSC8RFK5D68FJD2HI4K66SA6I" hidden="1">#N/A</definedName>
    <definedName name="BExXSNHC88W4UMXEOIOOATJAIKZO" hidden="1">#N/A</definedName>
    <definedName name="BExXSTBS08WIA9TLALV3UQ2Z3MRG" hidden="1">#N/A</definedName>
    <definedName name="BExXSVQ2WOJJ73YEO8Q2FK60V4G8" hidden="1">#N/A</definedName>
    <definedName name="BExXTHLRNL82GN7KZY3TOLO508N7" hidden="1">#N/A</definedName>
    <definedName name="BExXTL72MKEQSQH9L2OTFLU8DM2B" hidden="1">#N/A</definedName>
    <definedName name="BExXTM3M4RTCRSX7VGAXGQNPP668" hidden="1">#N/A</definedName>
    <definedName name="BExXTOCF78J7WY6FOVBRY1N2RBBR" hidden="1">#N/A</definedName>
    <definedName name="BExXTP3GYO6Z9RTKKT10XA0UTV3T" hidden="1">#N/A</definedName>
    <definedName name="BExXTZKZ4CG92ZQLIRKEXXH9BFIR" hidden="1">#N/A</definedName>
    <definedName name="BExXU4J2BM2964GD5UZHM752Q4NS" hidden="1">#N/A</definedName>
    <definedName name="BExXU6XDTT7RM93KILIDEYPA9XKF" hidden="1">#N/A</definedName>
    <definedName name="BExXU8VLZA7WLPZ3RAQZGNERUD26" hidden="1">#N/A</definedName>
    <definedName name="BExXUB9RSLSCNN5ETLXY72DAPZZM" hidden="1">#N/A</definedName>
    <definedName name="BExXUFRM82XQIN2T8KGLDQL1IBQW" hidden="1">#N/A</definedName>
    <definedName name="BExXUQEQBF6FI240ZGIF9YXZSRAU" hidden="1">#N/A</definedName>
    <definedName name="BExXUYND6EJO7CJ5KRICV4O1JNWK" hidden="1">#N/A</definedName>
    <definedName name="BExXV6FWG4H3S2QEUJZYIXILNGJ7" hidden="1">#N/A</definedName>
    <definedName name="BExXVK87BMMO6LHKV0CFDNIQVIBS" hidden="1">#N/A</definedName>
    <definedName name="BExXVKZ9WXPGL6IVY6T61IDD771I" hidden="1">#N/A</definedName>
    <definedName name="BExXW0K72T1Y8K1I4VZT87UY9S2G" hidden="1">#N/A</definedName>
    <definedName name="BExXW27MMXHXUXX78SDTBE1JYTHT" hidden="1">#N/A</definedName>
    <definedName name="BExXW2YIM2MYBSHRIX0RP9D4PRMN" hidden="1">#N/A</definedName>
    <definedName name="BExXWBNE4KTFSXKVSRF6WX039WPB" hidden="1">#N/A</definedName>
    <definedName name="BExXWFP5AYE7EHYTJWBZSQ8PQ0YX" hidden="1">#N/A</definedName>
    <definedName name="BExXWVFIBQT8OY1O41FRFPFGXQHK" hidden="1">#N/A</definedName>
    <definedName name="BExXWWXHBZHA9J3N8K47F84X0M0L" hidden="1">#N/A</definedName>
    <definedName name="BExXXBM521DL8R4ZX7NZ3DBCUOR5" hidden="1">#N/A</definedName>
    <definedName name="BExXXC7OZI33XZ03NRMEP7VRLQK4" hidden="1">#N/A</definedName>
    <definedName name="BExXXH5N3NKBQ7BCJPJTBF8CYM2Q" hidden="1">#N/A</definedName>
    <definedName name="BExXXKWLM4D541BH6O8GOJMHFHMW" hidden="1">#N/A</definedName>
    <definedName name="BExXXPPA1Q87XPI97X0OXCPBPDON" hidden="1">#N/A</definedName>
    <definedName name="BExXXVUDA98IZTQ6MANKU4MTTDVR" hidden="1">#N/A</definedName>
    <definedName name="BExXXZQNZY6IZI45DJXJK0MQZWA7" hidden="1">#N/A</definedName>
    <definedName name="BExXY5QFG6QP94SFT3935OBM8Y4K" hidden="1">#N/A</definedName>
    <definedName name="BExXY7TYEBFXRYUYIFHTN65RJ8EW" hidden="1">#N/A</definedName>
    <definedName name="BExXYLBHANUXC5FCTDDTGOVD3GQS" hidden="1">#N/A</definedName>
    <definedName name="BExXYMNYAYH3WA2ZCFAYKZID9ZCI" hidden="1">#N/A</definedName>
    <definedName name="BExXYYT12SVN2VDMLVNV4P3ISD8T" hidden="1">#N/A</definedName>
    <definedName name="BExXZEDWUYH25UZMW2QU2RXFILJE" hidden="1">#N/A</definedName>
    <definedName name="BExXZFVV4YB42AZ3H1I40YG3JAPU" hidden="1">#N/A</definedName>
    <definedName name="BExXZHJ9T2JELF12CHHGD54J1B0C" hidden="1">#N/A</definedName>
    <definedName name="BExXZNJ2X1TK2LRK5ZY3MX49H5T7" hidden="1">#N/A</definedName>
    <definedName name="BExXZOVPCEP495TQSON6PSRQ8XCY" hidden="1">#N/A</definedName>
    <definedName name="BExXZXKH7NBARQQAZM69Z57IH1MM" hidden="1">#N/A</definedName>
    <definedName name="BExY07WSDH5QEVM7BJXJK2ZRAI1O" hidden="1">#N/A</definedName>
    <definedName name="BExY0C3UBVC4M59JIRXVQ8OWAJC1" hidden="1">#N/A</definedName>
    <definedName name="BExY0OE8GFHMLLTEAFIOQTOPEVPB" hidden="1">#N/A</definedName>
    <definedName name="BExY0OJHW85S0VKBA8T4HTYPYBOS" hidden="1">#N/A</definedName>
    <definedName name="BExY0T1E034D7XAXNC6F7540LLIE" hidden="1">#N/A</definedName>
    <definedName name="BExY0XTZLHN49J2JH94BYTKBJLT3" hidden="1">#N/A</definedName>
    <definedName name="BExY11FH9TXHERUYGG8FE50U7H7J" hidden="1">#N/A</definedName>
    <definedName name="BExY180UKNW5NIAWD6ZUYTFEH8QS" hidden="1">#N/A</definedName>
    <definedName name="BExY1DPTV4LSY9MEOUGXF8X052NA" hidden="1">#N/A</definedName>
    <definedName name="BExY1GK9ELBEKDD7O6HR6DUO8YGO" hidden="1">#N/A</definedName>
    <definedName name="BExY1NWOXXFV9GGZ3PX444LZ8TVX" hidden="1">#N/A</definedName>
    <definedName name="BExY1UCL0RND63LLSM9X5SFRG117" hidden="1">#N/A</definedName>
    <definedName name="BExY1WAT3937L08HLHIRQHMP2A3H" hidden="1">#N/A</definedName>
    <definedName name="BExY1YEBOSLMID7LURP8QB46AI91" hidden="1">#N/A</definedName>
    <definedName name="BExY2FS4LFX9OHOTQT7SJ2PXAC25" hidden="1">#N/A</definedName>
    <definedName name="BExY2GDPCZPVU0IQ6IJIB1YQQRQ6" hidden="1">#N/A</definedName>
    <definedName name="BExY2GTSZ3VA9TXLY7KW1LIAKJ61" hidden="1">#N/A</definedName>
    <definedName name="BExY2IXBR1SGYZH08T7QHKEFS8HA" hidden="1">#N/A</definedName>
    <definedName name="BExY2Q4B5FUDA5VU4VRUHX327QN0" hidden="1">#N/A</definedName>
    <definedName name="BExY3HOSK7YI364K15OX70AVR6F1" hidden="1">#N/A</definedName>
    <definedName name="BExY3T89AUR83SOAZZ3OMDEJDQ39" hidden="1">#N/A</definedName>
    <definedName name="BExY4MG771JQ84EMIVB6HQGGHZY7" hidden="1">#N/A</definedName>
    <definedName name="BExY4PWCSFB8P3J3TBQB2MD67263" hidden="1">#N/A</definedName>
    <definedName name="BExY4RZW3KK11JLYBA4DWZ92M6LQ" hidden="1">#N/A</definedName>
    <definedName name="BExY4XOVTTNVZ577RLIEC7NZQFIX" hidden="1">#N/A</definedName>
    <definedName name="BExY50JAF5CG01GTHAUS7I4ZLUDC" hidden="1">#N/A</definedName>
    <definedName name="BExY53J7EXFEOFTRNAHLK7IH3ACB" hidden="1">#N/A</definedName>
    <definedName name="BExY5515SJTJS3VM80M3YYR0WF37" hidden="1">#N/A</definedName>
    <definedName name="BExY5515WE39FQ3EG5QHG67V9C0O" hidden="1">#N/A</definedName>
    <definedName name="BExY5986WNAD8NFCPXC9TVLBU4FG" hidden="1">#N/A</definedName>
    <definedName name="BExY5DF9MS25IFNWGJ1YAS5MDN8R" hidden="1">#N/A</definedName>
    <definedName name="BExY5ERVGL3UM2MGT8LJ0XPKTZEK" hidden="1">#N/A</definedName>
    <definedName name="BExY5EX6NJFK8W754ZVZDN5DS04K" hidden="1">#N/A</definedName>
    <definedName name="BExY5S3XD1NJT109CV54IFOHVLQ6" hidden="1">#N/A</definedName>
    <definedName name="BExY5TB2VAI3GHKCPXMCVIOM8B8W" hidden="1">#N/A</definedName>
    <definedName name="BExY6KVS1MMZ2R34PGEFR2BMTU9W" hidden="1">#N/A</definedName>
    <definedName name="BExY6Q9YY7LW745GP7CYOGGSPHGE" hidden="1">#N/A</definedName>
    <definedName name="BExZIA3C8LKJTEH3MKQ57KJH5TA2" hidden="1">#N/A</definedName>
    <definedName name="BExZIIHH3QNQE3GFMHEE4UMHY6WQ" hidden="1">#N/A</definedName>
    <definedName name="BExZIYO22G5UXOB42GDLYGVRJ6U7" hidden="1">#N/A</definedName>
    <definedName name="BExZJ7I9T8XU4MZRKJ1VVU76V2LZ" hidden="1">#N/A</definedName>
    <definedName name="BExZJMY170JCUU1RWASNZ1HJPRTA" hidden="1">#N/A</definedName>
    <definedName name="BExZJOQR77H0P4SUKVYACDCFBBXO" hidden="1">#N/A</definedName>
    <definedName name="BExZJS6RG34ODDY9HMZ0O34MEMSB" hidden="1">#N/A</definedName>
    <definedName name="BExZK34NR4BAD7HJAP7SQ926UQP3" hidden="1">#N/A</definedName>
    <definedName name="BExZK3FGPHH5H771U7D5XY7XBS6E" hidden="1">#N/A</definedName>
    <definedName name="BExZKHYORG3O8C772XPFHM1N8T80" hidden="1">#N/A</definedName>
    <definedName name="BExZKJRF2IRR57DG9CLC7MSHWNNN" hidden="1">#N/A</definedName>
    <definedName name="BExZKV5GYXO0X760SBD9TWTIQHGI" hidden="1">#N/A</definedName>
    <definedName name="BExZL6E4YVXRUN7ZGF2BIGIXFR8K" hidden="1">#N/A</definedName>
    <definedName name="BExZL86OPAG90V0ZDTTEQBWIWATW" hidden="1">#N/A</definedName>
    <definedName name="BExZLGVLMKTPFXG42QYT0PO81G7F" hidden="1">#N/A</definedName>
    <definedName name="BExZLKMK7LRK14S09WLMH7MXSQXM" hidden="1">#N/A</definedName>
    <definedName name="BExZM7JVLG0W8EG5RBU915U3SKBY" hidden="1">#N/A</definedName>
    <definedName name="BExZM85FOVUFF110XMQ9O2ODSJUK" hidden="1">#N/A</definedName>
    <definedName name="BExZMF1MMTZ1TA14PZ8ASSU2CBSP" hidden="1">#N/A</definedName>
    <definedName name="BExZMKL5YQZD7F0FUCSVFGLPFK52" hidden="1">#N/A</definedName>
    <definedName name="BExZMOC3VNZALJM71X2T6FV91GTB" hidden="1">#N/A</definedName>
    <definedName name="BExZMXH39OB0I43XEL3K11U3G9PM" hidden="1">#N/A</definedName>
    <definedName name="BExZMZQ3RBKDHT5GLFNLS52OSJA0" hidden="1">#N/A</definedName>
    <definedName name="BExZN2F7Y2J2L2LN5WZRG949MS4A" hidden="1">#N/A</definedName>
    <definedName name="BExZN847WUWKRYTZWG9TCQZJS3OL" hidden="1">#N/A</definedName>
    <definedName name="BExZNH3VISFF4NQI11BZDP5IQ7VG" hidden="1">#N/A</definedName>
    <definedName name="BExZNJYCFYVMAOI62GB2BABK1ELE" hidden="1">#N/A</definedName>
    <definedName name="BExZNV707LIU6Z5H6QI6H67LHTI1" hidden="1">#N/A</definedName>
    <definedName name="BExZNVCBKB930QQ9QW7KSGOZ0V1M" hidden="1">#N/A</definedName>
    <definedName name="BExZNW8QJ18X0RSGFDWAE9ZSDX39" hidden="1">#N/A</definedName>
    <definedName name="BExZNZDWRS6Q40L8OCWFEIVI0A1O" hidden="1">#N/A</definedName>
    <definedName name="BExZOBO9NYLGVJQ31LVQ9XS2ZT4N" hidden="1">#N/A</definedName>
    <definedName name="BExZOETNB1CJ3Y2RKLI1ZK0S8Z6H" hidden="1">#N/A</definedName>
    <definedName name="BExZOL9K1RUXBTLZ6FJ65BIE9G5R" hidden="1">#N/A</definedName>
    <definedName name="BExZOREMVSK4E5VSWM838KHUB8AI" hidden="1">#N/A</definedName>
    <definedName name="BExZOVR745T5P1KS9NV2PXZPZVRG" hidden="1">#N/A</definedName>
    <definedName name="BExZOZSWGLSY2XYVRIS6VSNJDSGD" hidden="1">#N/A</definedName>
    <definedName name="BExZP7AIJKLM6C6CSUIIFAHFBNX2" hidden="1">#N/A</definedName>
    <definedName name="BExZPQ0XY507N8FJMVPKCTK8HC9H" hidden="1">#N/A</definedName>
    <definedName name="BExZQ37OVBR25U32CO2YYVPZOMR5" hidden="1">#N/A</definedName>
    <definedName name="BExZQ3IHNAFF2HI20IH754T349LH" hidden="1">#N/A</definedName>
    <definedName name="BExZQ3NT7H06VO0AR48WHZULZB93" hidden="1">#N/A</definedName>
    <definedName name="BExZQ7PJU07SEJMDX18U9YVDC2GU" hidden="1">#N/A</definedName>
    <definedName name="BExZQIHTGHK7OOI2Y2PN3JYBY82I" hidden="1">#N/A</definedName>
    <definedName name="BExZQJJMGU5MHQOILGXGJPAQI5XI" hidden="1">#N/A</definedName>
    <definedName name="BExZQXBYEBN28QUH1KOVW6KKA5UM" hidden="1">#N/A</definedName>
    <definedName name="BExZQZKT146WEN8FTVZ7Y5TSB8L5" hidden="1">#N/A</definedName>
    <definedName name="BExZR485AKBH93YZ08CMUC3WROED" hidden="1">#N/A</definedName>
    <definedName name="BExZR7TL98P2PPUVGIZYR5873DWW" hidden="1">#N/A</definedName>
    <definedName name="BExZRGD1603X5ACFALUUDKCD7X48" hidden="1">#N/A</definedName>
    <definedName name="BExZRP1X6UVLN1UOLHH5VF4STP1O" hidden="1">#N/A</definedName>
    <definedName name="BExZRQ930U6OCYNV00CH5I0Q4LPE" hidden="1">#N/A</definedName>
    <definedName name="BExZRW8W514W8OZ72YBONYJ64GXF" hidden="1">#N/A</definedName>
    <definedName name="BExZRWJP2BUVFJPO8U8ATQEP0LZU" hidden="1">#N/A</definedName>
    <definedName name="BExZS2OY9JTSSP01ZQ6V2T2LO5R9" hidden="1">#N/A</definedName>
    <definedName name="BExZSI9USDLZAN8LI8M4YYQL24GZ" hidden="1">#N/A</definedName>
    <definedName name="BExZSS0LA2JY4ZLJ1Z5YCMLJJZCH" hidden="1">#N/A</definedName>
    <definedName name="BExZTAQV2QVSZY5Y3VCCWUBSBW9P" hidden="1">#N/A</definedName>
    <definedName name="BExZTHSI2FX56PWRSNX9H5EWTZFO" hidden="1">#N/A</definedName>
    <definedName name="BExZTJL3HVBFY139H6CJHEQCT1EL" hidden="1">#N/A</definedName>
    <definedName name="BExZTLOL8OPABZI453E0KVNA1GJS" hidden="1">#N/A</definedName>
    <definedName name="BExZTT6J3X0TOX0ZY6YPLUVMCW9X" hidden="1">#N/A</definedName>
    <definedName name="BExZTW6ECBRA0BBITWBQ8R93RMCL" hidden="1">#N/A</definedName>
    <definedName name="BExZU2BHYAOKSCBM3C5014ZF6IXS" hidden="1">#N/A</definedName>
    <definedName name="BExZU2RMJTXOCS0ROPMYPE6WTD87" hidden="1">#N/A</definedName>
    <definedName name="BExZUF7G8FENTJKH9R1XUWXM6CWD" hidden="1">#N/A</definedName>
    <definedName name="BExZUNARUJBIZ08VCAV3GEVBIR3D" hidden="1">#N/A</definedName>
    <definedName name="BExZUSZT5496UMBP4LFSLTR1GVEW" hidden="1">#N/A</definedName>
    <definedName name="BExZUT54340I38GVCV79EL116WR0" hidden="1">#N/A</definedName>
    <definedName name="BExZUYDULCX65H9OZ9JHPBNKF3MI" hidden="1">#N/A</definedName>
    <definedName name="BExZV2QD5ZDK3AGDRULLA7JB46C3" hidden="1">#N/A</definedName>
    <definedName name="BExZVBQ29OM0V8XAL3HL0JIM0MMU" hidden="1">#N/A</definedName>
    <definedName name="BExZVEPYS6HYXG8RN9GMWZTHDEMK" hidden="1">#N/A</definedName>
    <definedName name="BExZVLM4T9ORS4ZWHME46U4Q103C" hidden="1">#N/A</definedName>
    <definedName name="BExZVM7OZWPPRH5YQW50EYMMIW1A" hidden="1">#N/A</definedName>
    <definedName name="BExZVPYGX2C5OSHMZ6F0KBKZ6B1S" hidden="1">#N/A</definedName>
    <definedName name="BExZW5UARC8W9AQNLJX2I5WQWS5F" hidden="1">#N/A</definedName>
    <definedName name="BExZW7HRGN6A9YS41KI2B2UUMJ7X" hidden="1">#N/A</definedName>
    <definedName name="BExZW8ZPNV43UXGOT98FDNIBQHZY" hidden="1">#N/A</definedName>
    <definedName name="BExZWKZ5N3RDXU8MZ8HQVYYD8O0F" hidden="1">#N/A</definedName>
    <definedName name="BExZWSMC9T48W74GFGQCIUJ8ZPP3" hidden="1">#N/A</definedName>
    <definedName name="BExZWSRO5IH95ZIQHYWYAIR2KTHZ" hidden="1">#N/A</definedName>
    <definedName name="BExZWUF2V4HY3HI8JN9ZVPRWK1H3" hidden="1">#N/A</definedName>
    <definedName name="BExZWX45URTK9KYDJHEXL1OTZ833" hidden="1">#N/A</definedName>
    <definedName name="BExZX0EWQEZO86WDAD9A4EAEZ012" hidden="1">#N/A</definedName>
    <definedName name="BExZX2T6ZT2DZLYSDJJBPVIT5OK2" hidden="1">#N/A</definedName>
    <definedName name="BExZXIZTDXSZH0SBRX0VGUUXA1QO" hidden="1">#N/A</definedName>
    <definedName name="BExZXOJDELULNLEH7WG0OYJT0NJ4" hidden="1">#N/A</definedName>
    <definedName name="BExZXOOTRNUK8LGEAZ8ZCFW9KXQ1" hidden="1">#N/A</definedName>
    <definedName name="BExZXT6JOXNKEDU23DKL8XZAJZIH" hidden="1">#N/A</definedName>
    <definedName name="BExZXUTYW1HWEEZ1LIX4OQWC7HL1" hidden="1">#N/A</definedName>
    <definedName name="BExZXY4NKQL9QD76YMQJ15U1C2G8" hidden="1">#N/A</definedName>
    <definedName name="BExZXYQ7U5G08FQGUIGYT14QCBOF" hidden="1">#N/A</definedName>
    <definedName name="BExZY02V77YJBMODJSWZOYCMPS5X" hidden="1">#N/A</definedName>
    <definedName name="BExZY49QRZIR6CA41LFA9LM6EULU" hidden="1">#N/A</definedName>
    <definedName name="BExZY9NZ9415O79KFHWAJHGK3BE6" hidden="1">#N/A</definedName>
    <definedName name="BExZZ2FQA9A8C7CJKMEFQ9VPSLCE" hidden="1">#N/A</definedName>
    <definedName name="BExZZCHAVHW8C2H649KRGVQ0WVRT" hidden="1">#N/A</definedName>
    <definedName name="BExZZTK54OTLF2YB68BHGOS27GEN" hidden="1">#N/A</definedName>
    <definedName name="BExZZXB3JQQG4SIZS4MRU6NNW7HI" hidden="1">#N/A</definedName>
    <definedName name="BExZZZEMIIFKMLLV4DJKX5TB9R5V" hidden="1">#N/A</definedName>
    <definedName name="bg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Del" hidden="1">15</definedName>
    <definedName name="BG_Ins" hidden="1">4</definedName>
    <definedName name="BG_Mod" hidden="1">6</definedName>
    <definedName name="bg3sheet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f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bgf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bgf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bgisheet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jf" localSheetId="2" hidden="1">'[24]key-ind'!#REF!</definedName>
    <definedName name="bjf" hidden="1">'[24]key-ind'!#REF!</definedName>
    <definedName name="BLPH1" localSheetId="2" hidden="1">#REF!</definedName>
    <definedName name="BLPH1" hidden="1">#REF!</definedName>
    <definedName name="BLPH10" localSheetId="2" hidden="1">[25]Historical!#REF!</definedName>
    <definedName name="BLPH10" hidden="1">[25]Historical!#REF!</definedName>
    <definedName name="BLPH11" localSheetId="2" hidden="1">#REF!</definedName>
    <definedName name="BLPH11" hidden="1">#REF!</definedName>
    <definedName name="BLPH12" localSheetId="2" hidden="1">#REF!</definedName>
    <definedName name="BLPH12" hidden="1">#REF!</definedName>
    <definedName name="BLPH13" localSheetId="2" hidden="1">#REF!</definedName>
    <definedName name="BLPH13" hidden="1">#REF!</definedName>
    <definedName name="BLPH14" localSheetId="2" hidden="1">#REF!</definedName>
    <definedName name="BLPH14" hidden="1">#REF!</definedName>
    <definedName name="BLPH15" localSheetId="2" hidden="1">#REF!</definedName>
    <definedName name="BLPH15" hidden="1">#REF!</definedName>
    <definedName name="BLPH16" localSheetId="2" hidden="1">#REF!</definedName>
    <definedName name="BLPH16" hidden="1">#REF!</definedName>
    <definedName name="BLPH17" localSheetId="2" hidden="1">#REF!</definedName>
    <definedName name="BLPH17" hidden="1">#REF!</definedName>
    <definedName name="BLPH18" localSheetId="2" hidden="1">#REF!</definedName>
    <definedName name="BLPH18" hidden="1">#REF!</definedName>
    <definedName name="BLPH19" localSheetId="2" hidden="1">#REF!</definedName>
    <definedName name="BLPH19" hidden="1">#REF!</definedName>
    <definedName name="BLPH2" localSheetId="2" hidden="1">#REF!</definedName>
    <definedName name="BLPH2" hidden="1">#REF!</definedName>
    <definedName name="BLPH20" localSheetId="2" hidden="1">#REF!</definedName>
    <definedName name="BLPH20" hidden="1">#REF!</definedName>
    <definedName name="BLPH21" localSheetId="2" hidden="1">#REF!</definedName>
    <definedName name="BLPH21" hidden="1">#REF!</definedName>
    <definedName name="BLPH22" localSheetId="2" hidden="1">#REF!</definedName>
    <definedName name="BLPH22" hidden="1">#REF!</definedName>
    <definedName name="BLPH23" localSheetId="2" hidden="1">#REF!</definedName>
    <definedName name="BLPH23" hidden="1">#REF!</definedName>
    <definedName name="BLPH24" localSheetId="2" hidden="1">#REF!</definedName>
    <definedName name="BLPH24" hidden="1">#REF!</definedName>
    <definedName name="BLPH3" localSheetId="2" hidden="1">#REF!</definedName>
    <definedName name="BLPH3" hidden="1">#REF!</definedName>
    <definedName name="BLPH4" localSheetId="2" hidden="1">#REF!</definedName>
    <definedName name="BLPH4" hidden="1">#REF!</definedName>
    <definedName name="BLPH5" localSheetId="2" hidden="1">#REF!</definedName>
    <definedName name="BLPH5" hidden="1">#REF!</definedName>
    <definedName name="BLPH58" localSheetId="2" hidden="1">[26]Indian_Second_hist!#REF!</definedName>
    <definedName name="BLPH58" hidden="1">[26]Indian_Second_hist!#REF!</definedName>
    <definedName name="BLPH59" localSheetId="2" hidden="1">[26]Indian_Second_hist!#REF!</definedName>
    <definedName name="BLPH59" hidden="1">[26]Indian_Second_hist!#REF!</definedName>
    <definedName name="BLPH6" localSheetId="2" hidden="1">[25]Historical!#REF!</definedName>
    <definedName name="BLPH6" hidden="1">[25]Historical!#REF!</definedName>
    <definedName name="BLPH60" localSheetId="2" hidden="1">[26]Indian_Second_hist!#REF!</definedName>
    <definedName name="BLPH60" hidden="1">[26]Indian_Second_hist!#REF!</definedName>
    <definedName name="BLPH62" localSheetId="2" hidden="1">[26]Indian_Second_hist!#REF!</definedName>
    <definedName name="BLPH62" hidden="1">[26]Indian_Second_hist!#REF!</definedName>
    <definedName name="BLPH63" localSheetId="2" hidden="1">[26]Indian_Second_hist!#REF!</definedName>
    <definedName name="BLPH63" hidden="1">[26]Indian_Second_hist!#REF!</definedName>
    <definedName name="BLPH64" localSheetId="2" hidden="1">[26]Indian_Second_hist!#REF!</definedName>
    <definedName name="BLPH64" hidden="1">[26]Indian_Second_hist!#REF!</definedName>
    <definedName name="BLPH65" localSheetId="2" hidden="1">[26]Indian_Second_hist!#REF!</definedName>
    <definedName name="BLPH65" hidden="1">[26]Indian_Second_hist!#REF!</definedName>
    <definedName name="BLPH67" localSheetId="2" hidden="1">[26]Indian_Second_hist!#REF!</definedName>
    <definedName name="BLPH67" hidden="1">[26]Indian_Second_hist!#REF!</definedName>
    <definedName name="BLPH7" localSheetId="2" hidden="1">[25]Historical!#REF!</definedName>
    <definedName name="BLPH7" hidden="1">[25]Historical!#REF!</definedName>
    <definedName name="BLPH8" localSheetId="2" hidden="1">[25]Historical!#REF!</definedName>
    <definedName name="BLPH8" hidden="1">[25]Historical!#REF!</definedName>
    <definedName name="BLPH9" localSheetId="2" hidden="1">[25]Historical!#REF!</definedName>
    <definedName name="BLPH9" hidden="1">[25]Historical!#REF!</definedName>
    <definedName name="BLTable">'[27]BL-Bud'!$A$11:$Y$133</definedName>
    <definedName name="bookdepr" localSheetId="2">#REF!</definedName>
    <definedName name="bookdepr">#REF!</definedName>
    <definedName name="bs" localSheetId="2">#REF!</definedName>
    <definedName name="bs">#REF!</definedName>
    <definedName name="BSDEC02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EC02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s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s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Table">'[27]BS-Bud'!$A$11:$Y$133</definedName>
    <definedName name="btrh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trh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trh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u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bu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bu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Buyerwise1" localSheetId="2" hidden="1">#REF!</definedName>
    <definedName name="Buyerwise1" hidden="1">#REF!</definedName>
    <definedName name="cbu" localSheetId="1" hidden="1">{#N/A,#N/A,FALSE,"COVER.XLS";#N/A,#N/A,FALSE,"RACT1.XLS";#N/A,#N/A,FALSE,"RACT2.XLS";#N/A,#N/A,FALSE,"ECCMP";#N/A,#N/A,FALSE,"WELDER.XLS"}</definedName>
    <definedName name="cbu" localSheetId="0" hidden="1">{#N/A,#N/A,FALSE,"COVER.XLS";#N/A,#N/A,FALSE,"RACT1.XLS";#N/A,#N/A,FALSE,"RACT2.XLS";#N/A,#N/A,FALSE,"ECCMP";#N/A,#N/A,FALSE,"WELDER.XLS"}</definedName>
    <definedName name="cbu" hidden="1">{#N/A,#N/A,FALSE,"COVER.XLS";#N/A,#N/A,FALSE,"RACT1.XLS";#N/A,#N/A,FALSE,"RACT2.XLS";#N/A,#N/A,FALSE,"ECCMP";#N/A,#N/A,FALSE,"WELDER.XLS"}</definedName>
    <definedName name="cdu" localSheetId="1" hidden="1">{#N/A,#N/A,FALSE,"COVER.XLS";#N/A,#N/A,FALSE,"RACT1.XLS";#N/A,#N/A,FALSE,"RACT2.XLS";#N/A,#N/A,FALSE,"ECCMP";#N/A,#N/A,FALSE,"WELDER.XLS"}</definedName>
    <definedName name="cdu" localSheetId="0" hidden="1">{#N/A,#N/A,FALSE,"COVER.XLS";#N/A,#N/A,FALSE,"RACT1.XLS";#N/A,#N/A,FALSE,"RACT2.XLS";#N/A,#N/A,FALSE,"ECCMP";#N/A,#N/A,FALSE,"WELDER.XLS"}</definedName>
    <definedName name="cdu" hidden="1">{#N/A,#N/A,FALSE,"COVER.XLS";#N/A,#N/A,FALSE,"RACT1.XLS";#N/A,#N/A,FALSE,"RACT2.XLS";#N/A,#N/A,FALSE,"ECCMP";#N/A,#N/A,FALSE,"WELDER.XLS"}</definedName>
    <definedName name="cf" localSheetId="2">#REF!</definedName>
    <definedName name="cf">#REF!</definedName>
    <definedName name="CIQWBGuid" hidden="1">"2cd8126d-26c3-430c-b7fa-a069e3a1fc62"</definedName>
    <definedName name="Civil1" localSheetId="2">#REF!</definedName>
    <definedName name="Civil1">#REF!</definedName>
    <definedName name="civil2" localSheetId="2">'[28]pending indent'!#REF!</definedName>
    <definedName name="civil2">'[28]pending indent'!#REF!</definedName>
    <definedName name="civil2007" localSheetId="2">'[28]pending indent'!#REF!</definedName>
    <definedName name="civil2007">'[28]pending indent'!#REF!</definedName>
    <definedName name="cl_debt" localSheetId="2">'[29]debt schedule'!#REF!</definedName>
    <definedName name="cl_debt">'[29]debt schedule'!#REF!</definedName>
    <definedName name="CLUBS" localSheetId="2">#REF!</definedName>
    <definedName name="CLUBS">#REF!</definedName>
    <definedName name="Code" localSheetId="2" hidden="1">#REF!</definedName>
    <definedName name="Code" hidden="1">#REF!</definedName>
    <definedName name="combined" localSheetId="1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combined" localSheetId="0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combined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comp2003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003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tor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NSTR" localSheetId="2">#REF!</definedName>
    <definedName name="CONSTR">#REF!</definedName>
    <definedName name="CORPORATE">[7]Input_B_V!$A$5</definedName>
    <definedName name="Cos_input_table">[30]sortpart!$K$4:$CV$148</definedName>
    <definedName name="Cost_table">[30]CostDetails!$K$4:$CV$139</definedName>
    <definedName name="cotton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otton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otton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RIT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dfs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dfs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rent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Current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Current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CURVE" localSheetId="1" hidden="1">{#N/A,#N/A,FALSE,"COVER1.XLS ";#N/A,#N/A,FALSE,"RACT1.XLS";#N/A,#N/A,FALSE,"RACT2.XLS";#N/A,#N/A,FALSE,"ECCMP";#N/A,#N/A,FALSE,"WELDER.XLS"}</definedName>
    <definedName name="CURVE" localSheetId="0" hidden="1">{#N/A,#N/A,FALSE,"COVER1.XLS ";#N/A,#N/A,FALSE,"RACT1.XLS";#N/A,#N/A,FALSE,"RACT2.XLS";#N/A,#N/A,FALSE,"ECCMP";#N/A,#N/A,FALSE,"WELDER.XLS"}</definedName>
    <definedName name="CURVE" hidden="1">{#N/A,#N/A,FALSE,"COVER1.XLS ";#N/A,#N/A,FALSE,"RACT1.XLS";#N/A,#N/A,FALSE,"RACT2.XLS";#N/A,#N/A,FALSE,"ECCMP";#N/A,#N/A,FALSE,"WELDER.XLS"}</definedName>
    <definedName name="CX" localSheetId="2">#REF!</definedName>
    <definedName name="CX">#REF!</definedName>
    <definedName name="DAD" localSheetId="2" hidden="1">#REF!</definedName>
    <definedName name="DAD" hidden="1">#REF!</definedName>
    <definedName name="da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TA11" localSheetId="2">#REF!</definedName>
    <definedName name="DATA11">#REF!</definedName>
    <definedName name="DATA12" localSheetId="2">#REF!</definedName>
    <definedName name="DATA12">#REF!</definedName>
    <definedName name="DATA13" localSheetId="2">#REF!</definedName>
    <definedName name="DATA13">#REF!</definedName>
    <definedName name="DATA14" localSheetId="2">#REF!</definedName>
    <definedName name="DATA14">#REF!</definedName>
    <definedName name="DATA15" localSheetId="2">#REF!</definedName>
    <definedName name="DATA15">#REF!</definedName>
    <definedName name="DATA16" localSheetId="2">#REF!</definedName>
    <definedName name="DATA16">#REF!</definedName>
    <definedName name="DATA17" localSheetId="2">'[31]Sheet1 (2)'!#REF!</definedName>
    <definedName name="DATA17">'[31]Sheet1 (2)'!#REF!</definedName>
    <definedName name="DATA18" localSheetId="2">'[31]Sheet1 (2)'!#REF!</definedName>
    <definedName name="DATA18">'[31]Sheet1 (2)'!#REF!</definedName>
    <definedName name="DATA19" localSheetId="2">[32]Original!#REF!</definedName>
    <definedName name="DATA19">[32]Original!#REF!</definedName>
    <definedName name="DATA2" localSheetId="2">#REF!</definedName>
    <definedName name="DATA2">#REF!</definedName>
    <definedName name="DATA20" localSheetId="2">[32]Original!#REF!</definedName>
    <definedName name="DATA20">[32]Original!#REF!</definedName>
    <definedName name="DATA21" localSheetId="2">#REF!</definedName>
    <definedName name="DATA21">#REF!</definedName>
    <definedName name="DATA22" localSheetId="2">[32]Original!#REF!</definedName>
    <definedName name="DATA22">[32]Original!#REF!</definedName>
    <definedName name="DATA23" localSheetId="2">'[31]Sheet1 (2)'!#REF!</definedName>
    <definedName name="DATA23">'[31]Sheet1 (2)'!#REF!</definedName>
    <definedName name="DATA24" localSheetId="2">'[31]Sheet1 (2)'!#REF!</definedName>
    <definedName name="DATA24">'[31]Sheet1 (2)'!#REF!</definedName>
    <definedName name="DATA25" localSheetId="2">[32]Original!#REF!</definedName>
    <definedName name="DATA25">[32]Original!#REF!</definedName>
    <definedName name="DATA26" localSheetId="2">[32]Original!#REF!</definedName>
    <definedName name="DATA26">[32]Original!#REF!</definedName>
    <definedName name="DATA27" localSheetId="2">#REF!</definedName>
    <definedName name="DATA27">#REF!</definedName>
    <definedName name="DATA28" localSheetId="2">#REF!</definedName>
    <definedName name="DATA28">#REF!</definedName>
    <definedName name="DATA3" localSheetId="2">#REF!</definedName>
    <definedName name="DATA3">#REF!</definedName>
    <definedName name="DATA4" localSheetId="2">#REF!</definedName>
    <definedName name="DATA4">#REF!</definedName>
    <definedName name="DATA5" localSheetId="2">#REF!</definedName>
    <definedName name="DATA5">#REF!</definedName>
    <definedName name="DATA6" localSheetId="2">#REF!</definedName>
    <definedName name="DATA6">#REF!</definedName>
    <definedName name="DATA7" localSheetId="2">#REF!</definedName>
    <definedName name="DATA7">#REF!</definedName>
    <definedName name="DATA8" localSheetId="2">#REF!</definedName>
    <definedName name="DATA8">#REF!</definedName>
    <definedName name="DATA9" localSheetId="2">'[31]Sheet1 (2)'!#REF!</definedName>
    <definedName name="DATA9">'[31]Sheet1 (2)'!#REF!</definedName>
    <definedName name="dc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d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ddd" localSheetId="1" hidden="1">{#N/A,#N/A,FALSE,"COVER1.XLS ";#N/A,#N/A,FALSE,"RACT1.XLS";#N/A,#N/A,FALSE,"RACT2.XLS";#N/A,#N/A,FALSE,"ECCMP";#N/A,#N/A,FALSE,"WELDER.XLS"}</definedName>
    <definedName name="ddddd" localSheetId="0" hidden="1">{#N/A,#N/A,FALSE,"COVER1.XLS ";#N/A,#N/A,FALSE,"RACT1.XLS";#N/A,#N/A,FALSE,"RACT2.XLS";#N/A,#N/A,FALSE,"ECCMP";#N/A,#N/A,FALSE,"WELDER.XLS"}</definedName>
    <definedName name="ddddd" hidden="1">{#N/A,#N/A,FALSE,"COVER1.XLS ";#N/A,#N/A,FALSE,"RACT1.XLS";#N/A,#N/A,FALSE,"RACT2.XLS";#N/A,#N/A,FALSE,"ECCMP";#N/A,#N/A,FALSE,"WELDER.XLS"}</definedName>
    <definedName name="ddddddd" localSheetId="1" hidden="1">{#N/A,#N/A,FALSE,"COVER1.XLS ";#N/A,#N/A,FALSE,"RACT1.XLS";#N/A,#N/A,FALSE,"RACT2.XLS";#N/A,#N/A,FALSE,"ECCMP";#N/A,#N/A,FALSE,"WELDER.XLS"}</definedName>
    <definedName name="ddddddd" localSheetId="0" hidden="1">{#N/A,#N/A,FALSE,"COVER1.XLS ";#N/A,#N/A,FALSE,"RACT1.XLS";#N/A,#N/A,FALSE,"RACT2.XLS";#N/A,#N/A,FALSE,"ECCMP";#N/A,#N/A,FALSE,"WELDER.XLS"}</definedName>
    <definedName name="ddddddd" hidden="1">{#N/A,#N/A,FALSE,"COVER1.XLS ";#N/A,#N/A,FALSE,"RACT1.XLS";#N/A,#N/A,FALSE,"RACT2.XLS";#N/A,#N/A,FALSE,"ECCMP";#N/A,#N/A,FALSE,"WELDER.XLS"}</definedName>
    <definedName name="dddddddd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ebt_repay" localSheetId="2">'[29]debt schedule'!#REF!</definedName>
    <definedName name="debt_repay">'[29]debt schedule'!#REF!</definedName>
    <definedName name="debtrepay" localSheetId="2">#REF!</definedName>
    <definedName name="debtrepay">#REF!</definedName>
    <definedName name="debtsch" localSheetId="2">#REF!</definedName>
    <definedName name="debtsch">#REF!</definedName>
    <definedName name="December" localSheetId="2">#REF!</definedName>
    <definedName name="December">#REF!</definedName>
    <definedName name="depr" localSheetId="2">[33]Financials!#REF!</definedName>
    <definedName name="depr">[33]Financials!#REF!</definedName>
    <definedName name="DFF" localSheetId="1" hidden="1">{#N/A,#N/A,FALSE,"COVER1.XLS ";#N/A,#N/A,FALSE,"RACT1.XLS";#N/A,#N/A,FALSE,"RACT2.XLS";#N/A,#N/A,FALSE,"ECCMP";#N/A,#N/A,FALSE,"WELDER.XLS"}</definedName>
    <definedName name="DFF" localSheetId="0" hidden="1">{#N/A,#N/A,FALSE,"COVER1.XLS ";#N/A,#N/A,FALSE,"RACT1.XLS";#N/A,#N/A,FALSE,"RACT2.XLS";#N/A,#N/A,FALSE,"ECCMP";#N/A,#N/A,FALSE,"WELDER.XLS"}</definedName>
    <definedName name="DFF" hidden="1">{#N/A,#N/A,FALSE,"COVER1.XLS ";#N/A,#N/A,FALSE,"RACT1.XLS";#N/A,#N/A,FALSE,"RACT2.XLS";#N/A,#N/A,FALSE,"ECCMP";#N/A,#N/A,FALSE,"WELDER.XLS"}</definedName>
    <definedName name="dffdf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ffdf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f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gfgfd" localSheetId="1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ip" localSheetId="2">[34]SEWING!#REF!</definedName>
    <definedName name="dip">[34]SEWING!#REF!</definedName>
    <definedName name="display_area_2" localSheetId="2" hidden="1">#REF!</definedName>
    <definedName name="display_area_2" hidden="1">#REF!</definedName>
    <definedName name="ds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ds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d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DSDSDSDS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SDSDSDS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SD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SFSDFSDF" localSheetId="1" hidden="1">{#N/A,#N/A,FALSE,"COVER.XLS";#N/A,#N/A,FALSE,"RACT1.XLS";#N/A,#N/A,FALSE,"RACT2.XLS";#N/A,#N/A,FALSE,"ECCMP";#N/A,#N/A,FALSE,"WELDER.XLS"}</definedName>
    <definedName name="DSFSDFSDF" localSheetId="0" hidden="1">{#N/A,#N/A,FALSE,"COVER.XLS";#N/A,#N/A,FALSE,"RACT1.XLS";#N/A,#N/A,FALSE,"RACT2.XLS";#N/A,#N/A,FALSE,"ECCMP";#N/A,#N/A,FALSE,"WELDER.XLS"}</definedName>
    <definedName name="DSFSDFSDF" hidden="1">{#N/A,#N/A,FALSE,"COVER.XLS";#N/A,#N/A,FALSE,"RACT1.XLS";#N/A,#N/A,FALSE,"RACT2.XLS";#N/A,#N/A,FALSE,"ECCMP";#N/A,#N/A,FALSE,"WELDER.XLS"}</definedName>
    <definedName name="Dyes_Chem_Cost">'[30]D&amp;C_Pkg'!$L$4:$U$106</definedName>
    <definedName name="E142420100108" localSheetId="2">#REF!</definedName>
    <definedName name="E142420100108">#REF!</definedName>
    <definedName name="E201060140042" localSheetId="2">#REF!</definedName>
    <definedName name="E201060140042">#REF!</definedName>
    <definedName name="EDIT__END__LEFT__DEL___DOWN" localSheetId="2">#REF!</definedName>
    <definedName name="EDIT__END__LEFT__DEL___DOWN">#REF!</definedName>
    <definedName name="ee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UPECCLAIMS" localSheetId="2" hidden="1">#REF!</definedName>
    <definedName name="EUPECCLAIMS" hidden="1">#REF!</definedName>
    <definedName name="EUPEWEL" localSheetId="2" hidden="1">#REF!</definedName>
    <definedName name="EUPEWEL" hidden="1">#REF!</definedName>
    <definedName name="ExportKohlsBig_One_SolidUSABath" localSheetId="2">'[35]Sales inputs '!#REF!</definedName>
    <definedName name="ExportKohlsBig_One_SolidUSABath">'[35]Sales inputs '!#REF!</definedName>
    <definedName name="eyoec" hidden="1">[36]WGSRL!$G$49:$G$53</definedName>
    <definedName name="f" localSheetId="2" hidden="1">#REF!</definedName>
    <definedName name="f" hidden="1">#REF!</definedName>
    <definedName name="FCode" localSheetId="2" hidden="1">#REF!</definedName>
    <definedName name="FCode" hidden="1">#REF!</definedName>
    <definedName name="FD" localSheetId="2" hidden="1">#REF!</definedName>
    <definedName name="FD" hidden="1">#REF!</definedName>
    <definedName name="fdfdf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dfdf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dfdf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DP_12_1_aDrv" hidden="1">#N/A</definedName>
    <definedName name="FDP_13_1_aDrv" hidden="1">#N/A</definedName>
    <definedName name="FDP_14_1_aDrv" hidden="1">#N/A</definedName>
    <definedName name="FDP_15_1_aUrv" hidden="1">#N/A</definedName>
    <definedName name="FDP_17_1_aSrv" hidden="1">#N/A</definedName>
    <definedName name="FDP_19_1_aDrv" hidden="1">#N/A</definedName>
    <definedName name="FDP_2_1_aSrv" hidden="1">#N/A</definedName>
    <definedName name="FDP_20_1_aDrv" hidden="1">#N/A</definedName>
    <definedName name="FDP_21_1_aDrv" hidden="1">#N/A</definedName>
    <definedName name="FDP_22_1_aDrv" hidden="1">#N/A</definedName>
    <definedName name="FDP_23_1_aDrv" hidden="1">#N/A</definedName>
    <definedName name="FDP_24_1_aDrv" hidden="1">#N/A</definedName>
    <definedName name="FDP_25_1_aUrv" hidden="1">#N/A</definedName>
    <definedName name="FDP_26_1_aSrv" hidden="1">#N/A</definedName>
    <definedName name="FDP_27_1_aUrv" hidden="1">#N/A</definedName>
    <definedName name="FDP_28_1_aUrv" hidden="1">#N/A</definedName>
    <definedName name="FDP_29_1_aUrv" hidden="1">#N/A</definedName>
    <definedName name="FDP_30_1_aUrv" hidden="1">#N/A</definedName>
    <definedName name="FDP_31_1_aUrv" hidden="1">#N/A</definedName>
    <definedName name="FDP_32_1_aUrv" hidden="1">#N/A</definedName>
    <definedName name="FDP_33_1_aUrv" hidden="1">#N/A</definedName>
    <definedName name="FDP_34_1_aUrv" hidden="1">#N/A</definedName>
    <definedName name="FDP_35_1_aUrv" hidden="1">#N/A</definedName>
    <definedName name="FDP_36_1_aUrv" hidden="1">#N/A</definedName>
    <definedName name="FDP_37_1_aUrv" hidden="1">#N/A</definedName>
    <definedName name="FDP_38_1_aUrv" hidden="1">#N/A</definedName>
    <definedName name="FDP_39_1_aUrv" hidden="1">#N/A</definedName>
    <definedName name="FDP_4_1_aSrv" hidden="1">#N/A</definedName>
    <definedName name="FDP_40_1_aUrv" hidden="1">#N/A</definedName>
    <definedName name="FDP_50_1_aDrv" hidden="1">#N/A</definedName>
    <definedName name="FDP_51_1_aDrv" hidden="1">#N/A</definedName>
    <definedName name="FDP_52_1_aDrv" hidden="1">#N/A</definedName>
    <definedName name="FDP_53_1_aUrv" hidden="1">#N/A</definedName>
    <definedName name="FDP_54_1_aUrv" hidden="1">#N/A</definedName>
    <definedName name="FDP_57_1_aSrv" hidden="1">#N/A</definedName>
    <definedName name="FDP_59_1_aUrv" hidden="1">#N/A</definedName>
    <definedName name="FDP_60_1_aUrv" hidden="1">#N/A</definedName>
    <definedName name="FDP_61_1_aSrv" hidden="1">#N/A</definedName>
    <definedName name="FDP_62_1_aDrv" hidden="1">#N/A</definedName>
    <definedName name="FDP_63_1_aUrv" hidden="1">#N/A</definedName>
    <definedName name="FDP_64_1_aUrv" hidden="1">#N/A</definedName>
    <definedName name="FDP_65_1_aUrv" hidden="1">#N/A</definedName>
    <definedName name="FDP_66_1_aUrv" hidden="1">#N/A</definedName>
    <definedName name="FDP_67_1_aDrv" hidden="1">#N/A</definedName>
    <definedName name="FDP_68_1_aUrv" hidden="1">#N/A</definedName>
    <definedName name="FDP_69_1_aUrv" hidden="1">#N/A</definedName>
    <definedName name="FDP_70_1_aUrv" hidden="1">#N/A</definedName>
    <definedName name="FDP_71_1_aDrv" hidden="1">#N/A</definedName>
    <definedName name="FDP_72_1_aDrv" hidden="1">#N/A</definedName>
    <definedName name="FDP_73_1_aDrv" hidden="1">#N/A</definedName>
    <definedName name="FDP_74_1_aDrv" hidden="1">#N/A</definedName>
    <definedName name="FDP_75_1_aUrv" hidden="1">#N/A</definedName>
    <definedName name="FDP_76_1_aUrv" hidden="1">#N/A</definedName>
    <definedName name="FDP_77_1_aDrv" hidden="1">#N/A</definedName>
    <definedName name="FDP_78_1_aUrv" hidden="1">#N/A</definedName>
    <definedName name="FDP_79_1_aUrv" hidden="1">#N/A</definedName>
    <definedName name="FDP_80_1_aDrv" hidden="1">#N/A</definedName>
    <definedName name="FDP_81_1_aSrv" hidden="1">#N/A</definedName>
    <definedName name="FDP_82_1_aUrv" hidden="1">#N/A</definedName>
    <definedName name="FDP_83_1_aDrv" hidden="1">#N/A</definedName>
    <definedName name="FDP_84_1_aDrv" hidden="1">#N/A</definedName>
    <definedName name="FDP_85_1_aDrv" hidden="1">#N/A</definedName>
    <definedName name="FDP_86_1_aDrv" hidden="1">#N/A</definedName>
    <definedName name="FDP_87_1_aDrv" hidden="1">#N/A</definedName>
    <definedName name="FDP_88_1_aDrv" hidden="1">#N/A</definedName>
    <definedName name="FDP_89_1_aDrv" hidden="1">#N/A</definedName>
    <definedName name="FDP_90_1_aDrv" hidden="1">#N/A</definedName>
    <definedName name="FDP_91_1_aDrv" hidden="1">#N/A</definedName>
    <definedName name="FDP_92_1_aDrv" hidden="1">#N/A</definedName>
    <definedName name="FDP_93_1_aSrv" hidden="1">#N/A</definedName>
    <definedName name="FDP_94_1_aSrv" hidden="1">#N/A</definedName>
    <definedName name="FDP_95_1_aSrv" hidden="1">#N/A</definedName>
    <definedName name="FDP_96_1_aSrv" hidden="1">#N/A</definedName>
    <definedName name="FDP_97_1_aUrv" hidden="1">#N/A</definedName>
    <definedName name="FDP_98_1_aSrv" hidden="1">#N/A</definedName>
    <definedName name="FDP_99_1_aSrv" hidden="1">#N/A</definedName>
    <definedName name="fef" localSheetId="1" hidden="1">{#N/A,#N/A,FALSE,"COVER.XLS";#N/A,#N/A,FALSE,"RACT1.XLS";#N/A,#N/A,FALSE,"RACT2.XLS";#N/A,#N/A,FALSE,"ECCMP";#N/A,#N/A,FALSE,"WELDER.XLS"}</definedName>
    <definedName name="fef" localSheetId="0" hidden="1">{#N/A,#N/A,FALSE,"COVER.XLS";#N/A,#N/A,FALSE,"RACT1.XLS";#N/A,#N/A,FALSE,"RACT2.XLS";#N/A,#N/A,FALSE,"ECCMP";#N/A,#N/A,FALSE,"WELDER.XLS"}</definedName>
    <definedName name="fef" hidden="1">{#N/A,#N/A,FALSE,"COVER.XLS";#N/A,#N/A,FALSE,"RACT1.XLS";#N/A,#N/A,FALSE,"RACT2.XLS";#N/A,#N/A,FALSE,"ECCMP";#N/A,#N/A,FALSE,"WELDER.XLS"}</definedName>
    <definedName name="ff" localSheetId="2">#REF!</definedName>
    <definedName name="ff">#REF!</definedName>
    <definedName name="FFDFDF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FDFDF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FD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fff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f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ff" localSheetId="1" hidden="1">{#N/A,#N/A,FALSE,"COVER.XLS";#N/A,#N/A,FALSE,"RACT1.XLS";#N/A,#N/A,FALSE,"RACT2.XLS";#N/A,#N/A,FALSE,"ECCMP";#N/A,#N/A,FALSE,"WELDER.XLS"}</definedName>
    <definedName name="ffffffff" localSheetId="0" hidden="1">{#N/A,#N/A,FALSE,"COVER.XLS";#N/A,#N/A,FALSE,"RACT1.XLS";#N/A,#N/A,FALSE,"RACT2.XLS";#N/A,#N/A,FALSE,"ECCMP";#N/A,#N/A,FALSE,"WELDER.XLS"}</definedName>
    <definedName name="ffffffff" hidden="1">{#N/A,#N/A,FALSE,"COVER.XLS";#N/A,#N/A,FALSE,"RACT1.XLS";#N/A,#N/A,FALSE,"RACT2.XLS";#N/A,#N/A,FALSE,"ECCMP";#N/A,#N/A,FALSE,"WELDER.XLS"}</definedName>
    <definedName name="fffffffff" localSheetId="1" hidden="1">{#N/A,#N/A,FALSE,"COVER1.XLS ";#N/A,#N/A,FALSE,"RACT1.XLS";#N/A,#N/A,FALSE,"RACT2.XLS";#N/A,#N/A,FALSE,"ECCMP";#N/A,#N/A,FALSE,"WELDER.XLS"}</definedName>
    <definedName name="fffffffff" localSheetId="0" hidden="1">{#N/A,#N/A,FALSE,"COVER1.XLS 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ix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EDCOST" localSheetId="2" hidden="1">#REF!</definedName>
    <definedName name="FIXEDCOST" hidden="1">#REF!</definedName>
    <definedName name="FixedCost_Table">'[37]Fixed Cost'!$B$3:$H$17</definedName>
    <definedName name="FP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ULLCOMPANY">[7]Input_B_V!$A$63</definedName>
    <definedName name="G" localSheetId="2" hidden="1">#REF!</definedName>
    <definedName name="G" hidden="1">#REF!</definedName>
    <definedName name="gd" localSheetId="2" hidden="1">#REF!</definedName>
    <definedName name="gd" hidden="1">#REF!</definedName>
    <definedName name="GDF" localSheetId="1" hidden="1">{#N/A,#N/A,FALSE,"COMP"}</definedName>
    <definedName name="GDF" localSheetId="0" hidden="1">{#N/A,#N/A,FALSE,"COMP"}</definedName>
    <definedName name="GDF" hidden="1">{#N/A,#N/A,FALSE,"COMP"}</definedName>
    <definedName name="gee" localSheetId="1" hidden="1">{#N/A,#N/A,FALSE,"COVER1.XLS ";#N/A,#N/A,FALSE,"RACT1.XLS";#N/A,#N/A,FALSE,"RACT2.XLS";#N/A,#N/A,FALSE,"ECCMP";#N/A,#N/A,FALSE,"WELDER.XLS"}</definedName>
    <definedName name="gee" localSheetId="0" hidden="1">{#N/A,#N/A,FALSE,"COVER1.XLS ";#N/A,#N/A,FALSE,"RACT1.XLS";#N/A,#N/A,FALSE,"RACT2.XLS";#N/A,#N/A,FALSE,"ECCMP";#N/A,#N/A,FALSE,"WELDER.XLS"}</definedName>
    <definedName name="gee" hidden="1">{#N/A,#N/A,FALSE,"COVER1.XLS ";#N/A,#N/A,FALSE,"RACT1.XLS";#N/A,#N/A,FALSE,"RACT2.XLS";#N/A,#N/A,FALSE,"ECCMP";#N/A,#N/A,FALSE,"WELDER.XLS"}</definedName>
    <definedName name="gfftg66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gfftg66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gfftg66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gg" localSheetId="1" hidden="1">{#N/A,#N/A,FALSE,"COVER1.XLS ";#N/A,#N/A,FALSE,"RACT1.XLS";#N/A,#N/A,FALSE,"RACT2.XLS";#N/A,#N/A,FALSE,"ECCMP";#N/A,#N/A,FALSE,"WELDER.XLS"}</definedName>
    <definedName name="gg" localSheetId="0" hidden="1">{#N/A,#N/A,FALSE,"COVER1.XLS ";#N/A,#N/A,FALSE,"RACT1.XLS";#N/A,#N/A,FALSE,"RACT2.XLS";#N/A,#N/A,FALSE,"ECCMP";#N/A,#N/A,FALSE,"WELDER.XLS"}</definedName>
    <definedName name="gg" hidden="1">{#N/A,#N/A,FALSE,"COVER1.XLS ";#N/A,#N/A,FALSE,"RACT1.XLS";#N/A,#N/A,FALSE,"RACT2.XLS";#N/A,#N/A,FALSE,"ECCMP";#N/A,#N/A,FALSE,"WELDER.XLS"}</definedName>
    <definedName name="GGG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g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hj" localSheetId="1" hidden="1">{#N/A,#N/A,FALSE,"COVER.XLS";#N/A,#N/A,FALSE,"RACT1.XLS";#N/A,#N/A,FALSE,"RACT2.XLS";#N/A,#N/A,FALSE,"ECCMP";#N/A,#N/A,FALSE,"WELDER.XLS"}</definedName>
    <definedName name="ghj" localSheetId="0" hidden="1">{#N/A,#N/A,FALSE,"COVER.XLS";#N/A,#N/A,FALSE,"RACT1.XLS";#N/A,#N/A,FALSE,"RACT2.XLS";#N/A,#N/A,FALSE,"ECCMP";#N/A,#N/A,FALSE,"WELDER.XLS"}</definedName>
    <definedName name="ghj" hidden="1">{#N/A,#N/A,FALSE,"COVER.XLS";#N/A,#N/A,FALSE,"RACT1.XLS";#N/A,#N/A,FALSE,"RACT2.XLS";#N/A,#N/A,FALSE,"ECCMP";#N/A,#N/A,FALSE,"WELDER.XLS"}</definedName>
    <definedName name="gk" localSheetId="2" hidden="1">#REF!</definedName>
    <definedName name="gk" hidden="1">#REF!</definedName>
    <definedName name="gopi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r" localSheetId="1" hidden="1">{#N/A,#N/A,FALSE,"COVER.XLS";#N/A,#N/A,FALSE,"RACT1.XLS";#N/A,#N/A,FALSE,"RACT2.XLS";#N/A,#N/A,FALSE,"ECCMP";#N/A,#N/A,FALSE,"WELDER.XLS"}</definedName>
    <definedName name="gr" localSheetId="0" hidden="1">{#N/A,#N/A,FALSE,"COVER.XLS";#N/A,#N/A,FALSE,"RACT1.XLS";#N/A,#N/A,FALSE,"RACT2.XLS";#N/A,#N/A,FALSE,"ECCMP";#N/A,#N/A,FALSE,"WELDER.XLS"}</definedName>
    <definedName name="gr" hidden="1">{#N/A,#N/A,FALSE,"COVER.XLS";#N/A,#N/A,FALSE,"RACT1.XLS";#N/A,#N/A,FALSE,"RACT2.XLS";#N/A,#N/A,FALSE,"ECCMP";#N/A,#N/A,FALSE,"WELDER.XLS"}</definedName>
    <definedName name="gr_25598_vp" localSheetId="1" hidden="1">{#N/A,#N/A,FALSE,"profile ";#N/A,#N/A,FALSE,"rank";#N/A,#N/A,FALSE,"overbase";#N/A,#N/A,FALSE,"overcash";#N/A,#N/A,FALSE,"overtfp";#N/A,#N/A,FALSE,"overtcc"}</definedName>
    <definedName name="gr_25598_vp" localSheetId="0" hidden="1">{#N/A,#N/A,FALSE,"profile ";#N/A,#N/A,FALSE,"rank";#N/A,#N/A,FALSE,"overbase";#N/A,#N/A,FALSE,"overcash";#N/A,#N/A,FALSE,"overtfp";#N/A,#N/A,FALSE,"overtcc"}</definedName>
    <definedName name="gr_25598_vp" hidden="1">{#N/A,#N/A,FALSE,"profile ";#N/A,#N/A,FALSE,"rank";#N/A,#N/A,FALSE,"overbase";#N/A,#N/A,FALSE,"overcash";#N/A,#N/A,FALSE,"overtfp";#N/A,#N/A,FALSE,"overtcc"}</definedName>
    <definedName name="gr_25598_vp_1" localSheetId="1" hidden="1">{#N/A,#N/A,FALSE,"profile ";#N/A,#N/A,FALSE,"rank";#N/A,#N/A,FALSE,"overbase";#N/A,#N/A,FALSE,"overcash";#N/A,#N/A,FALSE,"overtfp";#N/A,#N/A,FALSE,"overtcc"}</definedName>
    <definedName name="gr_25598_vp_1" localSheetId="0" hidden="1">{#N/A,#N/A,FALSE,"profile ";#N/A,#N/A,FALSE,"rank";#N/A,#N/A,FALSE,"overbase";#N/A,#N/A,FALSE,"overcash";#N/A,#N/A,FALSE,"overtfp";#N/A,#N/A,FALSE,"overtcc"}</definedName>
    <definedName name="gr_25598_vp_1" hidden="1">{#N/A,#N/A,FALSE,"profile ";#N/A,#N/A,FALSE,"rank";#N/A,#N/A,FALSE,"overbase";#N/A,#N/A,FALSE,"overcash";#N/A,#N/A,FALSE,"overtfp";#N/A,#N/A,FALSE,"overtcc"}</definedName>
    <definedName name="graph" hidden="1">'[38]S &amp; A'!$A$4:$A$8</definedName>
    <definedName name="GreyProdn_Q1">'[35]Grey Prodn'!$AB$4:$AC$120</definedName>
    <definedName name="GreyProdn_Q2">'[35]Grey Prodn'!$AB$121:$AC$236</definedName>
    <definedName name="GreyProdn_Q3">'[35]Grey Prodn'!$AB$237:$AC$353</definedName>
    <definedName name="GreyProdn_Q4">'[35]Grey Prodn'!$AB$354:$AC$470</definedName>
    <definedName name="gt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d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gtd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gtd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GWTable">'[27]GW-Bud'!$A$11:$Y$133</definedName>
    <definedName name="h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hap" localSheetId="1" hidden="1">{#N/A,#N/A,FALSE,"COVER1.XLS ";#N/A,#N/A,FALSE,"RACT1.XLS";#N/A,#N/A,FALSE,"RACT2.XLS";#N/A,#N/A,FALSE,"ECCMP";#N/A,#N/A,FALSE,"WELDER.XLS"}</definedName>
    <definedName name="hap" localSheetId="0" hidden="1">{#N/A,#N/A,FALSE,"COVER1.XLS ";#N/A,#N/A,FALSE,"RACT1.XLS";#N/A,#N/A,FALSE,"RACT2.XLS";#N/A,#N/A,FALSE,"ECCMP";#N/A,#N/A,FALSE,"WELDER.XLS"}</definedName>
    <definedName name="hap" hidden="1">{#N/A,#N/A,FALSE,"COVER1.XLS ";#N/A,#N/A,FALSE,"RACT1.XLS";#N/A,#N/A,FALSE,"RACT2.XLS";#N/A,#N/A,FALSE,"ECCMP";#N/A,#N/A,FALSE,"WELDER.XLS"}</definedName>
    <definedName name="HeadOfficeTable">'[27]Head Office-Bud'!$A$11:$Y$133</definedName>
    <definedName name="hgj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hgj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hgj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HiddenRows" localSheetId="2" hidden="1">#REF!</definedName>
    <definedName name="HiddenRows" hidden="1">#REF!</definedName>
    <definedName name="hthh" localSheetId="2">'[39]P&amp;LSC'!#REF!</definedName>
    <definedName name="hthh">'[39]P&amp;LSC'!#REF!</definedName>
    <definedName name="HTML_CodePage" hidden="1">1252</definedName>
    <definedName name="HTML_Control" localSheetId="1" hidden="1">{"'VALUATION'!$A$3:$R$266"}</definedName>
    <definedName name="HTML_Control" localSheetId="0" hidden="1">{"'VALUATION'!$A$3:$R$266"}</definedName>
    <definedName name="HTML_Control" hidden="1">{"'VALUATION'!$A$3:$R$266"}</definedName>
    <definedName name="HTML_Control_1" localSheetId="1" hidden="1">{"'VALUATION'!$A$3:$R$266"}</definedName>
    <definedName name="HTML_Control_1" localSheetId="0" hidden="1">{"'VALUATION'!$A$3:$R$266"}</definedName>
    <definedName name="HTML_Control_1" hidden="1">{"'VALUATION'!$A$3:$R$266"}</definedName>
    <definedName name="HTML_Description" hidden="1">"From 01-07-2000 To 31-07-2000"</definedName>
    <definedName name="HTML_Email" hidden="1">""</definedName>
    <definedName name="HTML_Header" hidden="1">"Terry Towels W I P Statement"</definedName>
    <definedName name="HTML_LastUpdate" hidden="1">"08/08/2000"</definedName>
    <definedName name="HTML_LineAfter" hidden="1">FALSE</definedName>
    <definedName name="HTML_LineBefore" hidden="1">FALSE</definedName>
    <definedName name="HTML_Name" hidden="1">"Naresh Pandya"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"C:\user\cost\HTM Files\wttwip07.htm"</definedName>
    <definedName name="HTML_PathTemplate" hidden="1">"C:\infac\pricewth\Aug99\Page06e.htm"</definedName>
    <definedName name="HTML_Title" hidden="1">"Welspun Terry Towels"</definedName>
    <definedName name="I" localSheetId="2">'[7]Ann-1'!#REF!</definedName>
    <definedName name="I">'[7]Ann-1'!#REF!</definedName>
    <definedName name="intsch" localSheetId="2">#REF!</definedName>
    <definedName name="intsch">#REF!</definedName>
    <definedName name="iop" localSheetId="2" hidden="1">'[24]key-ind'!#REF!</definedName>
    <definedName name="iop" hidden="1">'[24]key-ind'!#REF!</definedName>
    <definedName name="IQ_ACCOUNT_CHANGE" hidden="1">"c36"</definedName>
    <definedName name="IQ_ACCOUNTS_PAY" hidden="1">"c91"</definedName>
    <definedName name="IQ_ACCRUED_EXP" hidden="1">"c93"</definedName>
    <definedName name="IQ_ACCUM_DEP" hidden="1">"c282"</definedName>
    <definedName name="IQ_ADD_PAID_IN" hidden="1">"c109"</definedName>
    <definedName name="IQ_ALLOW_CONST" hidden="1">"c292"</definedName>
    <definedName name="IQ_AMORTIZATION" hidden="1">"c121"</definedName>
    <definedName name="IQ_ASSET_TURNS" hidden="1">"c148"</definedName>
    <definedName name="IQ_AVG_BROKER_REC" hidden="1">"c278"</definedName>
    <definedName name="IQ_AVG_BROKER_REC_NO" hidden="1">"c279"</definedName>
    <definedName name="IQ_AVG_PRICE" hidden="1">"c253"</definedName>
    <definedName name="IQ_AVG_VOLUME" hidden="1">"c254"</definedName>
    <definedName name="IQ_BASIC_EPS_EXCL" hidden="1">"c45"</definedName>
    <definedName name="IQ_BASIC_EPS_INCL" hidden="1">"c46"</definedName>
    <definedName name="IQ_BASIC_NORMAL_EPS" hidden="1">"c65"</definedName>
    <definedName name="IQ_BASIC_WEIGHT" hidden="1">"c44"</definedName>
    <definedName name="IQ_BETA" hidden="1">"c226"</definedName>
    <definedName name="IQ_BOARD_MEMBER" hidden="1">"c233"</definedName>
    <definedName name="IQ_BOARD_MEMBER_TITLE" hidden="1">"c234"</definedName>
    <definedName name="IQ_BV_OVER_SHARES" hidden="1">"c177"</definedName>
    <definedName name="IQ_CAL_Q" hidden="1">"c246"</definedName>
    <definedName name="IQ_CAL_Y" hidden="1">"c248"</definedName>
    <definedName name="IQ_CAPEX" hidden="1">"c126"</definedName>
    <definedName name="IQ_CAPITAL_LEASE" hidden="1">"c99"</definedName>
    <definedName name="IQ_CASH" hidden="1">"c69"</definedName>
    <definedName name="IQ_CASH_DUE_BANKS" hidden="1">"c71"</definedName>
    <definedName name="IQ_CASH_EQUIV" hidden="1">"c70"</definedName>
    <definedName name="IQ_CASH_INTEREST" hidden="1">"c137"</definedName>
    <definedName name="IQ_CASH_ST" hidden="1">"c73"</definedName>
    <definedName name="IQ_CASH_TAXES" hidden="1">"c138"</definedName>
    <definedName name="IQ_CH" hidden="1">110000</definedName>
    <definedName name="IQ_CHANGES_WORK_CAP" hidden="1">"c124"</definedName>
    <definedName name="IQ_CITY" hidden="1">"c216"</definedName>
    <definedName name="IQ_CLOSEPRICE" hidden="1">"c206"</definedName>
    <definedName name="IQ_COMMON_STOCK" hidden="1">"c108"</definedName>
    <definedName name="IQ_COMPANY_ADDRESS" hidden="1">"c213"</definedName>
    <definedName name="IQ_COMPANY_NAME" hidden="1">"c208"</definedName>
    <definedName name="IQ_COMPANY_PHONE" hidden="1">"c219"</definedName>
    <definedName name="IQ_COMPANY_STREET1" hidden="1">"c214"</definedName>
    <definedName name="IQ_COMPANY_STREET2" hidden="1">"c215"</definedName>
    <definedName name="IQ_COMPANY_TICKER" hidden="1">"c209"</definedName>
    <definedName name="IQ_COMPANY_WEBSITE" hidden="1">"c212"</definedName>
    <definedName name="IQ_COMPANY_ZIP" hidden="1">"c218"</definedName>
    <definedName name="IQ_COST_REVENUE" hidden="1">"c6"</definedName>
    <definedName name="IQ_COUNTRY_NAME" hidden="1">"c220"</definedName>
    <definedName name="IQ_CQ" hidden="1">5000</definedName>
    <definedName name="IQ_CURRENT_PORT" hidden="1">"c95"</definedName>
    <definedName name="IQ_CURRENT_RATIO" hidden="1">"c164"</definedName>
    <definedName name="IQ_CY" hidden="1">10000</definedName>
    <definedName name="IQ_DAILY" hidden="1">500000</definedName>
    <definedName name="IQ_DAYS_PAY_OUTST" hidden="1">"c154"</definedName>
    <definedName name="IQ_DAYS_SALES_OUTST" hidden="1">"c153"</definedName>
    <definedName name="IQ_DEF_ACQ_CST" hidden="1">"c290"</definedName>
    <definedName name="IQ_DEFERRED_INC_TAX" hidden="1">"c102"</definedName>
    <definedName name="IQ_DEFERRED_TAXES" hidden="1">"c122"</definedName>
    <definedName name="IQ_DEPRE_AMORT" hidden="1">"c10"</definedName>
    <definedName name="IQ_DEPRE_AMORT_SUPPL" hidden="1">"c54"</definedName>
    <definedName name="IQ_DEPRE_DEPLE" hidden="1">"c120"</definedName>
    <definedName name="IQ_DEPRE_SUPP" hidden="1">"c136"</definedName>
    <definedName name="IQ_DESCRIPTION_LONG" hidden="1">"c211"</definedName>
    <definedName name="IQ_DILUT_ADJUST" hidden="1">"c47"</definedName>
    <definedName name="IQ_DILUT_EPS_EXCL" hidden="1">"c49"</definedName>
    <definedName name="IQ_DILUT_EPS_INCL" hidden="1">"c50"</definedName>
    <definedName name="IQ_DILUT_NORMAL_EPS" hidden="1">"c66"</definedName>
    <definedName name="IQ_DILUT_WEIGHT" hidden="1">"c48"</definedName>
    <definedName name="IQ_DISCONT_OPER" hidden="1">"c37"</definedName>
    <definedName name="IQ_DIVID_SHARE" hidden="1">"c51"</definedName>
    <definedName name="IQ_DIVIDEND_YIELD" hidden="1">"c230"</definedName>
    <definedName name="IQ_DNTM" hidden="1">700000</definedName>
    <definedName name="IQ_EBIT" hidden="1">"c22"</definedName>
    <definedName name="IQ_EBIT_MARGIN" hidden="1">"c141"</definedName>
    <definedName name="IQ_EBIT_OVER_IE" hidden="1">"c184"</definedName>
    <definedName name="IQ_EBITDA" hidden="1">"c23"</definedName>
    <definedName name="IQ_EBITDA_CAPEX_OVER_TOTAL_IE" hidden="1">"c186"</definedName>
    <definedName name="IQ_EBITDA_MARGIN" hidden="1">"c140"</definedName>
    <definedName name="IQ_EBITDA_OVER_TOTAL_IE" hidden="1">"c185"</definedName>
    <definedName name="IQ_EFFECT_SPECIAL_CHARGE" hidden="1">"c61"</definedName>
    <definedName name="IQ_EMPLOYEES" hidden="1">"c221"</definedName>
    <definedName name="IQ_ENTERPRISE_VALUE" hidden="1">"c2"</definedName>
    <definedName name="IQ_EPS" hidden="1">"IQ_EPS"</definedName>
    <definedName name="IQ_EPS_EST" hidden="1">"c187"</definedName>
    <definedName name="IQ_EPS_HIGH_EST" hidden="1">"c269"</definedName>
    <definedName name="IQ_EPS_LOW_EST" hidden="1">"c270"</definedName>
    <definedName name="IQ_EPS_NUM_EST" hidden="1">"c271"</definedName>
    <definedName name="IQ_EPS_STDDEV_EST" hidden="1">"c272"</definedName>
    <definedName name="IQ_EQUITY_AFFIL" hidden="1">"c33"</definedName>
    <definedName name="IQ_EQV_OVER_BV" hidden="1">"c173"</definedName>
    <definedName name="IQ_EQV_OVER_LTM_PRETAX_INC" hidden="1">"c178"</definedName>
    <definedName name="IQ_ESOP_DEBT" hidden="1">"c112"</definedName>
    <definedName name="IQ_EV_OVER_EMPLOYEE" hidden="1">"c172"</definedName>
    <definedName name="IQ_EV_OVER_LTM_EBIT" hidden="1">"c167"</definedName>
    <definedName name="IQ_EV_OVER_LTM_EBITDA" hidden="1">"c168"</definedName>
    <definedName name="IQ_EV_OVER_LTM_REVENUE" hidden="1">"c169"</definedName>
    <definedName name="IQ_EXCHANGE" hidden="1">"c210"</definedName>
    <definedName name="IQ_EXTRA_ITEMS" hidden="1">"c38"</definedName>
    <definedName name="IQ_FH" hidden="1">100000</definedName>
    <definedName name="IQ_FINANCING_CASH" hidden="1">"c129"</definedName>
    <definedName name="IQ_FISCAL_Q" hidden="1">"c245"</definedName>
    <definedName name="IQ_FISCAL_Y" hidden="1">"c247"</definedName>
    <definedName name="IQ_FIVE_PERCENT_OWNER" hidden="1">"c239"</definedName>
    <definedName name="IQ_FIVEPERCENT_PERCENT" hidden="1">"c240"</definedName>
    <definedName name="IQ_FIVEPERCENT_SHARES" hidden="1">"c251"</definedName>
    <definedName name="IQ_FOREIGN_EXCHANGE" hidden="1">"c134"</definedName>
    <definedName name="IQ_FQ" hidden="1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 hidden="1">1000</definedName>
    <definedName name="IQ_FY_DATE" hidden="1">"IQ_FY_DATE"</definedName>
    <definedName name="IQ_GAIN_SALE_ASSETS" hidden="1">"c27"</definedName>
    <definedName name="IQ_GOODWILL_NET" hidden="1">"c85"</definedName>
    <definedName name="IQ_GROSS_DIVID" hidden="1">"c52"</definedName>
    <definedName name="IQ_GROSS_MARGIN" hidden="1">"c139"</definedName>
    <definedName name="IQ_GROSS_PROFIT" hidden="1">"c7"</definedName>
    <definedName name="IQ_HIGHPRICE" hidden="1">"c193"</definedName>
    <definedName name="IQ_INC_AFTER_TAX" hidden="1">"c31"</definedName>
    <definedName name="IQ_INC_AVAIL_EXCL" hidden="1">"c42"</definedName>
    <definedName name="IQ_INC_AVAIL_INCL" hidden="1">"c43"</definedName>
    <definedName name="IQ_INC_BEFORE_TAX" hidden="1">"c29"</definedName>
    <definedName name="IQ_INC_TAX" hidden="1">"c30"</definedName>
    <definedName name="IQ_INC_TAX_EXCL" hidden="1">"c62"</definedName>
    <definedName name="IQ_INSIDER_OWNER" hidden="1">"c237"</definedName>
    <definedName name="IQ_INSIDER_PERCENT" hidden="1">"c238"</definedName>
    <definedName name="IQ_INSIDER_SHARES" hidden="1">"c250"</definedName>
    <definedName name="IQ_INSTITUTIONAL_OWNER" hidden="1">"c235"</definedName>
    <definedName name="IQ_INSTITUTIONAL_PERCENT" hidden="1">"c236"</definedName>
    <definedName name="IQ_INSTITUTIONAL_SHARES" hidden="1">"c249"</definedName>
    <definedName name="IQ_INSUR_RECEIV" hidden="1">"c288"</definedName>
    <definedName name="IQ_INTANGIBLES_NET" hidden="1">"c86"</definedName>
    <definedName name="IQ_INTEREST_EXP_NET" hidden="1">"c17"</definedName>
    <definedName name="IQ_INTEREST_EXP_NON" hidden="1">"c24"</definedName>
    <definedName name="IQ_INTEREST_EXP_SUPPL" hidden="1">"c53"</definedName>
    <definedName name="IQ_INTEREST_INC" hidden="1">"c26"</definedName>
    <definedName name="IQ_INTEREST_INC_NON" hidden="1">"c25"</definedName>
    <definedName name="IQ_INVENTORY_TURNS" hidden="1">"c147"</definedName>
    <definedName name="IQ_ISS_DEBT_NET" hidden="1">"c132"</definedName>
    <definedName name="IQ_ISS_STOCK_NET" hidden="1">"c131"</definedName>
    <definedName name="IQ_LASTSALEPRICE" hidden="1">"c191"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OAN_LOSS" hidden="1">"c12"</definedName>
    <definedName name="IQ_LONG_TERM_DEBT" hidden="1">"c98"</definedName>
    <definedName name="IQ_LONG_TERM_DEBT_OVER_TOTAL_CAP" hidden="1">"c181"</definedName>
    <definedName name="IQ_LONG_TERM_GROWTH" hidden="1">"c143"</definedName>
    <definedName name="IQ_LONG_TERM_INV" hidden="1">"c87"</definedName>
    <definedName name="IQ_LOWPRICE" hidden="1">"c194"</definedName>
    <definedName name="IQ_LT_NOTE_RECEIV" hidden="1">"c289"</definedName>
    <definedName name="IQ_LTM" hidden="1">2000</definedName>
    <definedName name="IQ_LTM_DATE" hidden="1">"IQ_LTM_DATE"</definedName>
    <definedName name="IQ_LTM_REVENUE_OVER_EMPLOYEES" hidden="1">"c179"</definedName>
    <definedName name="IQ_LTMMONTH" hidden="1">120000</definedName>
    <definedName name="IQ_MARKETCAP" hidden="1">"c200"</definedName>
    <definedName name="IQ_MINORITY_INTEREST" hidden="1">"c103"</definedName>
    <definedName name="IQ_MINORITY_INTEREST_IS" hidden="1">"c32"</definedName>
    <definedName name="IQ_MISC_EARN_ADJ" hidden="1">"c41"</definedName>
    <definedName name="IQ_MONTH" hidden="1">15000</definedName>
    <definedName name="IQ_MTD" hidden="1">800000</definedName>
    <definedName name="IQ_NAMES_REVISION_DATE_" hidden="1">41666.7099189815</definedName>
    <definedName name="IQ_NET_CHANGE" hidden="1">"c135"</definedName>
    <definedName name="IQ_NET_DEBT" hidden="1">"c118"</definedName>
    <definedName name="IQ_NET_INC" hidden="1">"c39"</definedName>
    <definedName name="IQ_NET_INC_BEFORE" hidden="1">"c35"</definedName>
    <definedName name="IQ_NET_INC_CF" hidden="1">"c119"</definedName>
    <definedName name="IQ_NET_INC_MARGIN" hidden="1">"c142"</definedName>
    <definedName name="IQ_NET_INTEREST_INC" hidden="1">"c11"</definedName>
    <definedName name="IQ_NET_INTEREST_INC_AFTER_LL" hidden="1">"c13"</definedName>
    <definedName name="IQ_NET_LOANS" hidden="1">"c75"</definedName>
    <definedName name="IQ_NON_CASH" hidden="1">"c123"</definedName>
    <definedName name="IQ_NON_INTEREST_EXP" hidden="1">"c15"</definedName>
    <definedName name="IQ_NON_INTEREST_INC" hidden="1">"c14"</definedName>
    <definedName name="IQ_NORMAL_INC_AFTER" hidden="1">"c63"</definedName>
    <definedName name="IQ_NORMAL_INC_AVAIL" hidden="1">"c64"</definedName>
    <definedName name="IQ_NORMAL_INC_BEFORE" hidden="1">"c60"</definedName>
    <definedName name="IQ_NOTES_PAY" hidden="1">"c94"</definedName>
    <definedName name="IQ_NTM" hidden="1">6000</definedName>
    <definedName name="IQ_OPENPRICE" hidden="1">"c195"</definedName>
    <definedName name="IQ_OPER_INC" hidden="1">"c21"</definedName>
    <definedName name="IQ_OTHER_ASSETS" hidden="1">"c89"</definedName>
    <definedName name="IQ_OTHER_BEARING_LIAB" hidden="1">"c285"</definedName>
    <definedName name="IQ_OTHER_CURRENT_ASSETS" hidden="1">"c80"</definedName>
    <definedName name="IQ_OTHER_CURRENT_LIAB" hidden="1">"c96"</definedName>
    <definedName name="IQ_OTHER_EARNING" hidden="1">"c74"</definedName>
    <definedName name="IQ_OTHER_EQUITY" hidden="1">"c113"</definedName>
    <definedName name="IQ_OTHER_INVESTING" hidden="1">"c127"</definedName>
    <definedName name="IQ_OTHER_LIAB" hidden="1">"c104"</definedName>
    <definedName name="IQ_OTHER_LONG_TERM" hidden="1">"c88"</definedName>
    <definedName name="IQ_OTHER_NET" hidden="1">"c28"</definedName>
    <definedName name="IQ_OTHER_OPER" hidden="1">"c19"</definedName>
    <definedName name="IQ_OTHER_RECEIV" hidden="1">"c77"</definedName>
    <definedName name="IQ_OTHER_REVENUE" hidden="1">"c4"</definedName>
    <definedName name="IQ_PAY_ACCRUED" hidden="1">"c92"</definedName>
    <definedName name="IQ_PERIODDATE" hidden="1">"c1"</definedName>
    <definedName name="IQ_PERTYPE" hidden="1">"c244"</definedName>
    <definedName name="IQ_POLICY_LIAB" hidden="1">"c291"</definedName>
    <definedName name="IQ_PREF_DIVID" hidden="1">"c40"</definedName>
    <definedName name="IQ_PREF_STOCK" hidden="1">"c107"</definedName>
    <definedName name="IQ_PREF_TOT" hidden="1">"c294"</definedName>
    <definedName name="IQ_PREPAID_EXPEN" hidden="1">"c81"</definedName>
    <definedName name="IQ_PRICE_OVER_BVPS" hidden="1">"c171"</definedName>
    <definedName name="IQ_PRICE_OVER_LTM_EPS" hidden="1">"c176"</definedName>
    <definedName name="IQ_PRICEDATE" hidden="1">"c207"</definedName>
    <definedName name="IQ_PRICEDATETIME" hidden="1">"IQ_PRICEDATETIME"</definedName>
    <definedName name="IQ_PRICING_DATE" hidden="1">"c260"</definedName>
    <definedName name="IQ_PRIMARY_INDUSTRY" hidden="1">"c222"</definedName>
    <definedName name="IQ_PRO_FORMA_BASIC_EPS" hidden="1">"c57"</definedName>
    <definedName name="IQ_PRO_FORMA_DILUT_EPS" hidden="1">"c58"</definedName>
    <definedName name="IQ_PRO_FORMA_NET_INC" hidden="1">"c56"</definedName>
    <definedName name="IQ_PROFESSIONAL" hidden="1">"c231"</definedName>
    <definedName name="IQ_PROFESSIONAL_TITLE" hidden="1">"c232"</definedName>
    <definedName name="IQ_PROPERTY_GROSS" hidden="1">"c84"</definedName>
    <definedName name="IQ_PROPERTY_NET" hidden="1">"c83"</definedName>
    <definedName name="IQ_QTD" hidden="1">750000</definedName>
    <definedName name="IQ_QUICK_RATIO" hidden="1">"c163"</definedName>
    <definedName name="IQ_REDEEM_PREF_STOCK" hidden="1">"c106"</definedName>
    <definedName name="IQ_RESEARCH_DEV" hidden="1">"c9"</definedName>
    <definedName name="IQ_RETAINED_EARN" hidden="1">"c110"</definedName>
    <definedName name="IQ_RETURN_ASSETS" hidden="1">"c145"</definedName>
    <definedName name="IQ_RETURN_EQUITY" hidden="1">"c146"</definedName>
    <definedName name="IQ_RETURN_INVESTMENT" hidden="1">"c144"</definedName>
    <definedName name="IQ_REVENUE" hidden="1">"c3"</definedName>
    <definedName name="IQ_SGA" hidden="1">"c8"</definedName>
    <definedName name="IQ_SHARESOUTSTANDING" hidden="1">"c201"</definedName>
    <definedName name="IQ_SHORT_TERM_INVEST" hidden="1">"c72"</definedName>
    <definedName name="IQ_SOURCE" hidden="1">"c281"</definedName>
    <definedName name="IQ_STATE" hidden="1">"c217"</definedName>
    <definedName name="IQ_STOCK_BASED" hidden="1">"c55"</definedName>
    <definedName name="IQ_TODAY" hidden="1">0</definedName>
    <definedName name="IQ_TOT_ADJ_INC" hidden="1">"c287"</definedName>
    <definedName name="IQ_TOTAL_ASSETS" hidden="1">"c90"</definedName>
    <definedName name="IQ_TOTAL_CASH_DIVID" hidden="1">"c130"</definedName>
    <definedName name="IQ_TOTAL_CASH_FINAN" hidden="1">"c133"</definedName>
    <definedName name="IQ_TOTAL_CASH_INVEST" hidden="1">"c128"</definedName>
    <definedName name="IQ_TOTAL_CASH_OPER" hidden="1">"c125"</definedName>
    <definedName name="IQ_TOTAL_COMMON" hidden="1">"c116"</definedName>
    <definedName name="IQ_TOTAL_CURRENT_ASSETS" hidden="1">"c82"</definedName>
    <definedName name="IQ_TOTAL_CURRENT_LIAB" hidden="1">"c97"</definedName>
    <definedName name="IQ_TOTAL_DEBT" hidden="1">"c101"</definedName>
    <definedName name="IQ_TOTAL_DEBT_OVER_EBITDA" hidden="1">"c183"</definedName>
    <definedName name="IQ_TOTAL_DEBT_OVER_TOTAL_BV" hidden="1">"c180"</definedName>
    <definedName name="IQ_TOTAL_DEBT_OVER_TOTAL_CAP" hidden="1">"c182"</definedName>
    <definedName name="IQ_TOTAL_DEPOSITS" hidden="1">"c284"</definedName>
    <definedName name="IQ_TOTAL_EQUITY" hidden="1">"c114"</definedName>
    <definedName name="IQ_TOTAL_INTEREST_EXP" hidden="1">"c67"</definedName>
    <definedName name="IQ_TOTAL_INVENTORY" hidden="1">"c79"</definedName>
    <definedName name="IQ_TOTAL_LIAB" hidden="1">"c105"</definedName>
    <definedName name="IQ_TOTAL_LIAB_SHAREHOLD" hidden="1">"c115"</definedName>
    <definedName name="IQ_TOTAL_LONG_DEBT" hidden="1">"c100"</definedName>
    <definedName name="IQ_TOTAL_OPER_EXPEN" hidden="1">"c20"</definedName>
    <definedName name="IQ_TOTAL_RECEIV" hidden="1">"c78"</definedName>
    <definedName name="IQ_TOTAL_REVENUE" hidden="1">"c5"</definedName>
    <definedName name="IQ_TOTAL_SPECIAL" hidden="1">"c59"</definedName>
    <definedName name="IQ_TOTAL_ST_BORROW" hidden="1">"c286"</definedName>
    <definedName name="IQ_TRADE_AR" hidden="1">"c76"</definedName>
    <definedName name="IQ_TREASURY_STOCK" hidden="1">"c111"</definedName>
    <definedName name="IQ_UNREALIZED_GAIN" hidden="1">"c117"</definedName>
    <definedName name="IQ_UNUSUAL_EXP" hidden="1">"c18"</definedName>
    <definedName name="IQ_US_GAAP" hidden="1">"c34"</definedName>
    <definedName name="IQ_UTIL_PPE_NET" hidden="1">"c293"</definedName>
    <definedName name="IQ_VOLUME" hidden="1">"c199"</definedName>
    <definedName name="IQ_WEEK" hidden="1">50000</definedName>
    <definedName name="IQ_WEIGHTED_AVG_PRICE" hidden="1">"c255"</definedName>
    <definedName name="IQ_YEARHIGH" hidden="1">"c197"</definedName>
    <definedName name="IQ_YEARLOW" hidden="1">"c198"</definedName>
    <definedName name="IQ_YTD" hidden="1">3000</definedName>
    <definedName name="IQ_YTDMONTH" hidden="1">130000</definedName>
    <definedName name="IQ_Z_SCORE" hidden="1">"c243"</definedName>
    <definedName name="IRR" localSheetId="2">#REF!</definedName>
    <definedName name="IRR">#REF!</definedName>
    <definedName name="January" localSheetId="2">#REF!</definedName>
    <definedName name="January">#REF!</definedName>
    <definedName name="jgjgj" localSheetId="1" hidden="1">{#N/A,#N/A,FALSE,"COVER.XLS";#N/A,#N/A,FALSE,"RACT1.XLS";#N/A,#N/A,FALSE,"RACT2.XLS";#N/A,#N/A,FALSE,"ECCMP";#N/A,#N/A,FALSE,"WELDER.XLS"}</definedName>
    <definedName name="jgjgj" localSheetId="0" hidden="1">{#N/A,#N/A,FALSE,"COVER.XLS";#N/A,#N/A,FALSE,"RACT1.XLS";#N/A,#N/A,FALSE,"RACT2.XLS";#N/A,#N/A,FALSE,"ECCMP";#N/A,#N/A,FALSE,"WELDER.XLS"}</definedName>
    <definedName name="jgjgj" hidden="1">{#N/A,#N/A,FALSE,"COVER.XLS";#N/A,#N/A,FALSE,"RACT1.XLS";#N/A,#N/A,FALSE,"RACT2.XLS";#N/A,#N/A,FALSE,"ECCMP";#N/A,#N/A,FALSE,"WELDER.XLS"}</definedName>
    <definedName name="jhgjh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jj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jjj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jjj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Julu07" localSheetId="2">'[23]pending indent'!#REF!</definedName>
    <definedName name="Julu07">'[23]pending indent'!#REF!</definedName>
    <definedName name="july" localSheetId="2">'[23]pending indent'!#REF!</definedName>
    <definedName name="july">'[23]pending indent'!#REF!</definedName>
    <definedName name="june15_Ajustmenst" localSheetId="2" hidden="1">#REF!</definedName>
    <definedName name="june15_Ajustmenst" hidden="1">#REF!</definedName>
    <definedName name="kamal" localSheetId="1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kamal" localSheetId="0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kamal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KJFBKJDFJDFJFDMN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KJFBKJDFJDFJFDMN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KJFBKJDFJDFJFDMN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K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kk" localSheetId="1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v" localSheetId="1" hidden="1">{#N/A,#N/A,FALSE,"COVER1.XLS ";#N/A,#N/A,FALSE,"RACT1.XLS";#N/A,#N/A,FALSE,"RACT2.XLS";#N/A,#N/A,FALSE,"ECCMP";#N/A,#N/A,FALSE,"WELDER.XLS"}</definedName>
    <definedName name="kv" localSheetId="0" hidden="1">{#N/A,#N/A,FALSE,"COVER1.XLS ";#N/A,#N/A,FALSE,"RACT1.XLS";#N/A,#N/A,FALSE,"RACT2.XLS";#N/A,#N/A,FALSE,"ECCMP";#N/A,#N/A,FALSE,"WELDER.XLS"}</definedName>
    <definedName name="kv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localSheetId="1" hidden="1">{#N/A,#N/A,FALSE,"COVER.XLS";#N/A,#N/A,FALSE,"RACT1.XLS";#N/A,#N/A,FALSE,"RACT2.XLS";#N/A,#N/A,FALSE,"ECCMP";#N/A,#N/A,FALSE,"WELDER.XLS"}</definedName>
    <definedName name="kvv" localSheetId="0" hidden="1">{#N/A,#N/A,FALSE,"COVER.XLS";#N/A,#N/A,FALSE,"RACT1.XLS";#N/A,#N/A,FALSE,"RACT2.XLS";#N/A,#N/A,FALSE,"ECCMP";#N/A,#N/A,FALSE,"WELDER.XLS"}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" localSheetId="2">'[7]Ann-1'!#REF!</definedName>
    <definedName name="l">'[7]Ann-1'!#REF!</definedName>
    <definedName name="lalit" localSheetId="1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lalit" localSheetId="0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lalit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limcount" hidden="1">1</definedName>
    <definedName name="ll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l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l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ll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ook" localSheetId="2">#REF!</definedName>
    <definedName name="look">#REF!</definedName>
    <definedName name="M_PlaceofPath" hidden="1">"\\SNYCEQT0100\HOME\LZURLO\DATA\TELMEX\Models\tmx_vdf.xls"</definedName>
    <definedName name="MAIN_01">[40]A!$D$38:$CO$63</definedName>
    <definedName name="March2008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ch2008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X" localSheetId="2">#REF!</definedName>
    <definedName name="MAX">#REF!</definedName>
    <definedName name="MGRREM" localSheetId="2">#REF!</definedName>
    <definedName name="MGRREM">#REF!</definedName>
    <definedName name="MIN" localSheetId="2">#REF!</definedName>
    <definedName name="MIN">#REF!</definedName>
    <definedName name="mmm" localSheetId="1" hidden="1">{#N/A,#N/A,FALSE,"COVER.XLS";#N/A,#N/A,FALSE,"RACT1.XLS";#N/A,#N/A,FALSE,"RACT2.XLS";#N/A,#N/A,FALSE,"ECCMP";#N/A,#N/A,FALSE,"WELDER.XLS"}</definedName>
    <definedName name="mmm" localSheetId="0" hidden="1">{#N/A,#N/A,FALSE,"COVER.XLS";#N/A,#N/A,FALSE,"RACT1.XLS";#N/A,#N/A,FALSE,"RACT2.XLS";#N/A,#N/A,FALSE,"ECCMP";#N/A,#N/A,FALSE,"WELDER.XLS"}</definedName>
    <definedName name="mmm" hidden="1">{#N/A,#N/A,FALSE,"COVER.XLS";#N/A,#N/A,FALSE,"RACT1.XLS";#N/A,#N/A,FALSE,"RACT2.XLS";#N/A,#N/A,FALSE,"ECCMP";#N/A,#N/A,FALSE,"WELDER.XLS"}</definedName>
    <definedName name="Monthnum">[41]Input!$D$7</definedName>
    <definedName name="MSTable">'[27]MS-Bud'!$A$11:$Y$133</definedName>
    <definedName name="n">'[42]YARN CONSUMP-JULY-06'!$N$2:$N$11043</definedName>
    <definedName name="newbp1" localSheetId="1" hidden="1">{#N/A,#N/A,FALSE,"ACQ_GRAPHS";#N/A,#N/A,FALSE,"T_1 GRAPHS";#N/A,#N/A,FALSE,"T_2 GRAPHS";#N/A,#N/A,FALSE,"COMB_GRAPHS"}</definedName>
    <definedName name="newbp1" localSheetId="0" hidden="1">{#N/A,#N/A,FALSE,"ACQ_GRAPHS";#N/A,#N/A,FALSE,"T_1 GRAPHS";#N/A,#N/A,FALSE,"T_2 GRAPHS";#N/A,#N/A,FALSE,"COMB_GRAPHS"}</definedName>
    <definedName name="newbp1" hidden="1">{#N/A,#N/A,FALSE,"ACQ_GRAPHS";#N/A,#N/A,FALSE,"T_1 GRAPHS";#N/A,#N/A,FALSE,"T_2 GRAPHS";#N/A,#N/A,FALSE,"COMB_GRAPHS"}</definedName>
    <definedName name="nkjkj" localSheetId="2" hidden="1">'[24]key-ind'!#REF!</definedName>
    <definedName name="nkjkj" hidden="1">'[24]key-ind'!#REF!</definedName>
    <definedName name="nnn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nnn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nnn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nnnnnnnnnn" localSheetId="1" hidden="1">{#N/A,#N/A,FALSE,"Status of Projects";#N/A,#N/A,FALSE,"CEA-TEC";#N/A,#N/A,FALSE,"U-Constr.";#N/A,#N/A,FALSE,"summary";#N/A,#N/A,FALSE,"PPP-3 yrs"}</definedName>
    <definedName name="nnnnnnnnnn" localSheetId="0" hidden="1">{#N/A,#N/A,FALSE,"Status of Projects";#N/A,#N/A,FALSE,"CEA-TEC";#N/A,#N/A,FALSE,"U-Constr.";#N/A,#N/A,FALSE,"summary";#N/A,#N/A,FALSE,"PPP-3 yrs"}</definedName>
    <definedName name="nnnnnnnnnn" hidden="1">{#N/A,#N/A,FALSE,"Status of Projects";#N/A,#N/A,FALSE,"CEA-TEC";#N/A,#N/A,FALSE,"U-Constr.";#N/A,#N/A,FALSE,"summary";#N/A,#N/A,FALSE,"PPP-3 yrs"}</definedName>
    <definedName name="NORM" localSheetId="2">#REF!</definedName>
    <definedName name="NORM">#REF!</definedName>
    <definedName name="NPV" localSheetId="2">#REF!</definedName>
    <definedName name="NPV">#REF!</definedName>
    <definedName name="o" localSheetId="2" hidden="1">'[24]key-ind'!#REF!</definedName>
    <definedName name="o" hidden="1">'[24]key-ind'!#REF!</definedName>
    <definedName name="ok" localSheetId="1" hidden="1">{#N/A,#N/A,FALSE,"COVER1.XLS ";#N/A,#N/A,FALSE,"RACT1.XLS";#N/A,#N/A,FALSE,"RACT2.XLS";#N/A,#N/A,FALSE,"ECCMP";#N/A,#N/A,FALSE,"WELDER.XLS"}</definedName>
    <definedName name="ok" localSheetId="0" hidden="1">{#N/A,#N/A,FALSE,"COVER1.XLS ";#N/A,#N/A,FALSE,"RACT1.XLS";#N/A,#N/A,FALSE,"RACT2.XLS";#N/A,#N/A,FALSE,"ECCMP";#N/A,#N/A,FALSE,"WELDER.XLS"}</definedName>
    <definedName name="ok" hidden="1">{#N/A,#N/A,FALSE,"COVER1.XLS ";#N/A,#N/A,FALSE,"RACT1.XLS";#N/A,#N/A,FALSE,"RACT2.XLS";#N/A,#N/A,FALSE,"ECCMP";#N/A,#N/A,FALSE,"WELDER.XLS"}</definedName>
    <definedName name="OrderTable" localSheetId="2" hidden="1">#REF!</definedName>
    <definedName name="OrderTable" hidden="1">#REF!</definedName>
    <definedName name="Others" localSheetId="1" hidden="1">{#N/A,#N/A,FALSE,"COVER1.XLS ";#N/A,#N/A,FALSE,"RACT1.XLS";#N/A,#N/A,FALSE,"RACT2.XLS";#N/A,#N/A,FALSE,"ECCMP";#N/A,#N/A,FALSE,"WELDER.XLS"}</definedName>
    <definedName name="Others" localSheetId="0" hidden="1">{#N/A,#N/A,FALSE,"COVER1.XLS ";#N/A,#N/A,FALSE,"RACT1.XLS";#N/A,#N/A,FALSE,"RACT2.XLS";#N/A,#N/A,FALSE,"ECCMP";#N/A,#N/A,FALSE,"WELDER.XLS"}</definedName>
    <definedName name="Others" hidden="1">{#N/A,#N/A,FALSE,"COVER1.XLS ";#N/A,#N/A,FALSE,"RACT1.XLS";#N/A,#N/A,FALSE,"RACT2.XLS";#N/A,#N/A,FALSE,"ECCMP";#N/A,#N/A,FALSE,"WELDER.XLS"}</definedName>
    <definedName name="P" localSheetId="2">'[7]Ann-1'!#REF!</definedName>
    <definedName name="P">'[7]Ann-1'!#REF!</definedName>
    <definedName name="PACK" localSheetId="2">#REF!</definedName>
    <definedName name="PACK">#REF!</definedName>
    <definedName name="Packing_Type_BCF" localSheetId="2">#REF!</definedName>
    <definedName name="Packing_Type_BCF">#REF!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ndit" localSheetId="2">#REF!</definedName>
    <definedName name="pandit">#REF!</definedName>
    <definedName name="PARAMS" localSheetId="2">#REF!</definedName>
    <definedName name="PARAMS">#REF!</definedName>
    <definedName name="Party_Code" localSheetId="2">#REF!</definedName>
    <definedName name="Party_Code">#REF!</definedName>
    <definedName name="PcntRank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F" localSheetId="1" hidden="1">{#N/A,#N/A,FALSE,"COVER.XLS";#N/A,#N/A,FALSE,"RACT1.XLS";#N/A,#N/A,FALSE,"RACT2.XLS";#N/A,#N/A,FALSE,"ECCMP";#N/A,#N/A,FALSE,"WELDER.XLS"}</definedName>
    <definedName name="PF" localSheetId="0" hidden="1">{#N/A,#N/A,FALSE,"COVER.XLS";#N/A,#N/A,FALSE,"RACT1.XLS";#N/A,#N/A,FALSE,"RACT2.XLS";#N/A,#N/A,FALSE,"ECCMP";#N/A,#N/A,FALSE,"WELDER.XLS"}</definedName>
    <definedName name="PF" hidden="1">{#N/A,#N/A,FALSE,"COVER.XLS";#N/A,#N/A,FALSE,"RACT1.XLS";#N/A,#N/A,FALSE,"RACT2.XLS";#N/A,#N/A,FALSE,"ECCMP";#N/A,#N/A,FALSE,"WELDER.XLS"}</definedName>
    <definedName name="pl" localSheetId="2">#REF!</definedName>
    <definedName name="pl">#REF!</definedName>
    <definedName name="PLTable">'[27]PL-Bud'!$A$11:$Y$133</definedName>
    <definedName name="POO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O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itions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q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q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xlnm.Print_Area" localSheetId="2">#REF!</definedName>
    <definedName name="_xlnm.Print_Area">#REF!</definedName>
    <definedName name="Print_area." localSheetId="2">#REF!</definedName>
    <definedName name="Print_area.">#REF!</definedName>
    <definedName name="Print_Area_MI" localSheetId="2">#REF!</definedName>
    <definedName name="Print_Area_MI">#REF!</definedName>
    <definedName name="PrintArea1" localSheetId="2">#REF!</definedName>
    <definedName name="PrintArea1">#REF!</definedName>
    <definedName name="ProdForm" localSheetId="2" hidden="1">#REF!</definedName>
    <definedName name="ProdForm" hidden="1">#REF!</definedName>
    <definedName name="py" localSheetId="2" hidden="1">#REF!</definedName>
    <definedName name="py" hidden="1">#REF!</definedName>
    <definedName name="Q" localSheetId="2">'[7]Ann-1'!#REF!</definedName>
    <definedName name="Q">'[7]Ann-1'!#REF!</definedName>
    <definedName name="Q1days" localSheetId="2">#REF!</definedName>
    <definedName name="Q1days">#REF!</definedName>
    <definedName name="Q2days" localSheetId="2">#REF!</definedName>
    <definedName name="Q2days">#REF!</definedName>
    <definedName name="Q3days" localSheetId="2">#REF!</definedName>
    <definedName name="Q3days">#REF!</definedName>
    <definedName name="Q4days" localSheetId="2">#REF!</definedName>
    <definedName name="Q4days">#REF!</definedName>
    <definedName name="qh" localSheetId="2" hidden="1">#REF!</definedName>
    <definedName name="qh" hidden="1">#REF!</definedName>
    <definedName name="qq" hidden="1">#N/A</definedName>
    <definedName name="qqq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q" localSheetId="1" hidden="1">{#N/A,#N/A,FALSE,"profile ";#N/A,#N/A,FALSE,"rank";#N/A,#N/A,FALSE,"overbase";#N/A,#N/A,FALSE,"overcash";#N/A,#N/A,FALSE,"overtfp";#N/A,#N/A,FALSE,"overtcc"}</definedName>
    <definedName name="qqqqqqqqqq" localSheetId="0" hidden="1">{#N/A,#N/A,FALSE,"profile ";#N/A,#N/A,FALSE,"rank";#N/A,#N/A,FALSE,"overbase";#N/A,#N/A,FALSE,"overcash";#N/A,#N/A,FALSE,"overtfp";#N/A,#N/A,FALSE,"overtcc"}</definedName>
    <definedName name="qqqqqqqqqq" hidden="1">{#N/A,#N/A,FALSE,"profile ";#N/A,#N/A,FALSE,"rank";#N/A,#N/A,FALSE,"overbase";#N/A,#N/A,FALSE,"overcash";#N/A,#N/A,FALSE,"overtfp";#N/A,#N/A,FALSE,"overtcc"}</definedName>
    <definedName name="qqqqqqqqqq_1" localSheetId="1" hidden="1">{#N/A,#N/A,FALSE,"profile ";#N/A,#N/A,FALSE,"rank";#N/A,#N/A,FALSE,"overbase";#N/A,#N/A,FALSE,"overcash";#N/A,#N/A,FALSE,"overtfp";#N/A,#N/A,FALSE,"overtcc"}</definedName>
    <definedName name="qqqqqqqqqq_1" localSheetId="0" hidden="1">{#N/A,#N/A,FALSE,"profile ";#N/A,#N/A,FALSE,"rank";#N/A,#N/A,FALSE,"overbase";#N/A,#N/A,FALSE,"overcash";#N/A,#N/A,FALSE,"overtfp";#N/A,#N/A,FALSE,"overtcc"}</definedName>
    <definedName name="qqqqqqqqqq_1" hidden="1">{#N/A,#N/A,FALSE,"profile ";#N/A,#N/A,FALSE,"rank";#N/A,#N/A,FALSE,"overbase";#N/A,#N/A,FALSE,"overcash";#N/A,#N/A,FALSE,"overtfp";#N/A,#N/A,FALSE,"overtcc"}</definedName>
    <definedName name="Qualitywise_sales" localSheetId="2">'[43]9 Sales Price in $'!#REF!</definedName>
    <definedName name="Qualitywise_sales">'[43]9 Sales Price in $'!#REF!</definedName>
    <definedName name="Quarterly_Sales">'[35]Sales Budget'!$AB$4:$AG$113</definedName>
    <definedName name="qw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e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e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e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ert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ert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wert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ghu" localSheetId="2">#REF!</definedName>
    <definedName name="raghu">#REF!</definedName>
    <definedName name="rankanal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TES" localSheetId="2">#REF!</definedName>
    <definedName name="RATES">#REF!</definedName>
    <definedName name="RCArea" localSheetId="2" hidden="1">#REF!</definedName>
    <definedName name="RCArea" hidden="1">#REF!</definedName>
    <definedName name="redo" localSheetId="1" hidden="1">{#N/A,#N/A,FALSE,"ACQ_GRAPHS";#N/A,#N/A,FALSE,"T_1 GRAPHS";#N/A,#N/A,FALSE,"T_2 GRAPHS";#N/A,#N/A,FALSE,"COMB_GRAPHS"}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jections_IIIqtr">[44]Inputs!$K$213:$R$316</definedName>
    <definedName name="Rejections_IIqtr">[44]Inputs!$K$109:$R$212</definedName>
    <definedName name="Rejections_Iqtr">[35]Inputs!$K$4:$R$108</definedName>
    <definedName name="Rejections_IVqtr">[44]Inputs!$K$317:$R$420</definedName>
    <definedName name="rem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NT" localSheetId="2">#REF!</definedName>
    <definedName name="RENT">#REF!</definedName>
    <definedName name="res" localSheetId="1" hidden="1">{#N/A,#N/A,FALSE,"COVER1.XLS ";#N/A,#N/A,FALSE,"RACT1.XLS";#N/A,#N/A,FALSE,"RACT2.XLS";#N/A,#N/A,FALSE,"ECCMP";#N/A,#N/A,FALSE,"WELDER.XLS"}</definedName>
    <definedName name="res" localSheetId="0" hidden="1">{#N/A,#N/A,FALSE,"COVER1.XLS ";#N/A,#N/A,FALSE,"RACT1.XLS";#N/A,#N/A,FALSE,"RACT2.XLS";#N/A,#N/A,FALSE,"ECCMP";#N/A,#N/A,FALSE,"WELDER.XLS"}</definedName>
    <definedName name="res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V" localSheetId="2">#REF!</definedName>
    <definedName name="REV">#REF!</definedName>
    <definedName name="REVCOST" localSheetId="2">#REF!</definedName>
    <definedName name="REVCOST">#REF!</definedName>
    <definedName name="rg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M_Rate_Q1">'[30]Yarn Rates'!$G$3:$M$43</definedName>
    <definedName name="RM_Rate_Q2" localSheetId="2">'[45]Yarn Rates'!#REF!</definedName>
    <definedName name="RM_Rate_Q2">'[45]Yarn Rates'!#REF!</definedName>
    <definedName name="RM_Rate_Q3" localSheetId="2">'[45]Yarn Rates'!#REF!</definedName>
    <definedName name="RM_Rate_Q3">'[45]Yarn Rates'!#REF!</definedName>
    <definedName name="RM_Rate_Q4" localSheetId="2">'[45]Yarn Rates'!#REF!</definedName>
    <definedName name="RM_Rate_Q4">'[45]Yarn Rates'!#REF!</definedName>
    <definedName name="roe" localSheetId="2">#REF!</definedName>
    <definedName name="roe">#REF!</definedName>
    <definedName name="rr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1" hidden="1">{"'VALUATION'!$A$3:$R$266"}</definedName>
    <definedName name="rrrr" localSheetId="0" hidden="1">{"'VALUATION'!$A$3:$R$266"}</definedName>
    <definedName name="rrrr" hidden="1">{"'VALUATION'!$A$3:$R$266"}</definedName>
    <definedName name="rw" localSheetId="1" hidden="1">{#N/A,#N/A,FALSE,"COVER1.XLS ";#N/A,#N/A,FALSE,"RACT1.XLS";#N/A,#N/A,FALSE,"RACT2.XLS";#N/A,#N/A,FALSE,"ECCMP";#N/A,#N/A,FALSE,"WELDER.XLS"}</definedName>
    <definedName name="rw" localSheetId="0" hidden="1">{#N/A,#N/A,FALSE,"COVER1.XLS ";#N/A,#N/A,FALSE,"RACT1.XLS";#N/A,#N/A,FALSE,"RACT2.XLS";#N/A,#N/A,FALSE,"ECCMP";#N/A,#N/A,FALSE,"WELDER.XLS"}</definedName>
    <definedName name="rw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vu.BTP." localSheetId="2" hidden="1">'[46]MDP&amp;L'!#REF!</definedName>
    <definedName name="Rwvu.BTP." hidden="1">'[46]MDP&amp;L'!#REF!</definedName>
    <definedName name="Rwvu.TOTAL." localSheetId="2" hidden="1">'[46]MDP&amp;L'!#REF!</definedName>
    <definedName name="Rwvu.TOTAL." hidden="1">'[46]MDP&amp;L'!#REF!</definedName>
    <definedName name="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ale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ale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ale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ales1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ales1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ales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aleUnit" hidden="1">#N/A</definedName>
    <definedName name="SaleValue" hidden="1">#N/A</definedName>
    <definedName name="SAPBEXrevision" hidden="1">1</definedName>
    <definedName name="SAPBEXsysID" hidden="1">"CSR"</definedName>
    <definedName name="SAPBEXwbID" hidden="1">"3XQBW78D16A2EDUNTS3NPBKLN"</definedName>
    <definedName name="SASWFD" localSheetId="2">'[47]DATA ENTRY-2'!#REF!</definedName>
    <definedName name="SASWFD">'[47]DATA ENTRY-2'!#REF!</definedName>
    <definedName name="SDFGSFGSB" localSheetId="1" hidden="1">{#N/A,#N/A,FALSE,"17MAY";#N/A,#N/A,FALSE,"24MAY"}</definedName>
    <definedName name="SDFGSFGSB" localSheetId="0" hidden="1">{#N/A,#N/A,FALSE,"17MAY";#N/A,#N/A,FALSE,"24MAY"}</definedName>
    <definedName name="SDFGSFGSB" hidden="1">{#N/A,#N/A,FALSE,"17MAY";#N/A,#N/A,FALSE,"24MAY"}</definedName>
    <definedName name="SDFGSFGSFG" localSheetId="1" hidden="1">{#N/A,#N/A,FALSE,"COVER1.XLS ";#N/A,#N/A,FALSE,"RACT1.XLS";#N/A,#N/A,FALSE,"RACT2.XLS";#N/A,#N/A,FALSE,"ECCMP";#N/A,#N/A,FALSE,"WELDER.XLS"}</definedName>
    <definedName name="SDFGSFGSFG" localSheetId="0" hidden="1">{#N/A,#N/A,FALSE,"COVER1.XLS ";#N/A,#N/A,FALSE,"RACT1.XLS";#N/A,#N/A,FALSE,"RACT2.XLS";#N/A,#N/A,FALSE,"ECCMP";#N/A,#N/A,FALSE,"WELDER.XLS"}</definedName>
    <definedName name="SDFGSFGSFG" hidden="1">{#N/A,#N/A,FALSE,"COVER1.XLS ";#N/A,#N/A,FALSE,"RACT1.XLS";#N/A,#N/A,FALSE,"RACT2.XLS";#N/A,#N/A,FALSE,"ECCMP";#N/A,#N/A,FALSE,"WELDER.XLS"}</definedName>
    <definedName name="SDFGSFGSS" localSheetId="1" hidden="1">{#N/A,#N/A,FALSE,"COVER.XLS";#N/A,#N/A,FALSE,"RACT1.XLS";#N/A,#N/A,FALSE,"RACT2.XLS";#N/A,#N/A,FALSE,"ECCMP";#N/A,#N/A,FALSE,"WELDER.XLS"}</definedName>
    <definedName name="SDFGSFGSS" localSheetId="0" hidden="1">{#N/A,#N/A,FALSE,"COVER.XLS";#N/A,#N/A,FALSE,"RACT1.XLS";#N/A,#N/A,FALSE,"RACT2.XLS";#N/A,#N/A,FALSE,"ECCMP";#N/A,#N/A,FALSE,"WELDER.XLS"}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GSGF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FSF" localSheetId="1" hidden="1">{#N/A,#N/A,FALSE,"COVER.XLS";#N/A,#N/A,FALSE,"RACT1.XLS";#N/A,#N/A,FALSE,"RACT2.XLS";#N/A,#N/A,FALSE,"ECCMP";#N/A,#N/A,FALSE,"WELDER.XLS"}</definedName>
    <definedName name="SDFSFSF" localSheetId="0" hidden="1">{#N/A,#N/A,FALSE,"COVER.XLS";#N/A,#N/A,FALSE,"RACT1.XLS";#N/A,#N/A,FALSE,"RACT2.XLS";#N/A,#N/A,FALSE,"ECCMP";#N/A,#N/A,FALSE,"WELDER.XLS"}</definedName>
    <definedName name="SDFSFSF" hidden="1">{#N/A,#N/A,FALSE,"COVER.XLS";#N/A,#N/A,FALSE,"RACT1.XLS";#N/A,#N/A,FALSE,"RACT2.XLS";#N/A,#N/A,FALSE,"ECCMP";#N/A,#N/A,FALSE,"WELDER.XLS"}</definedName>
    <definedName name="SDKJBJASJAS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SDKJBJASJAS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SDKJBJASJAS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sds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s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s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encount" hidden="1">1</definedName>
    <definedName name="SEP" localSheetId="2">#REF!</definedName>
    <definedName name="SEP">#REF!</definedName>
    <definedName name="sew" localSheetId="2">[34]SEWING!#REF!</definedName>
    <definedName name="sew">[34]SEWING!#REF!</definedName>
    <definedName name="sf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sf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sf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SFDGSFG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GSFG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FS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FS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1" hidden="1">{#N/A,#N/A,FALSE,"COVER1.XLS ";#N/A,#N/A,FALSE,"RACT1.XLS";#N/A,#N/A,FALSE,"RACT2.XLS";#N/A,#N/A,FALSE,"ECCMP";#N/A,#N/A,FALSE,"WELDER.XLS"}</definedName>
    <definedName name="SFGSFG" localSheetId="0" hidden="1">{#N/A,#N/A,FALSE,"COVER1.XLS ";#N/A,#N/A,FALSE,"RACT1.XLS";#N/A,#N/A,FALSE,"RACT2.XLS";#N/A,#N/A,FALSE,"ECCMP";#N/A,#N/A,FALSE,"WELDER.XLS"}</definedName>
    <definedName name="SFGSFG" hidden="1">{#N/A,#N/A,FALSE,"COVER1.XLS ";#N/A,#N/A,FALSE,"RACT1.XLS";#N/A,#N/A,FALSE,"RACT2.XLS";#N/A,#N/A,FALSE,"ECCMP";#N/A,#N/A,FALSE,"WELDER.XLS"}</definedName>
    <definedName name="SFGSFGS" localSheetId="1" hidden="1">{#N/A,#N/A,FALSE,"COVER1.XLS ";#N/A,#N/A,FALSE,"RACT1.XLS";#N/A,#N/A,FALSE,"RACT2.XLS";#N/A,#N/A,FALSE,"ECCMP";#N/A,#N/A,FALSE,"WELDER.XLS"}</definedName>
    <definedName name="SFGSFGS" localSheetId="0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localSheetId="1" hidden="1">{#N/A,#N/A,FALSE,"COVER.XLS";#N/A,#N/A,FALSE,"RACT1.XLS";#N/A,#N/A,FALSE,"RACT2.XLS";#N/A,#N/A,FALSE,"ECCMP";#N/A,#N/A,FALSE,"WELDER.XLS"}</definedName>
    <definedName name="SFGSFGSFGSG" localSheetId="0" hidden="1">{#N/A,#N/A,FALSE,"COVER.XLS";#N/A,#N/A,FALSE,"RACT1.XLS";#N/A,#N/A,FALSE,"RACT2.XLS";#N/A,#N/A,FALSE,"ECCMP";#N/A,#N/A,FALSE,"WELDER.XLS"}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localSheetId="1" hidden="1">{#N/A,#N/A,FALSE,"COVER.XLS";#N/A,#N/A,FALSE,"RACT1.XLS";#N/A,#N/A,FALSE,"RACT2.XLS";#N/A,#N/A,FALSE,"ECCMP";#N/A,#N/A,FALSE,"WELDER.XLS"}</definedName>
    <definedName name="SFGSFGSG" localSheetId="0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1" hidden="1">{#N/A,#N/A,FALSE,"COVER1.XLS ";#N/A,#N/A,FALSE,"RACT1.XLS";#N/A,#N/A,FALSE,"RACT2.XLS";#N/A,#N/A,FALSE,"ECCMP";#N/A,#N/A,FALSE,"WELDER.XLS"}</definedName>
    <definedName name="SFGSFGSGSFGSF" localSheetId="0" hidden="1">{#N/A,#N/A,FALSE,"COVER1.XLS ";#N/A,#N/A,FALSE,"RACT1.XLS";#N/A,#N/A,FALSE,"RACT2.XLS";#N/A,#N/A,FALSE,"ECCMP";#N/A,#N/A,FALSE,"WELDER.XLS"}</definedName>
    <definedName name="SFGSFGSGSFGSF" hidden="1">{#N/A,#N/A,FALSE,"COVER1.XLS ";#N/A,#N/A,FALSE,"RACT1.XLS";#N/A,#N/A,FALSE,"RACT2.XLS";#N/A,#N/A,FALSE,"ECCMP";#N/A,#N/A,FALSE,"WELDER.XLS"}</definedName>
    <definedName name="SFGSFSFG" localSheetId="1" hidden="1">{#N/A,#N/A,FALSE,"COVER1.XLS ";#N/A,#N/A,FALSE,"RACT1.XLS";#N/A,#N/A,FALSE,"RACT2.XLS";#N/A,#N/A,FALSE,"ECCMP";#N/A,#N/A,FALSE,"WELDER.XLS"}</definedName>
    <definedName name="SFGSFSFG" localSheetId="0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G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1" hidden="1">{#N/A,#N/A,FALSE,"COVER1.XLS ";#N/A,#N/A,FALSE,"RACT1.XLS";#N/A,#N/A,FALSE,"RACT2.XLS";#N/A,#N/A,FALSE,"ECCMP";#N/A,#N/A,FALSE,"WELDER.XLS"}</definedName>
    <definedName name="SFGSS" localSheetId="0" hidden="1">{#N/A,#N/A,FALSE,"COVER1.XLS ";#N/A,#N/A,FALSE,"RACT1.XLS";#N/A,#N/A,FALSE,"RACT2.XLS";#N/A,#N/A,FALSE,"ECCMP";#N/A,#N/A,FALSE,"WELDER.XLS"}</definedName>
    <definedName name="SFGSS" hidden="1">{#N/A,#N/A,FALSE,"COVER1.XLS ";#N/A,#N/A,FALSE,"RACT1.XLS";#N/A,#N/A,FALSE,"RACT2.XLS";#N/A,#N/A,FALSE,"ECCMP";#N/A,#N/A,FALSE,"WELDER.XLS"}</definedName>
    <definedName name="SFGSSFG" localSheetId="1" hidden="1">{#N/A,#N/A,FALSE,"COVER.XLS";#N/A,#N/A,FALSE,"RACT1.XLS";#N/A,#N/A,FALSE,"RACT2.XLS";#N/A,#N/A,FALSE,"ECCMP";#N/A,#N/A,FALSE,"WELDER.XLS"}</definedName>
    <definedName name="SFGSSFG" localSheetId="0" hidden="1">{#N/A,#N/A,FALSE,"COVER.XLS";#N/A,#N/A,FALSE,"RACT1.XLS";#N/A,#N/A,FALSE,"RACT2.XLS";#N/A,#N/A,FALSE,"ECCMP";#N/A,#N/A,FALSE,"WELDER.XLS"}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SFFS" localSheetId="1" hidden="1">{#N/A,#N/A,FALSE,"COVER.XLS";#N/A,#N/A,FALSE,"RACT1.XLS";#N/A,#N/A,FALSE,"RACT2.XLS";#N/A,#N/A,FALSE,"ECCMP";#N/A,#N/A,FALSE,"WELDER.XLS"}</definedName>
    <definedName name="SFSFFS" localSheetId="0" hidden="1">{#N/A,#N/A,FALSE,"COVER.XLS";#N/A,#N/A,FALSE,"RACT1.XLS";#N/A,#N/A,FALSE,"RACT2.XLS";#N/A,#N/A,FALSE,"ECCMP";#N/A,#N/A,FALSE,"WELDER.XLS"}</definedName>
    <definedName name="SFSFFS" hidden="1">{#N/A,#N/A,FALSE,"COVER.XLS";#N/A,#N/A,FALSE,"RACT1.XLS";#N/A,#N/A,FALSE,"RACT2.XLS";#N/A,#N/A,FALSE,"ECCMP";#N/A,#N/A,FALSE,"WELDER.XLS"}</definedName>
    <definedName name="SGSGSGS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GSGS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hadewise_sales">'[48]Shadewise Sales'!$K$4:$Y$106</definedName>
    <definedName name="short" localSheetId="1" hidden="1">{#N/A,#N/A,FALSE,"COVER1.XLS ";#N/A,#N/A,FALSE,"RACT1.XLS";#N/A,#N/A,FALSE,"RACT2.XLS";#N/A,#N/A,FALSE,"ECCMP";#N/A,#N/A,FALSE,"WELDER.XLS"}</definedName>
    <definedName name="short" localSheetId="0" hidden="1">{#N/A,#N/A,FALSE,"COVER1.XLS ";#N/A,#N/A,FALSE,"RACT1.XLS";#N/A,#N/A,FALSE,"RACT2.XLS";#N/A,#N/A,FALSE,"ECCMP";#N/A,#N/A,FALSE,"WELDER.XLS"}</definedName>
    <definedName name="short" hidden="1">{#N/A,#N/A,FALSE,"COVER1.XLS ";#N/A,#N/A,FALSE,"RACT1.XLS";#N/A,#N/A,FALSE,"RACT2.XLS";#N/A,#N/A,FALSE,"ECCMP";#N/A,#N/A,FALSE,"WELDER.XLS"}</definedName>
    <definedName name="solver_adj" localSheetId="2" hidden="1">'[49]G&amp;A'!#REF!</definedName>
    <definedName name="solver_adj" hidden="1">'[49]G&amp;A'!#REF!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340</definedName>
    <definedName name="sp" localSheetId="2" hidden="1">[50]Manpower_30!#REF!</definedName>
    <definedName name="sp" hidden="1">[50]Manpower_30!#REF!</definedName>
    <definedName name="SpecialPrice" localSheetId="2" hidden="1">#REF!</definedName>
    <definedName name="SpecialPrice" hidden="1">#REF!</definedName>
    <definedName name="ss" localSheetId="1" hidden="1">{#N/A,#N/A,FALSE,"COVER.XLS";#N/A,#N/A,FALSE,"RACT1.XLS";#N/A,#N/A,FALSE,"RACT2.XLS";#N/A,#N/A,FALSE,"ECCMP";#N/A,#N/A,FALSE,"WELDER.XLS"}</definedName>
    <definedName name="ss" localSheetId="0" hidden="1">{#N/A,#N/A,FALSE,"COVER.XLS";#N/A,#N/A,FALSE,"RACT1.XLS";#N/A,#N/A,FALSE,"RACT2.XLS";#N/A,#N/A,FALSE,"ECCMP";#N/A,#N/A,FALSE,"WELDER.XLS"}</definedName>
    <definedName name="ss" hidden="1">{#N/A,#N/A,FALSE,"COVER.XLS";#N/A,#N/A,FALSE,"RACT1.XLS";#N/A,#N/A,FALSE,"RACT2.XLS";#N/A,#N/A,FALSE,"ECCMP";#N/A,#N/A,FALSE,"WELDER.XLS"}</definedName>
    <definedName name="SSFGSFG" localSheetId="1" hidden="1">{#N/A,#N/A,FALSE,"COVER.XLS";#N/A,#N/A,FALSE,"RACT1.XLS";#N/A,#N/A,FALSE,"RACT2.XLS";#N/A,#N/A,FALSE,"ECCMP";#N/A,#N/A,FALSE,"WELDER.XLS"}</definedName>
    <definedName name="SSFGSFG" localSheetId="0" hidden="1">{#N/A,#N/A,FALSE,"COVER.XLS";#N/A,#N/A,FALSE,"RACT1.XLS";#N/A,#N/A,FALSE,"RACT2.XLS";#N/A,#N/A,FALSE,"ECCMP";#N/A,#N/A,FALSE,"WELDER.XLS"}</definedName>
    <definedName name="SSFGSFG" hidden="1">{#N/A,#N/A,FALSE,"COVER.XLS";#N/A,#N/A,FALSE,"RACT1.XLS";#N/A,#N/A,FALSE,"RACT2.XLS";#N/A,#N/A,FALSE,"ECCMP";#N/A,#N/A,FALSE,"WELDER.XLS"}</definedName>
    <definedName name="SSSDFGSD" localSheetId="1" hidden="1">{#N/A,#N/A,FALSE,"COVER1.XLS ";#N/A,#N/A,FALSE,"RACT1.XLS";#N/A,#N/A,FALSE,"RACT2.XLS";#N/A,#N/A,FALSE,"ECCMP";#N/A,#N/A,FALSE,"WELDER.XLS"}</definedName>
    <definedName name="SSSDFGSD" localSheetId="0" hidden="1">{#N/A,#N/A,FALSE,"COVER1.XLS ";#N/A,#N/A,FALSE,"RACT1.XLS";#N/A,#N/A,FALSE,"RACT2.XLS";#N/A,#N/A,FALSE,"ECCMP";#N/A,#N/A,FALSE,"WELDER.XLS"}</definedName>
    <definedName name="SSSDFGSD" hidden="1">{#N/A,#N/A,FALSE,"COVER1.XLS ";#N/A,#N/A,FALSE,"RACT1.XLS";#N/A,#N/A,FALSE,"RACT2.XLS";#N/A,#N/A,FALSE,"ECCMP";#N/A,#N/A,FALSE,"WELDER.XLS"}</definedName>
    <definedName name="SSSDFGSG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DFGSG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SD" localSheetId="1" hidden="1">{#N/A,#N/A,FALSE,"COVER1.XLS ";#N/A,#N/A,FALSE,"RACT1.XLS";#N/A,#N/A,FALSE,"RACT2.XLS";#N/A,#N/A,FALSE,"ECCMP";#N/A,#N/A,FALSE,"WELDER.XLS"}</definedName>
    <definedName name="SSSSD" localSheetId="0" hidden="1">{#N/A,#N/A,FALSE,"COVER1.XLS ";#N/A,#N/A,FALSE,"RACT1.XLS";#N/A,#N/A,FALSE,"RACT2.XLS";#N/A,#N/A,FALSE,"ECCMP";#N/A,#N/A,FALSE,"WELDER.XLS"}</definedName>
    <definedName name="SSSSD" hidden="1">{#N/A,#N/A,FALSE,"COVER1.XLS ";#N/A,#N/A,FALSE,"RACT1.XLS";#N/A,#N/A,FALSE,"RACT2.XLS";#N/A,#N/A,FALSE,"ECCMP";#N/A,#N/A,FALSE,"WELDER.XLS"}</definedName>
    <definedName name="SSSS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SSS" localSheetId="1" hidden="1">{#N/A,#N/A,FALSE,"17MAY";#N/A,#N/A,FALSE,"24MAY"}</definedName>
    <definedName name="SSSSSSSSSSSSSSS" localSheetId="0" hidden="1">{#N/A,#N/A,FALSE,"17MAY";#N/A,#N/A,FALSE,"24MAY"}</definedName>
    <definedName name="SSSSSSSSSSSSSSS" hidden="1">{#N/A,#N/A,FALSE,"17MAY";#N/A,#N/A,FALSE,"24MAY"}</definedName>
    <definedName name="SSSSSSSSSSSSSSSSSSS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tDebtDmy" hidden="1">#N/A</definedName>
    <definedName name="ste" localSheetId="1" hidden="1">{"'Stock'!$A$1:$M$34","'Consumption'!$A$1:$N$35"}</definedName>
    <definedName name="ste" localSheetId="0" hidden="1">{"'Stock'!$A$1:$M$34","'Consumption'!$A$1:$N$35"}</definedName>
    <definedName name="ste" hidden="1">{"'Stock'!$A$1:$M$34","'Consumption'!$A$1:$N$35"}</definedName>
    <definedName name="stef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UMM" localSheetId="2">#REF!</definedName>
    <definedName name="SUMM">#REF!</definedName>
    <definedName name="swami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wami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wami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TA" localSheetId="2">#REF!</definedName>
    <definedName name="TA">#REF!</definedName>
    <definedName name="TAX" localSheetId="2">#REF!</definedName>
    <definedName name="TAX">#REF!</definedName>
    <definedName name="taxdepr" localSheetId="2">#REF!</definedName>
    <definedName name="taxdepr">#REF!</definedName>
    <definedName name="taxliab" localSheetId="2">#REF!</definedName>
    <definedName name="taxliab">#REF!</definedName>
    <definedName name="tbl_ProdInfo" localSheetId="2" hidden="1">#REF!</definedName>
    <definedName name="tbl_ProdInfo" hidden="1">#REF!</definedName>
    <definedName name="TBTable">'[27]TB-Bud'!$A$11:$Y$133</definedName>
    <definedName name="TDS" localSheetId="2">#REF!</definedName>
    <definedName name="TDS">#REF!</definedName>
    <definedName name="TERRYTOWEL">[7]Input_B_V!$A$25</definedName>
    <definedName name="TEST0" localSheetId="2">#REF!</definedName>
    <definedName name="TEST0">#REF!</definedName>
    <definedName name="TEST1" localSheetId="2">#REF!</definedName>
    <definedName name="TEST1">#REF!</definedName>
    <definedName name="TEST10" localSheetId="2">'[51]All Loc'!#REF!</definedName>
    <definedName name="TEST10">'[51]All Loc'!#REF!</definedName>
    <definedName name="TEST11" localSheetId="2">#REF!</definedName>
    <definedName name="TEST11">#REF!</definedName>
    <definedName name="TEST12" localSheetId="2">'[51]All Loc'!#REF!</definedName>
    <definedName name="TEST12">'[51]All Loc'!#REF!</definedName>
    <definedName name="TEST13" localSheetId="2">[52]Sheet1!#REF!</definedName>
    <definedName name="TEST13">[52]Sheet1!#REF!</definedName>
    <definedName name="TEST14" localSheetId="2">#REF!</definedName>
    <definedName name="TEST14">#REF!</definedName>
    <definedName name="TEST15" localSheetId="2">#REF!</definedName>
    <definedName name="TEST15">#REF!</definedName>
    <definedName name="TEST16" localSheetId="2">#REF!</definedName>
    <definedName name="TEST16">#REF!</definedName>
    <definedName name="TEST17" localSheetId="2">#REF!</definedName>
    <definedName name="TEST17">#REF!</definedName>
    <definedName name="TEST18" localSheetId="2">#REF!</definedName>
    <definedName name="TEST18">#REF!</definedName>
    <definedName name="TEST19" localSheetId="2">#REF!</definedName>
    <definedName name="TEST19">#REF!</definedName>
    <definedName name="TEST2" localSheetId="2">#REF!</definedName>
    <definedName name="TEST2">#REF!</definedName>
    <definedName name="TEST20" localSheetId="2">#REF!</definedName>
    <definedName name="TEST20">#REF!</definedName>
    <definedName name="TEST21" localSheetId="2">#REF!</definedName>
    <definedName name="TEST21">#REF!</definedName>
    <definedName name="TEST22" localSheetId="2">#REF!</definedName>
    <definedName name="TEST22">#REF!</definedName>
    <definedName name="TEST23" localSheetId="2">#REF!</definedName>
    <definedName name="TEST23">#REF!</definedName>
    <definedName name="TEST24" localSheetId="2">'[51]All Loc'!#REF!</definedName>
    <definedName name="TEST24">'[51]All Loc'!#REF!</definedName>
    <definedName name="TEST25" localSheetId="2">#REF!</definedName>
    <definedName name="TEST25">#REF!</definedName>
    <definedName name="TEST26" localSheetId="2">#REF!</definedName>
    <definedName name="TEST26">#REF!</definedName>
    <definedName name="TEST27" localSheetId="2">#REF!</definedName>
    <definedName name="TEST27">#REF!</definedName>
    <definedName name="TEST28" localSheetId="2">#REF!</definedName>
    <definedName name="TEST28">#REF!</definedName>
    <definedName name="TEST29" localSheetId="2">'[51]All Loc'!#REF!</definedName>
    <definedName name="TEST29">'[51]All Loc'!#REF!</definedName>
    <definedName name="TEST3" localSheetId="2">#REF!</definedName>
    <definedName name="TEST3">#REF!</definedName>
    <definedName name="TEST30" localSheetId="2">'[53]Exc 7200Total Stock'!#REF!</definedName>
    <definedName name="TEST30">'[53]Exc 7200Total Stock'!#REF!</definedName>
    <definedName name="TEST31" localSheetId="2">#REF!</definedName>
    <definedName name="TEST31">#REF!</definedName>
    <definedName name="TEST32" localSheetId="2">#REF!</definedName>
    <definedName name="TEST32">#REF!</definedName>
    <definedName name="TEST33" localSheetId="2">#REF!</definedName>
    <definedName name="TEST33">#REF!</definedName>
    <definedName name="TEST34" localSheetId="2">#REF!</definedName>
    <definedName name="TEST34">#REF!</definedName>
    <definedName name="TEST35" localSheetId="2">[54]Stock!#REF!</definedName>
    <definedName name="TEST35">[54]Stock!#REF!</definedName>
    <definedName name="TEST36" localSheetId="2">'[53]Exc 7200Total Stock'!#REF!</definedName>
    <definedName name="TEST36">'[53]Exc 7200Total Stock'!#REF!</definedName>
    <definedName name="TEST37" localSheetId="2">'[53]Exc 7200Total Stock'!#REF!</definedName>
    <definedName name="TEST37">'[53]Exc 7200Total Stock'!#REF!</definedName>
    <definedName name="TEST38" localSheetId="2">[54]Stock!#REF!</definedName>
    <definedName name="TEST38">[54]Stock!#REF!</definedName>
    <definedName name="TEST39" localSheetId="2">[52]Sheet1!#REF!</definedName>
    <definedName name="TEST39">[52]Sheet1!#REF!</definedName>
    <definedName name="TEST4" localSheetId="2">#REF!</definedName>
    <definedName name="TEST4">#REF!</definedName>
    <definedName name="TEST40" localSheetId="2">#REF!</definedName>
    <definedName name="TEST40">#REF!</definedName>
    <definedName name="TEST41" localSheetId="2">#REF!</definedName>
    <definedName name="TEST41">#REF!</definedName>
    <definedName name="TEST42" localSheetId="2">#REF!</definedName>
    <definedName name="TEST42">#REF!</definedName>
    <definedName name="TEST43" localSheetId="2">'[53]Exc 7200Total Stock'!#REF!</definedName>
    <definedName name="TEST43">'[53]Exc 7200Total Stock'!#REF!</definedName>
    <definedName name="TEST44" localSheetId="2">#REF!</definedName>
    <definedName name="TEST44">#REF!</definedName>
    <definedName name="TEST45" localSheetId="2">[55]Stock!#REF!</definedName>
    <definedName name="TEST45">[55]Stock!#REF!</definedName>
    <definedName name="TEST46" localSheetId="2">[52]Sheet1!#REF!</definedName>
    <definedName name="TEST46">[52]Sheet1!#REF!</definedName>
    <definedName name="TEST47" localSheetId="2">#REF!</definedName>
    <definedName name="TEST47">#REF!</definedName>
    <definedName name="TEST48" localSheetId="2">#REF!</definedName>
    <definedName name="TEST48">#REF!</definedName>
    <definedName name="TEST49" localSheetId="2">#REF!</definedName>
    <definedName name="TEST49">#REF!</definedName>
    <definedName name="TEST5" localSheetId="2">#REF!</definedName>
    <definedName name="TEST5">#REF!</definedName>
    <definedName name="TEST50" localSheetId="2">#REF!</definedName>
    <definedName name="TEST50">#REF!</definedName>
    <definedName name="TEST51" localSheetId="2">#REF!</definedName>
    <definedName name="TEST51">#REF!</definedName>
    <definedName name="TEST52" localSheetId="2">#REF!</definedName>
    <definedName name="TEST52">#REF!</definedName>
    <definedName name="TEST53" localSheetId="2">#REF!</definedName>
    <definedName name="TEST53">#REF!</definedName>
    <definedName name="TEST54" localSheetId="2">#REF!</definedName>
    <definedName name="TEST54">#REF!</definedName>
    <definedName name="TEST55" localSheetId="2">#REF!</definedName>
    <definedName name="TEST55">#REF!</definedName>
    <definedName name="TEST56" localSheetId="2">#REF!</definedName>
    <definedName name="TEST56">#REF!</definedName>
    <definedName name="TEST57" localSheetId="2">#REF!</definedName>
    <definedName name="TEST57">#REF!</definedName>
    <definedName name="TEST58" localSheetId="2">#REF!</definedName>
    <definedName name="TEST58">#REF!</definedName>
    <definedName name="TEST59" localSheetId="2">#REF!</definedName>
    <definedName name="TEST59">#REF!</definedName>
    <definedName name="TEST6" localSheetId="2">#REF!</definedName>
    <definedName name="TEST6">#REF!</definedName>
    <definedName name="TEST60" localSheetId="2">#REF!</definedName>
    <definedName name="TEST60">#REF!</definedName>
    <definedName name="TEST61" localSheetId="2">#REF!</definedName>
    <definedName name="TEST61">#REF!</definedName>
    <definedName name="TEST62" localSheetId="2">#REF!</definedName>
    <definedName name="TEST62">#REF!</definedName>
    <definedName name="TEST63" localSheetId="2">#REF!</definedName>
    <definedName name="TEST63">#REF!</definedName>
    <definedName name="TEST64" localSheetId="2">#REF!</definedName>
    <definedName name="TEST64">#REF!</definedName>
    <definedName name="TEST65" localSheetId="2">#REF!</definedName>
    <definedName name="TEST65">#REF!</definedName>
    <definedName name="TEST66" localSheetId="2">#REF!</definedName>
    <definedName name="TEST66">#REF!</definedName>
    <definedName name="TEST67" localSheetId="2">#REF!</definedName>
    <definedName name="TEST67">#REF!</definedName>
    <definedName name="TEST68" localSheetId="2">#REF!</definedName>
    <definedName name="TEST68">#REF!</definedName>
    <definedName name="TEST69" localSheetId="2">#REF!</definedName>
    <definedName name="TEST69">#REF!</definedName>
    <definedName name="TEST7" localSheetId="2">#REF!</definedName>
    <definedName name="TEST7">#REF!</definedName>
    <definedName name="TEST70" localSheetId="2">#REF!</definedName>
    <definedName name="TEST70">#REF!</definedName>
    <definedName name="TEST71" localSheetId="2">#REF!</definedName>
    <definedName name="TEST71">#REF!</definedName>
    <definedName name="TEST72" localSheetId="2">#REF!</definedName>
    <definedName name="TEST72">#REF!</definedName>
    <definedName name="TEST73" localSheetId="2">#REF!</definedName>
    <definedName name="TEST73">#REF!</definedName>
    <definedName name="TEST74" localSheetId="2">#REF!</definedName>
    <definedName name="TEST74">#REF!</definedName>
    <definedName name="TEST75" localSheetId="2">#REF!</definedName>
    <definedName name="TEST75">#REF!</definedName>
    <definedName name="TEST76" localSheetId="2">#REF!</definedName>
    <definedName name="TEST76">#REF!</definedName>
    <definedName name="TEST77" localSheetId="2">#REF!</definedName>
    <definedName name="TEST77">#REF!</definedName>
    <definedName name="TEST78" localSheetId="2">#REF!</definedName>
    <definedName name="TEST78">#REF!</definedName>
    <definedName name="TEST79" localSheetId="2">#REF!</definedName>
    <definedName name="TEST79">#REF!</definedName>
    <definedName name="TEST8" localSheetId="2">'[51]All Loc'!#REF!</definedName>
    <definedName name="TEST8">'[51]All Loc'!#REF!</definedName>
    <definedName name="TEST80" localSheetId="2">#REF!</definedName>
    <definedName name="TEST80">#REF!</definedName>
    <definedName name="TEST81" localSheetId="2">#REF!</definedName>
    <definedName name="TEST81">#REF!</definedName>
    <definedName name="TEST82" localSheetId="2">'[12]PACKING GL MAY-07'!#REF!</definedName>
    <definedName name="TEST82">'[12]PACKING GL MAY-07'!#REF!</definedName>
    <definedName name="TEST9" localSheetId="2">'[53]Exc 7200Total Stock'!#REF!</definedName>
    <definedName name="TEST9">'[53]Exc 7200Total Stock'!#REF!</definedName>
    <definedName name="TESTHKEY" localSheetId="2">#REF!</definedName>
    <definedName name="TESTHKEY">#REF!</definedName>
    <definedName name="TESTKEYS" localSheetId="2">#REF!</definedName>
    <definedName name="TESTKEYS">#REF!</definedName>
    <definedName name="TESTVKEY" localSheetId="2">#REF!</definedName>
    <definedName name="TESTVKEY">#REF!</definedName>
    <definedName name="TEXTURISING">[7]Input_B_V!$A$47</definedName>
    <definedName name="tf" localSheetId="2" hidden="1">#REF!</definedName>
    <definedName name="tf" hidden="1">#REF!</definedName>
    <definedName name="TMTable">'[27]TM-Bud'!$A$11:$Y$133</definedName>
    <definedName name="tr" localSheetId="1" hidden="1">{#N/A,#N/A,FALSE,"COVER.XLS";#N/A,#N/A,FALSE,"RACT1.XLS";#N/A,#N/A,FALSE,"RACT2.XLS";#N/A,#N/A,FALSE,"ECCMP";#N/A,#N/A,FALSE,"WELDER.XLS"}</definedName>
    <definedName name="tr" localSheetId="0" hidden="1">{#N/A,#N/A,FALSE,"COVER.XLS";#N/A,#N/A,FALSE,"RACT1.XLS";#N/A,#N/A,FALSE,"RACT2.XLS";#N/A,#N/A,FALSE,"ECCMP";#N/A,#N/A,FALSE,"WELDER.XLS"}</definedName>
    <definedName name="tr" hidden="1">{#N/A,#N/A,FALSE,"COVER.XLS";#N/A,#N/A,FALSE,"RACT1.XLS";#N/A,#N/A,FALSE,"RACT2.XLS";#N/A,#N/A,FALSE,"ECCMP";#N/A,#N/A,FALSE,"WELDER.XLS"}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nd" localSheetId="1" hidden="1">{#N/A,#N/A,FALSE,"Aging Summary";#N/A,#N/A,FALSE,"Ratio Analysis";#N/A,#N/A,FALSE,"Test 120 Day Accts";#N/A,#N/A,FALSE,"Tickmarks"}</definedName>
    <definedName name="trend" localSheetId="0" hidden="1">{#N/A,#N/A,FALSE,"Aging Summary";#N/A,#N/A,FALSE,"Ratio Analysis";#N/A,#N/A,FALSE,"Test 120 Day Accts";#N/A,#N/A,FALSE,"Tickmarks"}</definedName>
    <definedName name="trend" hidden="1">{#N/A,#N/A,FALSE,"Aging Summary";#N/A,#N/A,FALSE,"Ratio Analysis";#N/A,#N/A,FALSE,"Test 120 Day Accts";#N/A,#N/A,FALSE,"Tickmarks"}</definedName>
    <definedName name="typewise_SP" localSheetId="2">'[35]Sales inputs '!#REF!</definedName>
    <definedName name="typewise_SP">'[35]Sales inputs '!#REF!</definedName>
    <definedName name="tyyt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tyyt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tyyt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U30a57" localSheetId="2">#REF!</definedName>
    <definedName name="U30a57">#REF!</definedName>
    <definedName name="UOPU" localSheetId="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" localSheetId="0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OPUOU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sha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tilCap" hidden="1">#N/A</definedName>
    <definedName name="UtilProd" hidden="1">#N/A</definedName>
    <definedName name="vbn" localSheetId="1" hidden="1">{#N/A,#N/A,FALSE,"COVER.XLS";#N/A,#N/A,FALSE,"RACT1.XLS";#N/A,#N/A,FALSE,"RACT2.XLS";#N/A,#N/A,FALSE,"ECCMP";#N/A,#N/A,FALSE,"WELDER.XLS"}</definedName>
    <definedName name="vbn" localSheetId="0" hidden="1">{#N/A,#N/A,FALSE,"COVER.XLS";#N/A,#N/A,FALSE,"RACT1.XLS";#N/A,#N/A,FALSE,"RACT2.XLS";#N/A,#N/A,FALSE,"ECCMP";#N/A,#N/A,FALSE,"WELDER.XLS"}</definedName>
    <definedName name="vbn" hidden="1">{#N/A,#N/A,FALSE,"COVER.XLS";#N/A,#N/A,FALSE,"RACT1.XLS";#N/A,#N/A,FALSE,"RACT2.XLS";#N/A,#N/A,FALSE,"ECCMP";#N/A,#N/A,FALSE,"WELDER.XLS"}</definedName>
    <definedName name="vgjh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jsfnzxb.xcv" localSheetId="2">#REF!</definedName>
    <definedName name="vjsfnzxb.xcv">#REF!</definedName>
    <definedName name="VML" localSheetId="2">'[20]POP SALARY '!#REF!</definedName>
    <definedName name="VML">'[20]POP SALARY '!#REF!</definedName>
    <definedName name="vvv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v" localSheetId="1" hidden="1">{#N/A,#N/A,FALSE,"17MAY";#N/A,#N/A,FALSE,"24MAY"}</definedName>
    <definedName name="vvvv" localSheetId="0" hidden="1">{#N/A,#N/A,FALSE,"17MAY";#N/A,#N/A,FALSE,"24MAY"}</definedName>
    <definedName name="vvvv" hidden="1">{#N/A,#N/A,FALSE,"17MAY";#N/A,#N/A,FALSE,"24MAY"}</definedName>
    <definedName name="vvvvv" localSheetId="1" hidden="1">{#N/A,#N/A,FALSE,"COVER.XLS";#N/A,#N/A,FALSE,"RACT1.XLS";#N/A,#N/A,FALSE,"RACT2.XLS";#N/A,#N/A,FALSE,"ECCMP";#N/A,#N/A,FALSE,"WELDER.XLS"}</definedName>
    <definedName name="vvvvv" localSheetId="0" hidden="1">{#N/A,#N/A,FALSE,"COVER.XLS";#N/A,#N/A,FALSE,"RACT1.XLS";#N/A,#N/A,FALSE,"RACT2.XLS";#N/A,#N/A,FALSE,"ECCMP";#N/A,#N/A,FALSE,"WELDER.XLS"}</definedName>
    <definedName name="vvvvv" hidden="1">{#N/A,#N/A,FALSE,"COVER.XLS";#N/A,#N/A,FALSE,"RACT1.XLS";#N/A,#N/A,FALSE,"RACT2.XLS";#N/A,#N/A,FALSE,"ECCMP";#N/A,#N/A,FALSE,"WELDER.XLS"}</definedName>
    <definedName name="w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d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ELSPUN" localSheetId="1" hidden="1">{#N/A,#N/A,FALSE,"profile ";#N/A,#N/A,FALSE,"rank";#N/A,#N/A,FALSE,"overbase";#N/A,#N/A,FALSE,"overcash";#N/A,#N/A,FALSE,"overtfp";#N/A,#N/A,FALSE,"overtcc"}</definedName>
    <definedName name="WELSPUN" localSheetId="0" hidden="1">{#N/A,#N/A,FALSE,"profile ";#N/A,#N/A,FALSE,"rank";#N/A,#N/A,FALSE,"overbase";#N/A,#N/A,FALSE,"overcash";#N/A,#N/A,FALSE,"overtfp";#N/A,#N/A,FALSE,"overtcc"}</definedName>
    <definedName name="WELSPUN" hidden="1">{#N/A,#N/A,FALSE,"profile ";#N/A,#N/A,FALSE,"rank";#N/A,#N/A,FALSE,"overbase";#N/A,#N/A,FALSE,"overcash";#N/A,#N/A,FALSE,"overtfp";#N/A,#N/A,FALSE,"overtcc"}</definedName>
    <definedName name="welupect" localSheetId="2" hidden="1">#REF!</definedName>
    <definedName name="welupect" hidden="1">#REF!</definedName>
    <definedName name="wr" localSheetId="1" hidden="1">{#N/A,#N/A,FALSE,"17MAY";#N/A,#N/A,FALSE,"24MAY"}</definedName>
    <definedName name="wr" localSheetId="0" hidden="1">{#N/A,#N/A,FALSE,"17MAY";#N/A,#N/A,FALSE,"24MAY"}</definedName>
    <definedName name="wr" hidden="1">{#N/A,#N/A,FALSE,"17MAY";#N/A,#N/A,FALSE,"24MAY"}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2.2" localSheetId="1" hidden="1">{#N/A,#N/A,FALSE,"17MAY";#N/A,#N/A,FALSE,"24MAY"}</definedName>
    <definedName name="wrn.2.2" localSheetId="0" hidden="1">{#N/A,#N/A,FALSE,"17MAY";#N/A,#N/A,FALSE,"24MAY"}</definedName>
    <definedName name="wrn.2.2" hidden="1">{#N/A,#N/A,FALSE,"17MAY";#N/A,#N/A,FALSE,"24MAY"}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.ALL.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BSPL." localSheetId="1" hidden="1">{"BS",#N/A,FALSE,"Accounts2002 New";"PL",#N/A,FALSE,"Accounts2002 New"}</definedName>
    <definedName name="wrn.BSPL." localSheetId="0" hidden="1">{"BS",#N/A,FALSE,"Accounts2002 New";"PL",#N/A,FALSE,"Accounts2002 New"}</definedName>
    <definedName name="wrn.BSPL." hidden="1">{"BS",#N/A,FALSE,"Accounts2002 New";"PL",#N/A,FALSE,"Accounts2002 New"}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atapak." localSheetId="1" hidden="1">{#N/A,#N/A,FALSE,"Status of Projects";#N/A,#N/A,FALSE,"CEA-TEC";#N/A,#N/A,FALSE,"U-Constr.";#N/A,#N/A,FALSE,"summary";#N/A,#N/A,FALSE,"PPP-3 yrs"}</definedName>
    <definedName name="wrn.datapak." localSheetId="0" hidden="1">{#N/A,#N/A,FALSE,"Status of Projects";#N/A,#N/A,FALSE,"CEA-TEC";#N/A,#N/A,FALSE,"U-Constr.";#N/A,#N/A,FALSE,"summary";#N/A,#N/A,FALSE,"PPP-3 yrs"}</definedName>
    <definedName name="wrn.datapak." hidden="1">{#N/A,#N/A,FALSE,"Status of Projects";#N/A,#N/A,FALSE,"CEA-TEC";#N/A,#N/A,FALSE,"U-Constr.";#N/A,#N/A,FALSE,"summary";#N/A,#N/A,FALSE,"PPP-3 yrs"}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elopment._.Hours." localSheetId="1" hidden="1">{#N/A,#N/A,FALSE,"July 95";#N/A,#N/A,FALSE,"Aug 95";#N/A,#N/A,FALSE,"Sep 95";#N/A,#N/A,FALSE,"October 95"}</definedName>
    <definedName name="wrn.Development._.Hours." localSheetId="0" hidden="1">{#N/A,#N/A,FALSE,"July 95";#N/A,#N/A,FALSE,"Aug 95";#N/A,#N/A,FALSE,"Sep 95";#N/A,#N/A,FALSE,"October 95"}</definedName>
    <definedName name="wrn.Development._.Hours." hidden="1">{#N/A,#N/A,FALSE,"July 95";#N/A,#N/A,FALSE,"Aug 95";#N/A,#N/A,FALSE,"Sep 95";#N/A,#N/A,FALSE,"October 95"}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inal.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.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ORM1." localSheetId="1" hidden="1">{#N/A,#N/A,FALSE,"COMP"}</definedName>
    <definedName name="wrn.FORM1." localSheetId="0" hidden="1">{#N/A,#N/A,FALSE,"COMP"}</definedName>
    <definedName name="wrn.FORM1." hidden="1">{#N/A,#N/A,FALSE,"COMP"}</definedName>
    <definedName name="wrn.full." localSheetId="1" hidden="1">{#N/A,#N/A,FALSE,"Cover";#N/A,#N/A,FALSE,"Pres ";#N/A,#N/A,FALSE,"Outputs";#N/A,#N/A,FALSE,"Sensitivities";#N/A,#N/A,FALSE,"Graphs";#N/A,#N/A,FALSE,"DCF I (In)"}</definedName>
    <definedName name="wrn.full." localSheetId="0" hidden="1">{#N/A,#N/A,FALSE,"Cover";#N/A,#N/A,FALSE,"Pres ";#N/A,#N/A,FALSE,"Outputs";#N/A,#N/A,FALSE,"Sensitivities";#N/A,#N/A,FALSE,"Graphs";#N/A,#N/A,FALSE,"DCF I (In)"}</definedName>
    <definedName name="wrn.full." hidden="1">{#N/A,#N/A,FALSE,"Cover";#N/A,#N/A,FALSE,"Pres ";#N/A,#N/A,FALSE,"Outputs";#N/A,#N/A,FALSE,"Sensitivities";#N/A,#N/A,FALSE,"Graphs";#N/A,#N/A,FALSE,"DCF I (In)"}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GRAPHS." localSheetId="1" hidden="1">{#N/A,#N/A,FALSE,"ACQ_GRAPHS";#N/A,#N/A,FALSE,"T_1 GRAPHS";#N/A,#N/A,FALSE,"T_2 GRAPHS";#N/A,#N/A,FALSE,"COMB_GRAPHS"}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Monthly._.Act._.P_L." localSheetId="1" hidden="1">{"Monthly",#N/A,FALSE,"1.2"}</definedName>
    <definedName name="wrn.Monthly._.Act._.P_L." localSheetId="0" hidden="1">{"Monthly",#N/A,FALSE,"1.2"}</definedName>
    <definedName name="wrn.Monthly._.Act._.P_L." hidden="1">{"Monthly",#N/A,FALSE,"1.2"}</definedName>
    <definedName name="wrn.Mor._.Pack._.January." localSheetId="1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" localSheetId="0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localSheetId="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" localSheetId="0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localSheetId="1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" localSheetId="0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localSheetId="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" localSheetId="0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One._.Pager._.plus._.Technicals." localSheetId="1" hidden="1">{#N/A,#N/A,FALSE,"One Pager";#N/A,#N/A,FALSE,"Technical"}</definedName>
    <definedName name="wrn.One._.Pager._.plus._.Technicals." localSheetId="0" hidden="1">{#N/A,#N/A,FALSE,"One Pager";#N/A,#N/A,FALSE,"Technical"}</definedName>
    <definedName name="wrn.One._.Pager._.plus._.Technicals." hidden="1">{#N/A,#N/A,FALSE,"One Pager";#N/A,#N/A,FALSE,"Technical"}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olaroid." localSheetId="1" hidden="1">{#N/A,#N/A,FALSE,"profile ";#N/A,#N/A,FALSE,"rank";#N/A,#N/A,FALSE,"overbase";#N/A,#N/A,FALSE,"overcash";#N/A,#N/A,FALSE,"overtfp";#N/A,#N/A,FALSE,"overtcc"}</definedName>
    <definedName name="wrn.polaroid." localSheetId="0" hidden="1">{#N/A,#N/A,FALSE,"profile ";#N/A,#N/A,FALSE,"rank";#N/A,#N/A,FALSE,"overbase";#N/A,#N/A,FALSE,"overcash";#N/A,#N/A,FALSE,"overtfp";#N/A,#N/A,FALSE,"overtcc"}</definedName>
    <definedName name="wrn.polaroid." hidden="1">{#N/A,#N/A,FALSE,"profile ";#N/A,#N/A,FALSE,"rank";#N/A,#N/A,FALSE,"overbase";#N/A,#N/A,FALSE,"overcash";#N/A,#N/A,FALSE,"overtfp";#N/A,#N/A,FALSE,"overtcc"}</definedName>
    <definedName name="wrn.polaroid._1" localSheetId="1" hidden="1">{#N/A,#N/A,FALSE,"profile ";#N/A,#N/A,FALSE,"rank";#N/A,#N/A,FALSE,"overbase";#N/A,#N/A,FALSE,"overcash";#N/A,#N/A,FALSE,"overtfp";#N/A,#N/A,FALSE,"overtcc"}</definedName>
    <definedName name="wrn.polaroid._1" localSheetId="0" hidden="1">{#N/A,#N/A,FALSE,"profile ";#N/A,#N/A,FALSE,"rank";#N/A,#N/A,FALSE,"overbase";#N/A,#N/A,FALSE,"overcash";#N/A,#N/A,FALSE,"overtfp";#N/A,#N/A,FALSE,"overtcc"}</definedName>
    <definedName name="wrn.polaroid._1" hidden="1">{#N/A,#N/A,FALSE,"profile ";#N/A,#N/A,FALSE,"rank";#N/A,#N/A,FALSE,"overbase";#N/A,#N/A,FALSE,"overcash";#N/A,#N/A,FALSE,"overtfp";#N/A,#N/A,FALSE,"overtcc"}</definedName>
    <definedName name="wrn.polymwe." localSheetId="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" localSheetId="0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." localSheetId="1" hidden="1">{"vi1",#N/A,FALSE,"Financial Statements";"vi2",#N/A,FALSE,"Financial Statements";#N/A,#N/A,FALSE,"DCF"}</definedName>
    <definedName name="wrn.Print." localSheetId="0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standalone." localSheetId="1" hidden="1">{"standalone1",#N/A,FALSE,"DCFBase";"standalone2",#N/A,FALSE,"DCFBase"}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Qtrs_PL." localSheetId="1" hidden="1">{"Quarters",#N/A,FALSE,"1.2"}</definedName>
    <definedName name="wrn.Qtrs_PL." localSheetId="0" hidden="1">{"Quarters",#N/A,FALSE,"1.2"}</definedName>
    <definedName name="wrn.Qtrs_PL." hidden="1">{"Quarters",#N/A,FALSE,"1.2"}</definedName>
    <definedName name="wrn.RCC." localSheetId="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eport1" localSheetId="1" hidden="1">{#N/A,#N/A,FALSE,"COVER.XLS";#N/A,#N/A,FALSE,"RACT1.XLS";#N/A,#N/A,FALSE,"RACT2.XLS";#N/A,#N/A,FALSE,"ECCMP";#N/A,#N/A,FALSE,"WELDER.XLS"}</definedName>
    <definedName name="wrn.report1" localSheetId="0" hidden="1">{#N/A,#N/A,FALSE,"COVER.XLS";#N/A,#N/A,FALSE,"RACT1.XLS";#N/A,#N/A,FALSE,"RACT2.XLS";#N/A,#N/A,FALSE,"ECCMP";#N/A,#N/A,FALSE,"WELDER.XLS"}</definedName>
    <definedName name="wrn.report1" hidden="1">{#N/A,#N/A,FALSE,"COVER.XLS";#N/A,#N/A,FALSE,"RACT1.XLS";#N/A,#N/A,FALSE,"RACT2.XLS";#N/A,#N/A,FALSE,"ECCMP";#N/A,#N/A,FALSE,"WELDER.XLS"}</definedName>
    <definedName name="wrn.Report1." localSheetId="1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1." localSheetId="0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t." localSheetId="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ts." localSheetId="1" hidden="1">{#N/A,#N/A,TRUE,"Services";#N/A,#N/A,TRUE,"Sales - QM";#N/A,#N/A,TRUE,"Sales - HC";#N/A,#N/A,TRUE,"Int'l";#N/A,#N/A,TRUE,"PW Institute";#N/A,#N/A,TRUE,"Mktg Dept";#N/A,#N/A,TRUE,"R&amp;D";#N/A,#N/A,TRUE,"G&amp;A"}</definedName>
    <definedName name="wrn.rpts." localSheetId="0" hidden="1">{#N/A,#N/A,TRUE,"Services";#N/A,#N/A,TRUE,"Sales - QM";#N/A,#N/A,TRUE,"Sales - HC";#N/A,#N/A,TRUE,"Int'l";#N/A,#N/A,TRUE,"PW Institute";#N/A,#N/A,TRUE,"Mktg Dept";#N/A,#N/A,TRUE,"R&amp;D";#N/A,#N/A,TRUE,"G&amp;A"}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Schedules." localSheetId="1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hedules." localSheetId="0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ITARECCO.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tus." localSheetId="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" localSheetId="0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umm1" localSheetId="1" hidden="1">{#N/A,#N/A,FALSE,"COVER1.XLS ";#N/A,#N/A,FALSE,"RACT1.XLS";#N/A,#N/A,FALSE,"RACT2.XLS";#N/A,#N/A,FALSE,"ECCMP";#N/A,#N/A,FALSE,"WELDER.XLS"}</definedName>
    <definedName name="wrn.summ1" localSheetId="0" hidden="1">{#N/A,#N/A,FALSE,"COVER1.XLS ";#N/A,#N/A,FALSE,"RACT1.XLS";#N/A,#N/A,FALSE,"RACT2.XLS";#N/A,#N/A,FALSE,"ECCMP";#N/A,#N/A,FALSE,"WELDER.XLS"}</definedName>
    <definedName name="wrn.summ1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YTD_ROY_PL." localSheetId="1" hidden="1">{"ROY_YTD",#N/A,FALSE,"1.2"}</definedName>
    <definedName name="wrn.YTD_ROY_PL." localSheetId="0" hidden="1">{"ROY_YTD",#N/A,FALSE,"1.2"}</definedName>
    <definedName name="wrn.YTD_ROY_PL." hidden="1">{"ROY_YTD",#N/A,FALSE,"1.2"}</definedName>
    <definedName name="wrn1.repot" localSheetId="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2.ALL." localSheetId="1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ALL." localSheetId="0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TTSPG" localSheetId="2">[7]Input_B_V!#REF!</definedName>
    <definedName name="WTTSPG">[7]Input_B_V!#REF!</definedName>
    <definedName name="wvu.a." localSheetId="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wvu.a." localSheetId="0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wvu.a.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wvu.BTP." localSheetId="1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wvu.BTP." localSheetId="0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wvu.BTP.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wvu.KTP." localSheetId="1" hidden="1">{TRUE,TRUE,7.75,2.5,467.25,234,FALSE,TRUE,TRUE,TRUE,0,10,#N/A,73,#N/A,3.96551724137931,9.17857142857143,1,FALSE,FALSE,1,TRUE,1,FALSE,100,"Swvu.KTP.","ACwvu.KTP.",#N/A,FALSE,FALSE,0.5,0.75,0.5,0.5,2,"","",TRUE,TRUE,FALSE,FALSE,1,#N/A,1,1,"=R2C1:R75C2",FALSE,#N/A,#N/A,FALSE,FALSE,FALSE,8,180,180,FALSE,FALSE,TRUE,TRUE,TRUE}</definedName>
    <definedName name="wvu.KTP." localSheetId="0" hidden="1">{TRUE,TRUE,7.75,2.5,467.25,234,FALSE,TRUE,TRUE,TRUE,0,10,#N/A,73,#N/A,3.96551724137931,9.17857142857143,1,FALSE,FALSE,1,TRUE,1,FALSE,100,"Swvu.KTP.","ACwvu.KTP.",#N/A,FALSE,FALSE,0.5,0.75,0.5,0.5,2,"","",TRUE,TRUE,FALSE,FALSE,1,#N/A,1,1,"=R2C1:R75C2",FALSE,#N/A,#N/A,FALSE,FALSE,FALSE,8,180,180,FALSE,FALSE,TRUE,TRUE,TRUE}</definedName>
    <definedName name="wvu.KTP." hidden="1">{TRUE,TRUE,7.75,2.5,467.25,234,FALSE,TRUE,TRUE,TRUE,0,10,#N/A,73,#N/A,3.96551724137931,9.17857142857143,1,FALSE,FALSE,1,TRUE,1,FALSE,100,"Swvu.KTP.","ACwvu.KTP.",#N/A,FALSE,FALSE,0.5,0.75,0.5,0.5,2,"","",TRUE,TRUE,FALSE,FALSE,1,#N/A,1,1,"=R2C1:R75C2",FALSE,#N/A,#N/A,FALSE,FALSE,FALSE,8,180,180,FALSE,FALSE,TRUE,TRUE,TRUE}</definedName>
    <definedName name="wvu.TOTAL." localSheetId="1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wvu.TOTAL." localSheetId="0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wvu.TOTAL.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ww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_1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_1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ww" localSheetId="2" hidden="1">#REF!</definedName>
    <definedName name="wwwww" hidden="1">#REF!</definedName>
    <definedName name="x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REF_COLUMN_6" localSheetId="2" hidden="1">'[56]TOP SHEET'!#REF!</definedName>
    <definedName name="XREF_COLUMN_6" hidden="1">'[56]TOP SHEET'!#REF!</definedName>
    <definedName name="XRefColumnsCount" hidden="1">11</definedName>
    <definedName name="XRefCopyRangeCount" hidden="1">29</definedName>
    <definedName name="XRefPasteRangeCount" hidden="1">378</definedName>
    <definedName name="xy" localSheetId="1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" localSheetId="0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 localSheetId="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xyz" localSheetId="0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xyz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yes" localSheetId="2" hidden="1">#REF!</definedName>
    <definedName name="yes" hidden="1">#REF!</definedName>
    <definedName name="yes1" localSheetId="2" hidden="1">#REF!</definedName>
    <definedName name="yes1" hidden="1">#REF!</definedName>
    <definedName name="yop1" localSheetId="2" hidden="1">#REF!</definedName>
    <definedName name="yop1" hidden="1">#REF!</definedName>
    <definedName name="YSTable">'[27]YS-Bud'!$A$11:$Y$133</definedName>
    <definedName name="Z" localSheetId="2">#REF!</definedName>
    <definedName name="Z">#REF!</definedName>
    <definedName name="zep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x" localSheetId="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" localSheetId="0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zzzz" localSheetId="1" hidden="1">{#N/A,#N/A,FALSE,"COVER1.XLS ";#N/A,#N/A,FALSE,"RACT1.XLS";#N/A,#N/A,FALSE,"RACT2.XLS";#N/A,#N/A,FALSE,"ECCMP";#N/A,#N/A,FALSE,"WELDER.XLS"}</definedName>
    <definedName name="zzzzz" localSheetId="0" hidden="1">{#N/A,#N/A,FALSE,"COVER1.XLS ";#N/A,#N/A,FALSE,"RACT1.XLS";#N/A,#N/A,FALSE,"RACT2.XLS";#N/A,#N/A,FALSE,"ECCMP";#N/A,#N/A,FALSE,"WELDER.XLS"}</definedName>
    <definedName name="zzzzz" hidden="1">{#N/A,#N/A,FALSE,"COVER1.XLS ";#N/A,#N/A,FALSE,"RACT1.XLS";#N/A,#N/A,FALSE,"RACT2.XLS";#N/A,#N/A,FALSE,"ECCMP";#N/A,#N/A,FALSE,"WELDER.XLS"}</definedName>
    <definedName name="zzzzzz" localSheetId="1" hidden="1">{#N/A,#N/A,FALSE,"COVER.XLS";#N/A,#N/A,FALSE,"RACT1.XLS";#N/A,#N/A,FALSE,"RACT2.XLS";#N/A,#N/A,FALSE,"ECCMP";#N/A,#N/A,FALSE,"WELDER.XLS"}</definedName>
    <definedName name="zzzzzz" localSheetId="0" hidden="1">{#N/A,#N/A,FALSE,"COVER.XLS";#N/A,#N/A,FALSE,"RACT1.XLS";#N/A,#N/A,FALSE,"RACT2.XLS";#N/A,#N/A,FALSE,"ECCMP";#N/A,#N/A,FALSE,"WELDER.XLS"}</definedName>
    <definedName name="zzzzzz" hidden="1">{#N/A,#N/A,FALSE,"COVER.XLS";#N/A,#N/A,FALSE,"RACT1.XLS";#N/A,#N/A,FALSE,"RACT2.XLS";#N/A,#N/A,FALSE,"ECCMP";#N/A,#N/A,FALSE,"WELDER.XLS"}</definedName>
    <definedName name="zzzzzzz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zzzzzzz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zzzzzzz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zzzzzzzzzzzz" localSheetId="1" hidden="1">{#N/A,#N/A,FALSE,"COVER.XLS";#N/A,#N/A,FALSE,"RACT1.XLS";#N/A,#N/A,FALSE,"RACT2.XLS";#N/A,#N/A,FALSE,"ECCMP";#N/A,#N/A,FALSE,"WELDER.XLS"}</definedName>
    <definedName name="zzzzzzzzzzzz" localSheetId="0" hidden="1">{#N/A,#N/A,FALSE,"COVER.XLS";#N/A,#N/A,FALSE,"RACT1.XLS";#N/A,#N/A,FALSE,"RACT2.XLS";#N/A,#N/A,FALSE,"ECCMP";#N/A,#N/A,FALSE,"WELDER.XLS"}</definedName>
    <definedName name="zzzzzzzzzzzz" hidden="1">{#N/A,#N/A,FALSE,"COVER.XLS";#N/A,#N/A,FALSE,"RACT1.XLS";#N/A,#N/A,FALSE,"RACT2.XLS";#N/A,#N/A,FALSE,"ECCMP";#N/A,#N/A,FALSE,"WELDER.XLS"}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32" i="3"/>
  <c r="G26" i="3"/>
  <c r="M26" i="3" s="1"/>
  <c r="Q26" i="3" s="1"/>
  <c r="G24" i="3"/>
  <c r="Q135" i="3"/>
  <c r="Q134" i="3"/>
  <c r="Q133" i="3"/>
  <c r="Q132" i="3"/>
  <c r="Q131" i="3"/>
  <c r="Q130" i="3"/>
  <c r="Q129" i="3"/>
  <c r="Q128" i="3"/>
  <c r="Q127" i="3"/>
  <c r="K127" i="3"/>
  <c r="Q126" i="3"/>
  <c r="Q113" i="3"/>
  <c r="Q112" i="3"/>
  <c r="Q111" i="3"/>
  <c r="Q110" i="3"/>
  <c r="Q109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6" i="3"/>
  <c r="Q45" i="3"/>
  <c r="Q44" i="3"/>
  <c r="Q42" i="3"/>
  <c r="Q40" i="3"/>
  <c r="Q37" i="3"/>
  <c r="Q36" i="3"/>
  <c r="Q35" i="3"/>
  <c r="Q34" i="3"/>
  <c r="Q33" i="3"/>
  <c r="M32" i="3"/>
  <c r="Q32" i="3" s="1"/>
  <c r="M31" i="3"/>
  <c r="Q31" i="3" s="1"/>
  <c r="M30" i="3"/>
  <c r="Q30" i="3" s="1"/>
  <c r="M29" i="3"/>
  <c r="Q29" i="3" s="1"/>
  <c r="M28" i="3"/>
  <c r="Q28" i="3" s="1"/>
  <c r="M27" i="3"/>
  <c r="Q27" i="3" s="1"/>
  <c r="Q25" i="3"/>
  <c r="M24" i="3"/>
  <c r="Q24" i="3" s="1"/>
  <c r="Q23" i="3"/>
  <c r="Q22" i="3"/>
  <c r="Q21" i="3"/>
  <c r="Q20" i="3"/>
  <c r="Q19" i="3"/>
  <c r="Q18" i="3"/>
  <c r="Q17" i="3"/>
  <c r="Q15" i="3"/>
  <c r="Q14" i="3"/>
  <c r="Q13" i="3"/>
  <c r="Q12" i="3"/>
  <c r="Q11" i="3"/>
  <c r="Q10" i="3"/>
  <c r="Q8" i="3"/>
  <c r="Q7" i="3"/>
  <c r="Q6" i="3"/>
  <c r="Q5" i="3"/>
  <c r="Q4" i="3"/>
  <c r="Q3" i="3"/>
  <c r="G30" i="1" l="1"/>
  <c r="I30" i="1" s="1"/>
  <c r="G125" i="3" s="1"/>
  <c r="M125" i="3" s="1"/>
  <c r="Q125" i="3" s="1"/>
  <c r="E30" i="1"/>
  <c r="G29" i="1"/>
  <c r="I29" i="1" s="1"/>
  <c r="G124" i="3" s="1"/>
  <c r="M124" i="3" s="1"/>
  <c r="Q124" i="3" s="1"/>
  <c r="E29" i="1"/>
  <c r="G28" i="1"/>
  <c r="I28" i="1" s="1"/>
  <c r="G123" i="3" s="1"/>
  <c r="M123" i="3" s="1"/>
  <c r="Q123" i="3" s="1"/>
  <c r="E28" i="1"/>
  <c r="G27" i="1"/>
  <c r="I27" i="1" s="1"/>
  <c r="G122" i="3" s="1"/>
  <c r="M122" i="3" s="1"/>
  <c r="Q122" i="3" s="1"/>
  <c r="E27" i="1"/>
  <c r="G26" i="1"/>
  <c r="I26" i="1" s="1"/>
  <c r="G121" i="3" s="1"/>
  <c r="M121" i="3" s="1"/>
  <c r="Q121" i="3" s="1"/>
  <c r="E26" i="1"/>
  <c r="G25" i="1"/>
  <c r="I25" i="1" s="1"/>
  <c r="G120" i="3" s="1"/>
  <c r="M120" i="3" s="1"/>
  <c r="Q120" i="3" s="1"/>
  <c r="E25" i="1"/>
  <c r="G24" i="1"/>
  <c r="I24" i="1" s="1"/>
  <c r="G119" i="3" s="1"/>
  <c r="M119" i="3" s="1"/>
  <c r="Q119" i="3" s="1"/>
  <c r="E24" i="1"/>
  <c r="G23" i="1"/>
  <c r="I23" i="1" s="1"/>
  <c r="G118" i="3" s="1"/>
  <c r="M118" i="3" s="1"/>
  <c r="Q118" i="3" s="1"/>
  <c r="E23" i="1"/>
  <c r="G22" i="1"/>
  <c r="I22" i="1" s="1"/>
  <c r="G117" i="3" s="1"/>
  <c r="M117" i="3" s="1"/>
  <c r="Q117" i="3" s="1"/>
  <c r="E22" i="1"/>
  <c r="G21" i="1"/>
  <c r="I21" i="1" s="1"/>
  <c r="G116" i="3" s="1"/>
  <c r="M116" i="3" s="1"/>
  <c r="Q116" i="3" s="1"/>
  <c r="E21" i="1"/>
  <c r="G20" i="1"/>
  <c r="I20" i="1" s="1"/>
  <c r="G115" i="3" s="1"/>
  <c r="M115" i="3" s="1"/>
  <c r="Q115" i="3" s="1"/>
  <c r="E20" i="1"/>
  <c r="G19" i="1"/>
  <c r="I19" i="1" s="1"/>
  <c r="G114" i="3" s="1"/>
  <c r="M114" i="3" s="1"/>
  <c r="Q114" i="3" s="1"/>
  <c r="E19" i="1"/>
  <c r="G18" i="1"/>
  <c r="I18" i="1" s="1"/>
  <c r="E18" i="1"/>
  <c r="G17" i="1"/>
  <c r="I17" i="1" s="1"/>
  <c r="G107" i="3" s="1"/>
  <c r="M107" i="3" s="1"/>
  <c r="E17" i="1"/>
  <c r="G16" i="1"/>
  <c r="I16" i="1" s="1"/>
  <c r="G106" i="3" s="1"/>
  <c r="M106" i="3" s="1"/>
  <c r="Q106" i="3" s="1"/>
  <c r="E16" i="1"/>
  <c r="G15" i="1"/>
  <c r="I15" i="1" s="1"/>
  <c r="G105" i="3" s="1"/>
  <c r="M105" i="3" s="1"/>
  <c r="Q105" i="3" s="1"/>
  <c r="E15" i="1"/>
  <c r="G14" i="1"/>
  <c r="I14" i="1" s="1"/>
  <c r="G104" i="3" s="1"/>
  <c r="M104" i="3" s="1"/>
  <c r="Q104" i="3" s="1"/>
  <c r="E14" i="1"/>
  <c r="G13" i="1"/>
  <c r="I13" i="1" s="1"/>
  <c r="G103" i="3" s="1"/>
  <c r="M103" i="3" s="1"/>
  <c r="Q103" i="3" s="1"/>
  <c r="E13" i="1"/>
  <c r="G12" i="1"/>
  <c r="I12" i="1" s="1"/>
  <c r="G47" i="3" s="1"/>
  <c r="M47" i="3" s="1"/>
  <c r="Q47" i="3" s="1"/>
  <c r="E12" i="1"/>
  <c r="G11" i="1"/>
  <c r="I11" i="1" s="1"/>
  <c r="G43" i="3" s="1"/>
  <c r="M43" i="3" s="1"/>
  <c r="Q43" i="3" s="1"/>
  <c r="E11" i="1"/>
  <c r="G10" i="1"/>
  <c r="I10" i="1" s="1"/>
  <c r="G41" i="3" s="1"/>
  <c r="M41" i="3" s="1"/>
  <c r="Q41" i="3" s="1"/>
  <c r="E10" i="1"/>
  <c r="G9" i="1"/>
  <c r="I9" i="1" s="1"/>
  <c r="G39" i="3" s="1"/>
  <c r="M39" i="3" s="1"/>
  <c r="Q39" i="3" s="1"/>
  <c r="E9" i="1"/>
  <c r="G8" i="1"/>
  <c r="I8" i="1" s="1"/>
  <c r="G38" i="3" s="1"/>
  <c r="M38" i="3" s="1"/>
  <c r="Q38" i="3" s="1"/>
  <c r="E8" i="1"/>
  <c r="G7" i="1"/>
  <c r="I7" i="1" s="1"/>
  <c r="E7" i="1"/>
  <c r="G6" i="1"/>
  <c r="I6" i="1" s="1"/>
  <c r="E6" i="1"/>
  <c r="G5" i="1"/>
  <c r="I5" i="1" s="1"/>
  <c r="E5" i="1"/>
  <c r="G4" i="1"/>
  <c r="I4" i="1" s="1"/>
  <c r="G16" i="3" s="1"/>
  <c r="M16" i="3" s="1"/>
  <c r="Q16" i="3" s="1"/>
  <c r="E4" i="1"/>
  <c r="G3" i="1"/>
  <c r="I3" i="1" s="1"/>
  <c r="G9" i="3" s="1"/>
  <c r="M9" i="3" s="1"/>
  <c r="Q9" i="3" s="1"/>
  <c r="E3" i="1"/>
  <c r="G2" i="1"/>
  <c r="I2" i="1" s="1"/>
  <c r="G2" i="3" s="1"/>
  <c r="M2" i="3" s="1"/>
  <c r="Q2" i="3" s="1"/>
  <c r="E2" i="1"/>
  <c r="M108" i="3" l="1"/>
  <c r="Q108" i="3" s="1"/>
  <c r="Q107" i="3"/>
</calcChain>
</file>

<file path=xl/comments1.xml><?xml version="1.0" encoding="utf-8"?>
<comments xmlns="http://schemas.openxmlformats.org/spreadsheetml/2006/main">
  <authors>
    <author>MirzaAli Jaffer</author>
  </authors>
  <commentList>
    <comment ref="G2" authorId="0" shapeId="0">
      <text>
        <r>
          <rPr>
            <b/>
            <sz val="10"/>
            <color indexed="81"/>
            <rFont val="Tahoma"/>
            <charset val="1"/>
          </rPr>
          <t>MirzaAli Jaffer:</t>
        </r>
        <r>
          <rPr>
            <sz val="10"/>
            <color indexed="81"/>
            <rFont val="Tahoma"/>
            <charset val="1"/>
          </rPr>
          <t xml:space="preserve">
J2 is BP
</t>
        </r>
      </text>
    </comment>
    <comment ref="M2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in BCF we are using the 2nd logic</t>
        </r>
      </text>
    </comment>
    <comment ref="I3" authorId="0" shapeId="0">
      <text>
        <r>
          <rPr>
            <b/>
            <sz val="10"/>
            <color indexed="81"/>
            <rFont val="Tahoma"/>
            <charset val="1"/>
          </rPr>
          <t>MirzaAli Jaffer:</t>
        </r>
        <r>
          <rPr>
            <sz val="10"/>
            <color indexed="81"/>
            <rFont val="Tahoma"/>
            <charset val="1"/>
          </rPr>
          <t xml:space="preserve">
How many number of shifts for fixed type mp?</t>
        </r>
      </text>
    </comment>
    <comment ref="G9" authorId="0" shapeId="0">
      <text>
        <r>
          <rPr>
            <b/>
            <sz val="10"/>
            <color indexed="81"/>
            <rFont val="Tahoma"/>
            <charset val="1"/>
          </rPr>
          <t>MirzaAli Jaffer:</t>
        </r>
        <r>
          <rPr>
            <sz val="10"/>
            <color indexed="81"/>
            <rFont val="Tahoma"/>
            <charset val="1"/>
          </rPr>
          <t xml:space="preserve">
J18 is BP. U18 is capacity per machine</t>
        </r>
      </text>
    </comment>
    <comment ref="M9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in BCF we are using the 2nd logic</t>
        </r>
      </text>
    </comment>
    <comment ref="M16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in BCF we are using the 2nd logic</t>
        </r>
      </text>
    </comment>
    <comment ref="M24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in BCF we are using the 2nd logic</t>
        </r>
      </text>
    </comment>
    <comment ref="M26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in BCF we are using the 2nd logic</t>
        </r>
      </text>
    </comment>
    <comment ref="M32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in BCF we are using the 2nd logic</t>
        </r>
      </text>
    </comment>
    <comment ref="M104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we are using the 1st logic</t>
        </r>
      </text>
    </comment>
    <comment ref="M105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There are 3 logics that we applied to find Total HC Req. /Day
first one is just multiply into 3 shifts
Second is if Total HC Req. /Shift has decimal values lesser than .3, then ROUNDUP at per day
Third is shift buckets
Here we are using the 1st logic</t>
        </r>
      </text>
    </comment>
    <comment ref="M106" authorId="0" shapeId="0">
      <text>
        <r>
          <rPr>
            <b/>
            <sz val="10"/>
            <color indexed="81"/>
            <rFont val="Tahoma"/>
            <family val="2"/>
          </rPr>
          <t xml:space="preserve">MirzaAli Jaffer:
</t>
        </r>
        <r>
          <rPr>
            <sz val="10"/>
            <color indexed="81"/>
            <rFont val="Tahoma"/>
            <family val="2"/>
          </rPr>
          <t>Why is TFO scientific MP using the second roundup logic for the wrong case?</t>
        </r>
      </text>
    </comment>
  </commentList>
</comments>
</file>

<file path=xl/comments2.xml><?xml version="1.0" encoding="utf-8"?>
<comments xmlns="http://schemas.openxmlformats.org/spreadsheetml/2006/main">
  <authors>
    <author>MirzaAli Jaffer</author>
  </authors>
  <commentList>
    <comment ref="B17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Taken from Multiply</t>
        </r>
      </text>
    </comment>
    <comment ref="B18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Taken from Multiply</t>
        </r>
      </text>
    </comment>
    <comment ref="B19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Only Area Rugs - Foam req taken</t>
        </r>
      </text>
    </comment>
    <comment ref="B20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Explanation required for Tufting PPC data and req
</t>
        </r>
      </text>
    </comment>
    <comment ref="Q51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Taken from Multiply</t>
        </r>
      </text>
    </comment>
    <comment ref="R51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Taken from Multiply</t>
        </r>
      </text>
    </comment>
    <comment ref="S51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Only Area Rugs - Foam req taken</t>
        </r>
      </text>
    </comment>
    <comment ref="T51" authorId="0" shapeId="0">
      <text>
        <r>
          <rPr>
            <b/>
            <sz val="10"/>
            <color indexed="81"/>
            <rFont val="Tahoma"/>
            <family val="2"/>
          </rPr>
          <t>MirzaAli Jaffer:</t>
        </r>
        <r>
          <rPr>
            <sz val="10"/>
            <color indexed="81"/>
            <rFont val="Tahoma"/>
            <family val="2"/>
          </rPr>
          <t xml:space="preserve">
Explanation required for Tufting PPC data and req
</t>
        </r>
      </text>
    </comment>
  </commentList>
</comments>
</file>

<file path=xl/sharedStrings.xml><?xml version="1.0" encoding="utf-8"?>
<sst xmlns="http://schemas.openxmlformats.org/spreadsheetml/2006/main" count="817" uniqueCount="178">
  <si>
    <t>Section</t>
  </si>
  <si>
    <t>Machine</t>
  </si>
  <si>
    <t>Month</t>
  </si>
  <si>
    <t>Total Capacity/Day</t>
  </si>
  <si>
    <t>Total Capacity/Day/MC</t>
  </si>
  <si>
    <t>BP/Month</t>
  </si>
  <si>
    <t>BP/Day</t>
  </si>
  <si>
    <t>Available_MC</t>
  </si>
  <si>
    <t>Reqd_MC</t>
  </si>
  <si>
    <t>BCF</t>
  </si>
  <si>
    <t>POY</t>
  </si>
  <si>
    <t>Texturizing</t>
  </si>
  <si>
    <t>Parallel Winding</t>
  </si>
  <si>
    <t>Cabling</t>
  </si>
  <si>
    <t>Heat Set</t>
  </si>
  <si>
    <t>Superba Heat Set</t>
  </si>
  <si>
    <t>Power Heat Set</t>
  </si>
  <si>
    <t>Printing</t>
  </si>
  <si>
    <t>Printing-Chromojet</t>
  </si>
  <si>
    <t>Printing-Digital</t>
  </si>
  <si>
    <t>Coating</t>
  </si>
  <si>
    <t>Carpet Tiles</t>
  </si>
  <si>
    <t>W2W</t>
  </si>
  <si>
    <t>COPs</t>
  </si>
  <si>
    <t>PTST</t>
  </si>
  <si>
    <t>Assembly Winder</t>
  </si>
  <si>
    <t>TFO</t>
  </si>
  <si>
    <t>Autoclave</t>
  </si>
  <si>
    <t>Multiply</t>
  </si>
  <si>
    <t>Tufting</t>
  </si>
  <si>
    <t>1/10 Cutpile</t>
  </si>
  <si>
    <t>1/10 Infinity</t>
  </si>
  <si>
    <t>1/10 loop</t>
  </si>
  <si>
    <t>1/12 Infinity</t>
  </si>
  <si>
    <t>1/12 Rainbow</t>
  </si>
  <si>
    <t>1/8 Cut</t>
  </si>
  <si>
    <t>1/8 Cut Shifter</t>
  </si>
  <si>
    <t>1/8 Cut Shifter 12</t>
  </si>
  <si>
    <t>1/8 MLCL</t>
  </si>
  <si>
    <t>3/16 cut</t>
  </si>
  <si>
    <t>3/8 cut</t>
  </si>
  <si>
    <t>5/64 VLOC</t>
  </si>
  <si>
    <t>CSP</t>
  </si>
  <si>
    <t>Length Cutting</t>
  </si>
  <si>
    <t>Length Overedging</t>
  </si>
  <si>
    <t>Cross Cutting</t>
  </si>
  <si>
    <t>Combiline</t>
  </si>
  <si>
    <t>Table Cutting</t>
  </si>
  <si>
    <t>Manual Overedging</t>
  </si>
  <si>
    <t>1200/600</t>
  </si>
  <si>
    <t>Bar Tak</t>
  </si>
  <si>
    <t>3400/1800</t>
  </si>
  <si>
    <t>Packing Line</t>
  </si>
  <si>
    <t>3600/1300</t>
  </si>
  <si>
    <t>Units</t>
  </si>
  <si>
    <t>kgs</t>
  </si>
  <si>
    <t>sqm</t>
  </si>
  <si>
    <t>Printing-Digitial</t>
  </si>
  <si>
    <t xml:space="preserve">Coating </t>
  </si>
  <si>
    <t>Coating - Carpet Tiles</t>
  </si>
  <si>
    <t>Coating - W2W</t>
  </si>
  <si>
    <t>m</t>
  </si>
  <si>
    <t>Location</t>
  </si>
  <si>
    <t>Business</t>
  </si>
  <si>
    <t>Sr_No</t>
  </si>
  <si>
    <t>Dept_Machine_Name</t>
  </si>
  <si>
    <t>Designation</t>
  </si>
  <si>
    <t>Machine_Count</t>
  </si>
  <si>
    <t>Manpower_Base_Qty</t>
  </si>
  <si>
    <t>N_shifts</t>
  </si>
  <si>
    <t>W</t>
  </si>
  <si>
    <t>Workload</t>
  </si>
  <si>
    <t>Formulas</t>
  </si>
  <si>
    <t>BE_Scientific_Manpower</t>
  </si>
  <si>
    <t>Operator_Type</t>
  </si>
  <si>
    <t>Contractors</t>
  </si>
  <si>
    <t>Company_Associate</t>
  </si>
  <si>
    <t>BE_Final_Manpower</t>
  </si>
  <si>
    <t>General_Shift</t>
  </si>
  <si>
    <t>Shift_A</t>
  </si>
  <si>
    <t>Shift_B</t>
  </si>
  <si>
    <t>Shift_C</t>
  </si>
  <si>
    <t>Reliever</t>
  </si>
  <si>
    <t>Remarks</t>
  </si>
  <si>
    <t>Hyderabad</t>
  </si>
  <si>
    <t>Flooring</t>
  </si>
  <si>
    <t>Operator</t>
  </si>
  <si>
    <t>0.8 operators/machine - 2.5 winders/operator (2 winders/machine)</t>
  </si>
  <si>
    <t>Material Handling</t>
  </si>
  <si>
    <t>Spinning - Operator</t>
  </si>
  <si>
    <t>Data Entry</t>
  </si>
  <si>
    <t>G-Burnout</t>
  </si>
  <si>
    <t>H-DRYER (BCF+POY)</t>
  </si>
  <si>
    <t>Chips Charging</t>
  </si>
  <si>
    <t>0.5 operator/machine</t>
  </si>
  <si>
    <t>Dryer</t>
  </si>
  <si>
    <t>Spinning + Control Room</t>
  </si>
  <si>
    <t xml:space="preserve">Data Entry </t>
  </si>
  <si>
    <t>Burn Out</t>
  </si>
  <si>
    <t>PD Sample (M/C will install after 5 Month)</t>
  </si>
  <si>
    <t>2.5625 operator/machine</t>
  </si>
  <si>
    <t>Helper</t>
  </si>
  <si>
    <t>DOE</t>
  </si>
  <si>
    <t>Jobber</t>
  </si>
  <si>
    <t>Fitter</t>
  </si>
  <si>
    <t>Material Handler</t>
  </si>
  <si>
    <t>Paper Tube Sagrigation</t>
  </si>
  <si>
    <t>Roping (Mandays)</t>
  </si>
  <si>
    <t>2 operator/machine</t>
  </si>
  <si>
    <t>1 operator/machine</t>
  </si>
  <si>
    <t>4 operator/machine</t>
  </si>
  <si>
    <t>Paper Tube Sagrgation</t>
  </si>
  <si>
    <t>9 operator/machine</t>
  </si>
  <si>
    <t>Sample Machine</t>
  </si>
  <si>
    <t>6 operator/machine</t>
  </si>
  <si>
    <t>Fork lift</t>
  </si>
  <si>
    <t>21 operator/machine</t>
  </si>
  <si>
    <t>Calcium Loading</t>
  </si>
  <si>
    <t>Pearl Mill</t>
  </si>
  <si>
    <t>Compounding</t>
  </si>
  <si>
    <t>10 operator/machine</t>
  </si>
  <si>
    <t>MP for Rework</t>
  </si>
  <si>
    <t>Forklift Driver</t>
  </si>
  <si>
    <t>Side Matching</t>
  </si>
  <si>
    <t>TPR</t>
  </si>
  <si>
    <t>Rerolling</t>
  </si>
  <si>
    <t>TQM</t>
  </si>
  <si>
    <t>Yarn</t>
  </si>
  <si>
    <t>SPC</t>
  </si>
  <si>
    <t>Engg.</t>
  </si>
  <si>
    <t>ASRS - Instrument</t>
  </si>
  <si>
    <t>Electrical - outside HT Yard</t>
  </si>
  <si>
    <t>-</t>
  </si>
  <si>
    <t>Electrical - Sub Station (HT/PCC) </t>
  </si>
  <si>
    <t>Electrical - Transformer / PCC / PDB / MLDB / Capacitors / Motors for Utilities</t>
  </si>
  <si>
    <t>Utility O &amp;M - WTP/ETP/Fire hydrant/LNG</t>
  </si>
  <si>
    <t>Utility - Civil</t>
  </si>
  <si>
    <t>Utility - DG Operations</t>
  </si>
  <si>
    <t>Utility - Pump House</t>
  </si>
  <si>
    <t>Utility O &amp;M - Boiler, CHP,MEE</t>
  </si>
  <si>
    <t>Utility O &amp;M - Compressors/ chillers</t>
  </si>
  <si>
    <t>Utility O &amp;M - HVAC/N2 plant</t>
  </si>
  <si>
    <t>Utility O &amp;M - PM Activities</t>
  </si>
  <si>
    <t>Utility O &amp;M- Instrument</t>
  </si>
  <si>
    <t>Insrument lab</t>
  </si>
  <si>
    <t>WAMIL - Boiler - Husk and Coal Handling</t>
  </si>
  <si>
    <t>Wamil ETP</t>
  </si>
  <si>
    <t>Wamil TFH</t>
  </si>
  <si>
    <t>WFL Boiler - Husk and Coal Handling</t>
  </si>
  <si>
    <t>Turner</t>
  </si>
  <si>
    <t>Milling/ Grinding </t>
  </si>
  <si>
    <t>Welder</t>
  </si>
  <si>
    <t>Carpenter</t>
  </si>
  <si>
    <t>Rigger</t>
  </si>
  <si>
    <t>T&amp;C</t>
  </si>
  <si>
    <t>R&amp;D (PD)</t>
  </si>
  <si>
    <t>SCM (Stores &amp; WH)</t>
  </si>
  <si>
    <t>Common</t>
  </si>
  <si>
    <t>Yarn(CL+PR)</t>
  </si>
  <si>
    <t>Tufting BAILING -PR</t>
  </si>
  <si>
    <t>Coating UNLOADING-PR</t>
  </si>
  <si>
    <t>Tufting and Coating (CL+PR)</t>
  </si>
  <si>
    <t>PPC</t>
  </si>
  <si>
    <t>Safety</t>
  </si>
  <si>
    <t>DEO/ASST/FIN./HR/TO</t>
  </si>
  <si>
    <t>Admin</t>
  </si>
  <si>
    <t>TRAINER</t>
  </si>
  <si>
    <t>Here first logic is only applied</t>
  </si>
  <si>
    <t>DEO</t>
  </si>
  <si>
    <t>HR</t>
  </si>
  <si>
    <t>MHE</t>
  </si>
  <si>
    <t>Blade Grinder</t>
  </si>
  <si>
    <t>Technician</t>
  </si>
  <si>
    <t>Rewinding and Bit Winding</t>
  </si>
  <si>
    <t>Yarn Clearance</t>
  </si>
  <si>
    <t>Roll Packing</t>
  </si>
  <si>
    <t>Rope</t>
  </si>
  <si>
    <t>Process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</si>
</sst>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charset val="1"/>
    </font>
    <font>
      <sz val="10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4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7" fontId="0" fillId="3" borderId="1" xfId="0" applyNumberFormat="1" applyFill="1" applyBorder="1"/>
    <xf numFmtId="2" fontId="0" fillId="0" borderId="1" xfId="0" applyNumberFormat="1" applyBorder="1"/>
    <xf numFmtId="164" fontId="0" fillId="3" borderId="1" xfId="1" applyNumberFormat="1" applyFont="1" applyFill="1" applyBorder="1"/>
    <xf numFmtId="2" fontId="0" fillId="0" borderId="1" xfId="0" quotePrefix="1" applyNumberFormat="1" applyBorder="1"/>
    <xf numFmtId="3" fontId="0" fillId="3" borderId="1" xfId="0" applyNumberFormat="1" applyFill="1" applyBorder="1"/>
    <xf numFmtId="2" fontId="0" fillId="4" borderId="1" xfId="0" quotePrefix="1" applyNumberFormat="1" applyFill="1" applyBorder="1"/>
    <xf numFmtId="0" fontId="0" fillId="0" borderId="1" xfId="0" applyBorder="1"/>
    <xf numFmtId="2" fontId="0" fillId="0" borderId="0" xfId="0" applyNumberFormat="1"/>
    <xf numFmtId="0" fontId="3" fillId="0" borderId="1" xfId="0" applyFont="1" applyBorder="1"/>
    <xf numFmtId="164" fontId="3" fillId="0" borderId="1" xfId="1" applyNumberFormat="1" applyFont="1" applyBorder="1" applyAlignment="1">
      <alignment horizontal="center" vertical="center"/>
    </xf>
    <xf numFmtId="17" fontId="2" fillId="5" borderId="1" xfId="1" applyNumberFormat="1" applyFont="1" applyFill="1" applyBorder="1" applyAlignment="1">
      <alignment horizontal="center"/>
    </xf>
    <xf numFmtId="164" fontId="0" fillId="0" borderId="1" xfId="1" applyNumberFormat="1" applyFont="1" applyBorder="1"/>
    <xf numFmtId="164" fontId="0" fillId="6" borderId="1" xfId="1" applyNumberFormat="1" applyFont="1" applyFill="1" applyBorder="1"/>
    <xf numFmtId="164" fontId="0" fillId="0" borderId="1" xfId="1" applyNumberFormat="1" applyFont="1" applyFill="1" applyBorder="1"/>
    <xf numFmtId="3" fontId="0" fillId="6" borderId="1" xfId="0" applyNumberFormat="1" applyFill="1" applyBorder="1"/>
    <xf numFmtId="3" fontId="4" fillId="6" borderId="1" xfId="0" applyNumberFormat="1" applyFont="1" applyFill="1" applyBorder="1"/>
    <xf numFmtId="3" fontId="0" fillId="7" borderId="1" xfId="0" applyNumberFormat="1" applyFont="1" applyFill="1" applyBorder="1"/>
    <xf numFmtId="3" fontId="0" fillId="6" borderId="1" xfId="0" applyNumberFormat="1" applyFont="1" applyFill="1" applyBorder="1"/>
    <xf numFmtId="0" fontId="0" fillId="6" borderId="1" xfId="0" applyFill="1" applyBorder="1"/>
    <xf numFmtId="0" fontId="3" fillId="8" borderId="1" xfId="0" applyFont="1" applyFill="1" applyBorder="1"/>
    <xf numFmtId="0" fontId="0" fillId="8" borderId="1" xfId="0" applyFill="1" applyBorder="1"/>
    <xf numFmtId="164" fontId="0" fillId="8" borderId="1" xfId="1" applyNumberFormat="1" applyFont="1" applyFill="1" applyBorder="1"/>
    <xf numFmtId="164" fontId="3" fillId="8" borderId="1" xfId="1" applyNumberFormat="1" applyFont="1" applyFill="1" applyBorder="1" applyAlignment="1">
      <alignment horizontal="center" vertical="center"/>
    </xf>
    <xf numFmtId="17" fontId="2" fillId="9" borderId="1" xfId="1" applyNumberFormat="1" applyFont="1" applyFill="1" applyBorder="1" applyAlignment="1">
      <alignment horizontal="center"/>
    </xf>
    <xf numFmtId="0" fontId="2" fillId="10" borderId="2" xfId="0" applyFont="1" applyFill="1" applyBorder="1"/>
    <xf numFmtId="0" fontId="2" fillId="10" borderId="3" xfId="0" applyFont="1" applyFill="1" applyBorder="1"/>
    <xf numFmtId="1" fontId="2" fillId="10" borderId="3" xfId="0" applyNumberFormat="1" applyFont="1" applyFill="1" applyBorder="1"/>
    <xf numFmtId="0" fontId="2" fillId="10" borderId="4" xfId="0" applyFont="1" applyFill="1" applyBorder="1"/>
    <xf numFmtId="0" fontId="0" fillId="11" borderId="5" xfId="0" applyFont="1" applyFill="1" applyBorder="1"/>
    <xf numFmtId="43" fontId="0" fillId="11" borderId="5" xfId="0" applyNumberFormat="1" applyFont="1" applyFill="1" applyBorder="1"/>
    <xf numFmtId="2" fontId="0" fillId="11" borderId="5" xfId="0" applyNumberFormat="1" applyFont="1" applyFill="1" applyBorder="1"/>
    <xf numFmtId="0" fontId="0" fillId="11" borderId="5" xfId="0" applyFont="1" applyFill="1" applyBorder="1" applyAlignment="1"/>
    <xf numFmtId="0" fontId="0" fillId="0" borderId="0" xfId="0" quotePrefix="1" applyBorder="1"/>
    <xf numFmtId="1" fontId="0" fillId="11" borderId="5" xfId="0" applyNumberFormat="1" applyFont="1" applyFill="1" applyBorder="1"/>
    <xf numFmtId="0" fontId="0" fillId="11" borderId="6" xfId="0" applyFont="1" applyFill="1" applyBorder="1"/>
    <xf numFmtId="0" fontId="0" fillId="0" borderId="5" xfId="0" applyFont="1" applyBorder="1"/>
    <xf numFmtId="2" fontId="0" fillId="0" borderId="5" xfId="0" applyNumberFormat="1" applyFont="1" applyBorder="1"/>
    <xf numFmtId="1" fontId="0" fillId="0" borderId="5" xfId="0" applyNumberFormat="1" applyFont="1" applyBorder="1"/>
    <xf numFmtId="0" fontId="0" fillId="0" borderId="6" xfId="0" applyFont="1" applyBorder="1"/>
    <xf numFmtId="43" fontId="0" fillId="0" borderId="5" xfId="0" applyNumberFormat="1" applyFont="1" applyBorder="1"/>
    <xf numFmtId="44" fontId="0" fillId="0" borderId="5" xfId="2" applyNumberFormat="1" applyFont="1" applyBorder="1"/>
    <xf numFmtId="44" fontId="0" fillId="11" borderId="5" xfId="2" applyNumberFormat="1" applyFont="1" applyFill="1" applyBorder="1"/>
    <xf numFmtId="0" fontId="0" fillId="11" borderId="7" xfId="0" applyFont="1" applyFill="1" applyBorder="1"/>
    <xf numFmtId="0" fontId="0" fillId="0" borderId="7" xfId="0" applyFont="1" applyBorder="1"/>
    <xf numFmtId="0" fontId="0" fillId="0" borderId="0" xfId="0" applyBorder="1"/>
    <xf numFmtId="0" fontId="0" fillId="0" borderId="8" xfId="0" applyFont="1" applyFill="1" applyBorder="1"/>
    <xf numFmtId="0" fontId="0" fillId="11" borderId="8" xfId="0" applyFont="1" applyFill="1" applyBorder="1"/>
    <xf numFmtId="0" fontId="0" fillId="11" borderId="9" xfId="0" applyFont="1" applyFill="1" applyBorder="1"/>
    <xf numFmtId="2" fontId="0" fillId="11" borderId="9" xfId="0" applyNumberFormat="1" applyFont="1" applyFill="1" applyBorder="1"/>
    <xf numFmtId="1" fontId="0" fillId="11" borderId="9" xfId="0" applyNumberFormat="1" applyFont="1" applyFill="1" applyBorder="1"/>
    <xf numFmtId="0" fontId="0" fillId="11" borderId="1" xfId="0" applyFont="1" applyFill="1" applyBorder="1"/>
    <xf numFmtId="1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63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5" Type="http://schemas.openxmlformats.org/officeDocument/2006/relationships/externalLink" Target="externalLinks/externalLink2.xml"/><Relationship Id="rId61" Type="http://schemas.openxmlformats.org/officeDocument/2006/relationships/styles" Target="styles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bmfinw1\Rengachari%20D\FLASH\Flash-03-04\Flash-Aug03\Flash-isbm-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INFOSY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ing/COST/MIS/MIS2008/Dec-2008/WTT%20&amp;%20SPG/Commercial-file-Nov-08-PART-I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user77\c\All%20files\segment%20reporting\Flannex-jun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f-fd\E%20Drive\et-workings\Flash\Flash-2002-03\Flash-Oct02\Flash-ISBM-Oct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-%20Daurala%20Sug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313\My%20Documents\My%20Documents\TT\Com_Reports\Nov\Reports\Com.Repo_Nov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Stores%20&amp;%20Spares\Stores%20&amp;%20Spares%20Aug.05%20(version%2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ac-023\SHARING\Documents%20and%20Settings\kamleshm\Desktop\Welspun%20-%20Tax%20Audit%202005\2004-05\DTA\Clause%2012%20(b)-%20D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578\Local%20Settings\Temporary%20Internet%20Files\OLKF\Job_Work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202\Local%20Settings\Temporary%20Internet%20Files\OLKA2\Comm_Report\Variable%20Cost\dyes%20&amp;%20chemi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MAY-0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YARN%20CONSUMPTION-APR-JUNE-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%20Apr07%20to%20june-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asis%20(1)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Startup" Target="ACCOUNTS/VILAS/I-TAX/TBAL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Documents%20and%20Settings\a7510661\Local%20Settings\Temporary%20Internet%20Files\OLK8E\OLDINSSTATU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h1100777/LOCALS~1/Temp/Documents%20and%20Settings/a7510661/Local%20Settings/Temporary%20Internet%20Files/OLK8E/OLDINSSTATU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KUO/Desktop/My%20Briefcase/My%20Documents/Fresh%20Direct/Banking/C%20L%20I%20E%20N%20T%20S/Handex(new)/Handex%20model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wil_accounts\Desktop\POP%20breakup%20as%20on%20march%2007ol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COST\COST_INDIVIDUAL\Vishal\Packing%20Matl%20consump%20revised-Q-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Documents%20and%20Settings\v1371011\Desktop\Asvin\31\SAP%20DATA%203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Documents%20and%20Settings\a7510494\Desktop\pending%20pr%20upto%2030.06.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f_fd\c\WINDOWS\TEMP\Flash-isbm-may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goodson/Desktop/My%20Briefcase/My%20Documents/Security/Entrust/Entu_historical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BT/Mahindra%20BT/GA%20Org/Comps/All%20Comps_combined_Jan%2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ngapor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acc-007\C%20on%20Vikas\Documents%20and%20Settings\a7510494\Desktop\pending%20pr%20upto%2030.06.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l%20Drafts\Debt%20schedule-JK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27.2.06\Prodn_VCost\Product%20Costing%20Bud%20F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Documents%20and%20Settings\h1100787\My%20Documents\MILIND%202008-09\MONTHLY%20BALANCE%20SHEET\SEPT%202008\FA%20SCHEDULE\FIXED%20ASSETS%20REGISTER%20-%2030.09.2008-AFTER%20WEL%20HOUS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R%20K%20C\Monthly%20MIS%20Reports%202008-2009\L%20-%20%20March%202009\Stores%20&amp;%20Spares%20March-0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vr-valu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09\D\ajay%20data\d\ajay\RUNNING%20ORDER\SPRING400%20REPEAT\SPRING%20400-DPR%20IN%20SAP-REPEA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27.2.06\Prodn_VCost\Production%20Budge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DOCUME~1\mohan\LOCALS~1\Temp\INS0404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lspungroup-my.sharepoint.com/Documents%20and%20Settings/a7510202/Local%20Settings/Temporary%20Internet%20Files/OLKDA/Product%20Costing%20for%20RRM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2002-03\Final%20Accounts%2002-03%2030%25%20Div%20with%20incorrect%20related%20party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~1\a7510355\LOCALS~1\Temp\ANJAR%20BSPL%20JULY'06-fina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veenl\c\dty\mb9900\MBDTY_01_F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gt9900_GE%20(1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ING\COST\COST_INDIVIDUAL\Vishal\RAW%20MATERIAL%20YARN%20CONSUM-JULY-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Buusiness%20Paln%2006_07\Version-5\Terry_Towel_2006-07_28.06.06_Version_V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10.2.06\Prodn_VCost\Production%20Budge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1.3.06\Budget%20presentation\TTBplan_org_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SERVER\COSTUSERS\BRM%20FOLDER\LAL\CASHFLOW%20PROJEC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DAILY%20REPORTS\GCIL_Daily%20Reports\GCIL%20DAILY%20REPORT-2007-08\08-NOVEMBER-2007\DPR-30.11.2007-REVISE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1.3.06\Sales_VME\Sales%20Budget%20F07_altI_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Admon/Admininsitracion-Finanzas/Planning/Plan%2002/Plan%20Banks%202002%20Q3A/corporate%20pla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er1\d$\MIR\LONGI\March-05\Nov-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AMISH%20Share\FY-08\Stock%20Valuation\(9)%20Dec'07\Stock%20Valuati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40239\Local%20Settings\Temporary%20Internet%20Files\OLK5B\(1)%20April'08\Stock%20as%20on%2030.04.0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202\Local%20Settings\Temporary%20Internet%20Files\OLKA2\Stock%20Valuation\(3)%20June'08\Stock%20Valuation%20summary%20for%20the%20month%20of%20June%20200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40239\Local%20Settings\Temporary%20Internet%20Files\OLK5B\(2)%20May'08\Stock%20as%20on%2031st%20May.20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202\Local%20Settings\Temporary%20Internet%20Files\OLK1B4\Stock%20as%20on%2031st%20May.200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Clients\Tech_Pacific\Audit_2005\Fixed%20Assets\Fixed%20Assets\FIXED%20ASSET%20REGISTER%20AS%20ON%2031.12.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_MAN"/>
      <sheetName val="FORMAT4"/>
      <sheetName val="incst-tcf"/>
      <sheetName val="KEYCODES(TCF)"/>
      <sheetName val="INTER-UNIT"/>
      <sheetName val="rmvar"/>
      <sheetName val="lactam-rate"/>
      <sheetName val="fin-link"/>
      <sheetName val="CONTN (2)"/>
      <sheetName val="ebidt"/>
      <sheetName val="end_point"/>
      <sheetName val="fixexp_analysis"/>
      <sheetName val="key-ind"/>
      <sheetName val="adj-2002-03"/>
      <sheetName val="Sales-Jun02"/>
      <sheetName val="Incst-PY-M-01-02"/>
      <sheetName val="incst_tcf"/>
      <sheetName val="Collection"/>
      <sheetName val="P &amp; l "/>
      <sheetName val="tarps"/>
      <sheetName val="Import Summary"/>
      <sheetName val="Refere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Template"/>
      <sheetName val="Tables"/>
      <sheetName val="Rates"/>
      <sheetName val="Q299"/>
      <sheetName val="Model"/>
      <sheetName val="GE3"/>
      <sheetName val="GE 2"/>
      <sheetName val="pending i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3">
          <cell r="A453" t="str">
            <v>Tata Consultancy</v>
          </cell>
          <cell r="B453">
            <v>4205.2</v>
          </cell>
        </row>
        <row r="454">
          <cell r="A454" t="str">
            <v>HCL Consulting</v>
          </cell>
          <cell r="B454">
            <v>2705.1</v>
          </cell>
        </row>
        <row r="455">
          <cell r="A455" t="str">
            <v>Wipro</v>
          </cell>
          <cell r="B455">
            <v>1639</v>
          </cell>
        </row>
        <row r="456">
          <cell r="A456" t="str">
            <v>Pentafour Software</v>
          </cell>
          <cell r="B456">
            <v>1002.7</v>
          </cell>
        </row>
        <row r="457">
          <cell r="A457" t="str">
            <v>Tata Unisys</v>
          </cell>
          <cell r="B457">
            <v>922.5</v>
          </cell>
        </row>
        <row r="458">
          <cell r="A458" t="str">
            <v>Silverline Ind.</v>
          </cell>
          <cell r="B458">
            <v>810</v>
          </cell>
        </row>
        <row r="459">
          <cell r="A459" t="str">
            <v>Infosys</v>
          </cell>
          <cell r="B459">
            <v>803.4</v>
          </cell>
        </row>
        <row r="460">
          <cell r="A460" t="str">
            <v>Fujitsu ICIM</v>
          </cell>
          <cell r="B460">
            <v>650</v>
          </cell>
        </row>
        <row r="461">
          <cell r="A461" t="str">
            <v>Square D Software</v>
          </cell>
          <cell r="B461">
            <v>573.1</v>
          </cell>
        </row>
        <row r="462">
          <cell r="A462" t="str">
            <v>Patni Computer Systems</v>
          </cell>
          <cell r="B462">
            <v>560</v>
          </cell>
        </row>
        <row r="469">
          <cell r="A469" t="str">
            <v>FY1992</v>
          </cell>
          <cell r="B469">
            <v>88.787569000000005</v>
          </cell>
          <cell r="C469">
            <v>22.481446000000005</v>
          </cell>
        </row>
        <row r="470">
          <cell r="A470" t="str">
            <v>FY1993</v>
          </cell>
          <cell r="B470">
            <v>137.184933</v>
          </cell>
          <cell r="C470">
            <v>35.089639999999996</v>
          </cell>
        </row>
        <row r="471">
          <cell r="A471" t="str">
            <v>FY1994</v>
          </cell>
          <cell r="B471">
            <v>288.98526500000003</v>
          </cell>
          <cell r="C471">
            <v>80.919432000000029</v>
          </cell>
        </row>
        <row r="472">
          <cell r="A472" t="str">
            <v>FY1995</v>
          </cell>
          <cell r="B472">
            <v>554.19435799999997</v>
          </cell>
          <cell r="C472">
            <v>133.24426599999995</v>
          </cell>
        </row>
        <row r="473">
          <cell r="A473" t="str">
            <v>FY1996</v>
          </cell>
          <cell r="B473">
            <v>885.55399999999997</v>
          </cell>
          <cell r="C473">
            <v>210.1</v>
          </cell>
        </row>
        <row r="474">
          <cell r="A474" t="str">
            <v>FY1997E</v>
          </cell>
          <cell r="B474">
            <v>1392.2</v>
          </cell>
          <cell r="C474">
            <v>333.89999999999992</v>
          </cell>
        </row>
        <row r="475">
          <cell r="A475" t="str">
            <v>FY1998E</v>
          </cell>
          <cell r="B475">
            <v>2576.573488</v>
          </cell>
          <cell r="C475">
            <v>603.63307900000018</v>
          </cell>
        </row>
        <row r="483">
          <cell r="A483" t="str">
            <v>FY1990</v>
          </cell>
          <cell r="B483">
            <v>1.55</v>
          </cell>
          <cell r="C483">
            <v>1.01</v>
          </cell>
        </row>
        <row r="484">
          <cell r="A484" t="str">
            <v>FY1991</v>
          </cell>
          <cell r="B484">
            <v>2.35</v>
          </cell>
          <cell r="C484">
            <v>1.87</v>
          </cell>
        </row>
        <row r="485">
          <cell r="A485" t="str">
            <v>FY1992</v>
          </cell>
          <cell r="B485">
            <v>4.3</v>
          </cell>
          <cell r="C485">
            <v>3.2</v>
          </cell>
        </row>
        <row r="486">
          <cell r="A486" t="str">
            <v>FY1993</v>
          </cell>
          <cell r="B486">
            <v>6.75</v>
          </cell>
          <cell r="C486">
            <v>4.9000000000000004</v>
          </cell>
        </row>
        <row r="487">
          <cell r="A487" t="str">
            <v>FY1994</v>
          </cell>
          <cell r="B487">
            <v>10.199999999999999</v>
          </cell>
          <cell r="C487">
            <v>6.95</v>
          </cell>
        </row>
        <row r="488">
          <cell r="A488" t="str">
            <v>FY1995</v>
          </cell>
          <cell r="B488">
            <v>15.35</v>
          </cell>
          <cell r="C488">
            <v>10.7</v>
          </cell>
        </row>
        <row r="489">
          <cell r="A489" t="str">
            <v>FY1996</v>
          </cell>
          <cell r="B489">
            <v>25.2</v>
          </cell>
          <cell r="C489">
            <v>16.7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pecial Sanction"/>
      <sheetName val="sales-analy-tt"/>
      <sheetName val="sales-analy-spg"/>
      <sheetName val="Sales Realisation"/>
      <sheetName val="KEYDATA-TT"/>
      <sheetName val="key data-SPG"/>
      <sheetName val="FOREIGN CURR-Nov-08"/>
      <sheetName val="US $ -APR TO Nov-08"/>
      <sheetName val="TYPE-WISE SALES -Nov"/>
      <sheetName val="COUNTRY-NOV"/>
      <sheetName val="PARTY-WISE SALES -Nov"/>
      <sheetName val="COUNT WISE SALES -Nov"/>
      <sheetName val="TYPE-UP TO NOV-08"/>
      <sheetName val="COUNTRY-UP TO NOV -08"/>
      <sheetName val="PARTY-UP TO NOV-08"/>
      <sheetName val="COUNT-UP TO NOV-08"/>
      <sheetName val="country wise NOV.08"/>
      <sheetName val="REGION WISE NOV.08"/>
      <sheetName val="product wise NOV"/>
      <sheetName val="EXP DESIGN WISE NOV"/>
      <sheetName val="countrywise UPDATE"/>
      <sheetName val="Customer regionwise UPDATE"/>
      <sheetName val="product wise-new-UPDATE"/>
      <sheetName val="DESIGN WISE SALES UPDATE"/>
      <sheetName val="SUMMARY GCIL"/>
      <sheetName val="SUMMARY WIL"/>
      <sheetName val="RUGS PLANT"/>
      <sheetName val="COST PER KG "/>
      <sheetName val="WORKING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tr"/>
      <sheetName val="incst_pyr9900"/>
      <sheetName val="Incst-PY-M-00-01"/>
      <sheetName val="Incst-PY-G-00-01"/>
      <sheetName val="isd-g-09900"/>
      <sheetName val="INPUT_GRAPH"/>
      <sheetName val="INPUT_MAN"/>
      <sheetName val="INPUT_LINK"/>
      <sheetName val="summary"/>
      <sheetName val="FORMAT4"/>
      <sheetName val="incst-tcf"/>
      <sheetName val="KEYCODES(TCF)"/>
      <sheetName val="rmvar"/>
      <sheetName val="lactam-rate"/>
      <sheetName val="fin-link"/>
      <sheetName val="CONTN (2)"/>
      <sheetName val="ebidt"/>
      <sheetName val="end_point"/>
      <sheetName val="fixexp_analysis"/>
      <sheetName val="workings"/>
      <sheetName val="keyind"/>
      <sheetName val="adj_0001"/>
      <sheetName val="Sheet1"/>
      <sheetName val="Slit roll gra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 details"/>
      <sheetName val="Input_Man"/>
      <sheetName val="Incst-TCF"/>
      <sheetName val="Keycodes(TCF)"/>
      <sheetName val="Rmvar"/>
      <sheetName val="Inter-Unit"/>
      <sheetName val="YTD-ADJ-Reasons"/>
      <sheetName val="Lactam-Rate"/>
      <sheetName val="Lactam-Imp-Rate"/>
      <sheetName val="Fin-Link"/>
      <sheetName val="Variance-MTH-Summary"/>
      <sheetName val="MTH-Annex"/>
      <sheetName val="Sales-MTH-Variance"/>
      <sheetName val="Variance-YTD-Summary"/>
      <sheetName val="Variance-YTD-Annex"/>
      <sheetName val="Sales-YTD-Variance"/>
      <sheetName val="Fixexp_analysis"/>
      <sheetName val="Key-Ind"/>
      <sheetName val="ADJ-2002-03"/>
      <sheetName val="Sales-Routewise"/>
      <sheetName val="Incst-PY-M-01-02"/>
      <sheetName val="Incst_TCF"/>
      <sheetName val="Key_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"/>
      <sheetName val="Tax (2)"/>
      <sheetName val="Assumptions - Sugar"/>
      <sheetName val="Assumptions-Fancy Sugar"/>
      <sheetName val="Cons-P&amp;L"/>
      <sheetName val="Financials"/>
      <sheetName val="Ratios"/>
      <sheetName val="WC Estimates"/>
      <sheetName val="Power&amp;Fuel"/>
      <sheetName val="Power&amp;Fuel (2)"/>
      <sheetName val="Depreciation"/>
      <sheetName val="debt schedule"/>
      <sheetName val="Tax"/>
      <sheetName val="Valuation"/>
      <sheetName val="Power_Fuel"/>
      <sheetName val="_x0000__x0000__x0000__x0002__x0000__x0000__x0000__x0000_䀘_x0000__x0000__x0000__x0000__x0001__x0000_"/>
      <sheetName val="_x0000__x0000__x0000__x0002__x0000__x0000__x0000__x0000_䀦_x0000__x0000__x0000__x0000__x0001__x0000__x0000__x0000_㵈ˑ㵰㿪_x0000_"/>
      <sheetName val="Sheet1"/>
      <sheetName val="Dec"/>
      <sheetName val="COST PER KG  (Qtr)"/>
      <sheetName val=""/>
      <sheetName val="March.10"/>
      <sheetName val="???_x0002_????䀘????_x0001_?"/>
      <sheetName val="???_x0002_????䀦????_x0001_???㵈ˑ㵰㿪?"/>
      <sheetName val="MC.9 - ROH"/>
      <sheetName val="stores &amp; spares"/>
      <sheetName val="____x0002_____䀘_____x0001__"/>
      <sheetName val="____x0002_____䀦_____x0001____㵈ˑ㵰㿪_"/>
      <sheetName val="_x005f_x0000__x005f_x0000__x005f_x0000__x005f_x0002__x0"/>
      <sheetName val="____x005f_x0002_____䀘_____x005f_x0001__"/>
      <sheetName val="____x005f_x0002_____䀦_____x005f_x0001____㵈ˑ"/>
      <sheetName val="???_x005f_x0002_????䀘????_x005f_x0001_?"/>
      <sheetName val="???_x005f_x0002_????䀦????_x005f_x0001_???㵈ˑ"/>
      <sheetName val="_x005f_x005f_x005f_x0000__x005f_x005f_x005f_x0000__x005"/>
      <sheetName val="____x005f_x005f_x005f_x0002_____䀘_____x005f"/>
      <sheetName val="____x005f_x005f_x005f_x0002_____䀦_____x005f"/>
      <sheetName val="???_x005f_x005f_x005f_x0002_????䀘????_x005f"/>
      <sheetName val="???_x005f_x005f_x005f_x0002_????䀦????_x005f"/>
      <sheetName val="_x005f_x005f_x005f_x005f_x005f_x005f_x005f_x0000__x005f"/>
      <sheetName val="____x005f_x005f_x005f_x005f_x005f_x005f_x005f_x0002____"/>
      <sheetName val="???_x005f_x005f_x005f_x005f_x005f_x005f_x005f_x0002_???"/>
      <sheetName val="Excise on RM"/>
      <sheetName val="Computation"/>
      <sheetName val="Paramaters"/>
      <sheetName val="Do not delete"/>
      <sheetName val="ADDTIONS"/>
      <sheetName val="#REF"/>
      <sheetName val="Sheet2"/>
      <sheetName val="BS &amp; P&amp;L"/>
      <sheetName val="_x0000__x0000__x0000__x0002__x0"/>
      <sheetName val="____x0002_____䀦_____x0001____㵈ˑ"/>
      <sheetName val="???_x0002_????䀦????_x0001_???㵈ˑ"/>
      <sheetName val="_x005f_x0000__x005f_x0000__x005"/>
      <sheetName val="____x005f_x0002_____䀘_____x005f"/>
      <sheetName val="____x005f_x0002_____䀦_____x005f"/>
      <sheetName val="???_x005f_x0002_????䀘????_x005f"/>
      <sheetName val="???_x005f_x0002_????䀦????_x005f"/>
      <sheetName val="_x005f_x005f_x005f_x0000__x005f"/>
      <sheetName val="____x005f_x005f_x005f_x0002____"/>
      <sheetName val="???_x005f_x005f_x005f_x0002_???"/>
      <sheetName val="Balance regroupée"/>
      <sheetName val="Sheet-2"/>
      <sheetName val="Photocopy"/>
      <sheetName val="FA Register"/>
      <sheetName val="Costing-blk-B"/>
      <sheetName val="Assumptions"/>
      <sheetName val="PAP France"/>
      <sheetName val="???_x0002__x0"/>
      <sheetName val="POP SALARY "/>
      <sheetName val="Quarterly Scrap"/>
      <sheetName val="Raw Data"/>
      <sheetName val="Raw Mtls."/>
      <sheetName val="WIP"/>
      <sheetName val="Finished Goods"/>
      <sheetName val="GiaVL"/>
      <sheetName val="Cschedules"/>
      <sheetName val="CMA"/>
      <sheetName val="tb"/>
      <sheetName val="Breadown"/>
      <sheetName val="_x0002_䀘_x0001_"/>
      <sheetName val="_x0002_䀦_x0001_㵈ˑ㵰㿪"/>
      <sheetName val="_x0002__x0"/>
      <sheetName val="Country"/>
      <sheetName val="MaterialSelection"/>
      <sheetName val="MaterialGroup"/>
      <sheetName val="Currency"/>
      <sheetName val="SuppliersSelection"/>
      <sheetName val="BD"/>
      <sheetName val="ArticlesSelection"/>
      <sheetName val="ProductSelection"/>
      <sheetName val="RFQSelection"/>
      <sheetName val="Fixexp_analysis"/>
      <sheetName val="Key-Ind"/>
      <sheetName val="Rmvar"/>
      <sheetName val="Prov. Comm. Inv."/>
      <sheetName val="CASHFLOWS"/>
      <sheetName val="CO_1"/>
      <sheetName val="PREPAYMENTS"/>
      <sheetName val="Valuation - Daurala Sugar"/>
      <sheetName val="대차대조표-공시형"/>
      <sheetName val="Lookups"/>
      <sheetName val="CRITERIA1"/>
      <sheetName val="DLR-WK"/>
      <sheetName val="OTH-WK"/>
      <sheetName val="BLN Detail 2000"/>
      <sheetName val="CIP Summary 0012"/>
      <sheetName val="CIP Detail 0011"/>
      <sheetName val="VLOOK"/>
      <sheetName val="99 to 00 blns"/>
      <sheetName val="_x005f_x005f_x005f_x005f_x005f_x005f_x005f_x005f_x005f_x005f_"/>
      <sheetName val="____x005f_x005f_x005f_x005f_x005f_x005f_x005f_x005f_x00"/>
      <sheetName val="???_x005f_x005f_x005f_x005f_x005f_x005f_x005f_x005f_x00"/>
      <sheetName val="Invoice"/>
      <sheetName val="full-gl-fi"/>
      <sheetName val="Statements"/>
      <sheetName val="MUS Testing"/>
      <sheetName val="A"/>
      <sheetName val="Cash Flow"/>
      <sheetName val="I.Tax"/>
      <sheetName val="B"/>
      <sheetName val="D"/>
      <sheetName val="Inputs"/>
      <sheetName val="Keyratios"/>
      <sheetName val="Cntrl Sheet"/>
      <sheetName val="NFF"/>
      <sheetName val="Facility"/>
      <sheetName val="deb"/>
      <sheetName val="SPR"/>
      <sheetName val="PAP"/>
      <sheetName val="Old"/>
      <sheetName val="Internet"/>
      <sheetName val="Accounts"/>
      <sheetName val="INCOME "/>
      <sheetName val="5 Star Hotel"/>
      <sheetName val="TBLINKAGE"/>
      <sheetName val="Budget 2"/>
      <sheetName val="VS 3"/>
      <sheetName val="IST 2"/>
      <sheetName val="Ausgabe 1"/>
      <sheetName val="VS 1"/>
      <sheetName val="AP"/>
      <sheetName val="VS 2"/>
      <sheetName val="entitlements"/>
      <sheetName val="Cashflow with no investment"/>
      <sheetName val="analysis"/>
      <sheetName val="pending indent"/>
      <sheetName val=" Comp"/>
      <sheetName val="REPORT"/>
      <sheetName val="Provision MIS"/>
      <sheetName val="____x0002__x0"/>
      <sheetName val="_x0000__x0000__x005"/>
      <sheetName val="____x0002_____䀘_____x005f"/>
      <sheetName val="____x0002_____䀦_____x005f"/>
      <sheetName val="???_x0002_????䀘????_x005f"/>
      <sheetName val="???_x0002_????䀦????_x005f"/>
      <sheetName val="_x005f_x0000__x005f"/>
      <sheetName val="____x005f_x0002____"/>
      <sheetName val="???_x005f_x0002_???"/>
      <sheetName val="TRIAL BALANCE"/>
      <sheetName val="Output"/>
      <sheetName val="DSCR-IRR"/>
      <sheetName val="Fundflow"/>
      <sheetName val="New Projects"/>
      <sheetName val="Groupings 1"/>
      <sheetName val="Output Sheet"/>
      <sheetName val="V-13_NRV Testing-FG"/>
      <sheetName val="BLGR"/>
      <sheetName val="Sum proj"/>
      <sheetName val="Financial Estimates"/>
      <sheetName val="BSPL"/>
      <sheetName val="BILLS-BOTOUT"/>
      <sheetName val="BILLS-BUB"/>
      <sheetName val="BILLS-GUR"/>
      <sheetName val="BILLS-JBP"/>
      <sheetName val="BILLS-JPR"/>
      <sheetName val="Sep Trail"/>
      <sheetName val="Balancesheet"/>
      <sheetName val="Cover Page"/>
      <sheetName val="Lookup"/>
      <sheetName val="Other notes"/>
      <sheetName val="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_A_V"/>
      <sheetName val="Input_A_Q"/>
      <sheetName val="Input_B_V"/>
      <sheetName val="Ann-1"/>
      <sheetName val="Ann-2"/>
      <sheetName val="P&amp;L_CM"/>
      <sheetName val="P&amp;L_YTD"/>
      <sheetName val="Input_B_Q"/>
      <sheetName val="Ann-5"/>
      <sheetName val="Ann-6"/>
      <sheetName val="Ann-7"/>
      <sheetName val="Ann-8"/>
      <sheetName val="Ann-9"/>
      <sheetName val="Ann-10"/>
      <sheetName val="Ann11"/>
      <sheetName val="Ann-12"/>
      <sheetName val="Ann-13"/>
    </sheetNames>
    <sheetDataSet>
      <sheetData sheetId="0"/>
      <sheetData sheetId="1"/>
      <sheetData sheetId="2" refreshError="1">
        <row r="5">
          <cell r="A5" t="str">
            <v>Particulars</v>
          </cell>
        </row>
        <row r="6">
          <cell r="J6">
            <v>38628</v>
          </cell>
        </row>
        <row r="9">
          <cell r="J9">
            <v>1318.5403130526036</v>
          </cell>
        </row>
        <row r="10">
          <cell r="J10">
            <v>0</v>
          </cell>
        </row>
        <row r="11">
          <cell r="J11">
            <v>19.104628280364913</v>
          </cell>
        </row>
        <row r="12">
          <cell r="J12">
            <v>28.656942420547367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363.47982666666667</v>
          </cell>
        </row>
        <row r="17">
          <cell r="J17">
            <v>1729.7817104201827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40.765805073786161</v>
          </cell>
        </row>
        <row r="22">
          <cell r="J22">
            <v>1770.5475154939688</v>
          </cell>
        </row>
        <row r="23">
          <cell r="J23">
            <v>0</v>
          </cell>
        </row>
        <row r="24">
          <cell r="J24">
            <v>0</v>
          </cell>
        </row>
        <row r="25">
          <cell r="A25" t="str">
            <v>Domestic</v>
          </cell>
          <cell r="J25">
            <v>0</v>
          </cell>
        </row>
        <row r="26">
          <cell r="J26">
            <v>0</v>
          </cell>
        </row>
        <row r="27">
          <cell r="J27">
            <v>1770.5475154939688</v>
          </cell>
        </row>
        <row r="28">
          <cell r="J28">
            <v>0</v>
          </cell>
        </row>
        <row r="29">
          <cell r="J29">
            <v>1770.5475154939688</v>
          </cell>
        </row>
        <row r="31">
          <cell r="J31">
            <v>11.344609157413364</v>
          </cell>
        </row>
        <row r="32">
          <cell r="J32">
            <v>0</v>
          </cell>
        </row>
        <row r="33">
          <cell r="J33">
            <v>22.151477259283741</v>
          </cell>
        </row>
        <row r="34">
          <cell r="J34">
            <v>5.9980232232000006</v>
          </cell>
        </row>
        <row r="35">
          <cell r="J35">
            <v>6.5927015652630168</v>
          </cell>
        </row>
        <row r="36">
          <cell r="J36">
            <v>1.1269096128189748</v>
          </cell>
        </row>
        <row r="37">
          <cell r="J37">
            <v>0.83333333333333337</v>
          </cell>
        </row>
        <row r="38">
          <cell r="J38">
            <v>7.9112418783156224</v>
          </cell>
        </row>
        <row r="39">
          <cell r="J39">
            <v>25.238534898596352</v>
          </cell>
        </row>
        <row r="40">
          <cell r="J40">
            <v>2.6370806261052073</v>
          </cell>
        </row>
        <row r="41">
          <cell r="J41">
            <v>1.3185403130526037</v>
          </cell>
        </row>
        <row r="42">
          <cell r="J42">
            <v>0</v>
          </cell>
        </row>
        <row r="43">
          <cell r="J43">
            <v>1.3185403130526037</v>
          </cell>
        </row>
        <row r="44">
          <cell r="J44">
            <v>86.47099218043482</v>
          </cell>
        </row>
        <row r="45">
          <cell r="J45">
            <v>1684.0765233135339</v>
          </cell>
        </row>
        <row r="46">
          <cell r="J46">
            <v>0</v>
          </cell>
        </row>
        <row r="47">
          <cell r="A47" t="str">
            <v xml:space="preserve">                Goods In Transit </v>
          </cell>
          <cell r="J47">
            <v>0</v>
          </cell>
        </row>
        <row r="48">
          <cell r="J48">
            <v>0</v>
          </cell>
        </row>
        <row r="49">
          <cell r="J49">
            <v>15.27254359333884</v>
          </cell>
        </row>
        <row r="50">
          <cell r="J50">
            <v>1699.3490669068728</v>
          </cell>
        </row>
        <row r="51">
          <cell r="J51">
            <v>53.595023859702799</v>
          </cell>
        </row>
        <row r="52">
          <cell r="J52">
            <v>0</v>
          </cell>
        </row>
        <row r="53">
          <cell r="J53">
            <v>1752.9440907665758</v>
          </cell>
        </row>
        <row r="55">
          <cell r="J55">
            <v>798.97496330517845</v>
          </cell>
        </row>
        <row r="56">
          <cell r="J56">
            <v>0</v>
          </cell>
        </row>
        <row r="57">
          <cell r="J57">
            <v>-6.3956629493635768</v>
          </cell>
        </row>
        <row r="58">
          <cell r="J58">
            <v>96.977780128800006</v>
          </cell>
        </row>
        <row r="59">
          <cell r="J59">
            <v>19.547504220771931</v>
          </cell>
        </row>
        <row r="60">
          <cell r="J60">
            <v>67.482969037700613</v>
          </cell>
        </row>
        <row r="61">
          <cell r="J61">
            <v>30.360297178883496</v>
          </cell>
        </row>
        <row r="62">
          <cell r="J62">
            <v>0</v>
          </cell>
        </row>
        <row r="63">
          <cell r="A63" t="str">
            <v>Water Cost</v>
          </cell>
          <cell r="J63">
            <v>11.645321663438596</v>
          </cell>
        </row>
        <row r="64">
          <cell r="J64">
            <v>40.765805073786161</v>
          </cell>
        </row>
        <row r="65">
          <cell r="J65">
            <v>1059.3589776591955</v>
          </cell>
        </row>
        <row r="66">
          <cell r="J66">
            <v>693.58511310738027</v>
          </cell>
        </row>
        <row r="69">
          <cell r="J69">
            <v>70.371015194778963</v>
          </cell>
        </row>
        <row r="70">
          <cell r="J70">
            <v>55.216666666666669</v>
          </cell>
        </row>
        <row r="71">
          <cell r="J71">
            <v>50.85</v>
          </cell>
        </row>
        <row r="72">
          <cell r="J72">
            <v>3</v>
          </cell>
        </row>
        <row r="73">
          <cell r="J73">
            <v>16.666666666666668</v>
          </cell>
        </row>
        <row r="74">
          <cell r="J74">
            <v>17.438333333333333</v>
          </cell>
        </row>
        <row r="75">
          <cell r="J75">
            <v>5.416666666666667</v>
          </cell>
        </row>
        <row r="76">
          <cell r="J76">
            <v>35.54</v>
          </cell>
        </row>
        <row r="77">
          <cell r="J77">
            <v>45.348478450665709</v>
          </cell>
        </row>
        <row r="78">
          <cell r="J78">
            <v>46.993333333333332</v>
          </cell>
        </row>
        <row r="79">
          <cell r="J79">
            <v>8</v>
          </cell>
        </row>
        <row r="80">
          <cell r="J80">
            <v>354.84116031211136</v>
          </cell>
        </row>
        <row r="81">
          <cell r="J81">
            <v>338.74395279526891</v>
          </cell>
        </row>
        <row r="83">
          <cell r="J83">
            <v>20.033168870126726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44.372000000000007</v>
          </cell>
        </row>
        <row r="87">
          <cell r="J87">
            <v>64.40516887012673</v>
          </cell>
        </row>
        <row r="88">
          <cell r="J88">
            <v>274.3387839251422</v>
          </cell>
        </row>
        <row r="89">
          <cell r="J89">
            <v>110.25999999999999</v>
          </cell>
        </row>
        <row r="90">
          <cell r="J90">
            <v>0</v>
          </cell>
        </row>
        <row r="91">
          <cell r="J91">
            <v>164.0787839251422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TT YTD Presentation"/>
      <sheetName val=" Reco Acc"/>
      <sheetName val="For P&amp;L Aug"/>
      <sheetName val="Stock"/>
      <sheetName val="Working"/>
      <sheetName val="TQM"/>
      <sheetName val="Supply chain"/>
      <sheetName val="PPC"/>
      <sheetName val="HSGA"/>
      <sheetName val="Spinning by Deptt"/>
      <sheetName val="Spinning"/>
      <sheetName val="Cut &amp; Sew"/>
      <sheetName val="Processing"/>
      <sheetName val="Weaving"/>
      <sheetName val="Power Plant"/>
      <sheetName val="ETP"/>
      <sheetName val="Boiler"/>
      <sheetName val="Mech. cell"/>
      <sheetName val="Compr."/>
      <sheetName val="Elect. Cell"/>
      <sheetName val="Sheeting Weaving"/>
      <sheetName val="Cut &amp; Sew Sheetng"/>
      <sheetName val="Process Sheetng "/>
      <sheetName val="Process Sheetng"/>
      <sheetName val="Weav Sheetng"/>
      <sheetName val="TT_YTD_Presentation"/>
      <sheetName val="_Reco_Acc"/>
      <sheetName val="For_P&amp;L_Aug"/>
      <sheetName val="Supply_chain"/>
      <sheetName val="Spinning_by_Deptt"/>
      <sheetName val="Cut_&amp;_Sew"/>
      <sheetName val="Power_Plant"/>
      <sheetName val="Mech__cell"/>
      <sheetName val="Compr_"/>
      <sheetName val="Elect__Cell"/>
      <sheetName val="Sheeting_Weaving"/>
      <sheetName val="Cut_&amp;_Sew_Sheetng"/>
      <sheetName val="Process_Sheetng_"/>
      <sheetName val="Process_Sheetng"/>
      <sheetName val="Weav_Sheetng"/>
      <sheetName val="PPP 2023-2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use 12 (b)"/>
      <sheetName val="Excise on RM"/>
      <sheetName val="DOWN PAYMENT SERVICE"/>
      <sheetName val="Clause_12_(b)"/>
      <sheetName val="Excise_on_RM"/>
      <sheetName val="DOWN_PAYMENT_SERVICE"/>
      <sheetName val="Clause_12_(b)1"/>
      <sheetName val="Excise_on_RM1"/>
      <sheetName val="DOWN_PAYMENT_SERVICE1"/>
      <sheetName val="Power&amp;Fuel"/>
      <sheetName val="Do not delete"/>
      <sheetName val="AS2003"/>
      <sheetName val="P&amp;LSC"/>
      <sheetName val="SALE"/>
      <sheetName val="Clause 12 (b)- DTA"/>
      <sheetName val="Loss on Sale FA"/>
      <sheetName val="Salary Outstanding"/>
      <sheetName val="Clause_12_(b)2"/>
      <sheetName val="Excise_on_RM2"/>
      <sheetName val="Clause_12_(b)3"/>
      <sheetName val="Excise_on_RM3"/>
      <sheetName val="Clause_12_(b)4"/>
      <sheetName val="Excise_on_RM4"/>
      <sheetName val="Clause_12_(b)5"/>
      <sheetName val="Excise_on_RM5"/>
      <sheetName val="Clause_12_(b)6"/>
      <sheetName val="Excise_on_RM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 (2)"/>
      <sheetName val="Sheet3"/>
      <sheetName val="Sheet2"/>
      <sheetName val="Sheet1"/>
      <sheetName val="Sheet3_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ing May-07"/>
      <sheetName val="PARTY WISE PACKING CONSUM"/>
      <sheetName val="Sheet1"/>
      <sheetName val="PACKING GL MAY-07"/>
      <sheetName val="ACTUALPACKING -MAY-07"/>
      <sheetName val="COST PER KG "/>
      <sheetName val="WORKING"/>
      <sheetName val="PAcking_May-07"/>
      <sheetName val="PARTY_WISE_PACKING_CONSUM"/>
      <sheetName val="PACKING_GL_MAY-07"/>
      <sheetName val="ACTUALPACKING_-MAY-07"/>
      <sheetName val="COST_PER_KG_"/>
      <sheetName val="Jul DP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INAL SUMM-APR-JUNE"/>
      <sheetName val="final summ qtrly"/>
      <sheetName val="QTRLY FILE"/>
      <sheetName val="MASTER"/>
      <sheetName val="SUMM"/>
      <sheetName val="COST PER KG "/>
      <sheetName val="FINAL_SUMM-APR-JUNE"/>
      <sheetName val="final_summ_qtrly"/>
      <sheetName val="QTRLY_FILE"/>
      <sheetName val="COST_PER_KG_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ummary of packing"/>
      <sheetName val="PAcking JUNE-07 (2)"/>
      <sheetName val="PAcking JUNE-07"/>
      <sheetName val="PARTY WISE PACKING"/>
      <sheetName val="Sheet1"/>
      <sheetName val="PACKING APR-MAY -JUNE"/>
      <sheetName val="qtrly -packing "/>
      <sheetName val="Sheet5"/>
      <sheetName val="MASTER-01st qtr-packinggl"/>
      <sheetName val="Sheet2"/>
      <sheetName val="Sheet4"/>
      <sheetName val="Sheet6"/>
      <sheetName val="Sheet7"/>
      <sheetName val="MASTER-01st qtr-packinggl (2)"/>
      <sheetName val="July"/>
      <sheetName val="WORKING"/>
      <sheetName val="BS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2">
          <cell r="E12">
            <v>1400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1 (2)"/>
      <sheetName val="Sheet3"/>
      <sheetName val="Sheet4"/>
      <sheetName val="GBP"/>
      <sheetName val="INR"/>
      <sheetName val="USD"/>
      <sheetName val="USDN"/>
      <sheetName val="Sheet2 (2)"/>
      <sheetName val="16-20"/>
      <sheetName val="06-10"/>
      <sheetName val="i01050001-sample"/>
      <sheetName val="costco"/>
      <sheetName val="EUR"/>
      <sheetName val="Chart1"/>
      <sheetName val="Working"/>
      <sheetName val="6130"/>
      <sheetName val="ze42-wgbl march &amp; april"/>
      <sheetName val="LC 09"/>
      <sheetName val="Sheet5"/>
      <sheetName val="JUNE-2013"/>
      <sheetName val="LATEX"/>
      <sheetName val="dta"/>
      <sheetName val="bathrobe "/>
      <sheetName val="02.03.2014"/>
      <sheetName val="03.03.2014"/>
      <sheetName val="DTA "/>
      <sheetName val="BR DTA "/>
      <sheetName val="04.2014 Stock"/>
      <sheetName val="600650"/>
      <sheetName val="SO Details"/>
      <sheetName val="DTA TOWEL "/>
      <sheetName val="Sales Order Details"/>
      <sheetName val="MARCH-2014"/>
      <sheetName val="SO Detais JULY DP"/>
      <sheetName val="Wastege"/>
      <sheetName val="SO Details "/>
      <sheetName val="2030"/>
      <sheetName val="dta br "/>
      <sheetName val="mc.9 sTOCK"/>
      <sheetName val="QUALITY CLAIM PAID -AUG "/>
      <sheetName val="Dta packing cost for Oct-14"/>
      <sheetName val="SO 2 SO Details"/>
      <sheetName val="br export "/>
      <sheetName val="DTA TOWEL"/>
      <sheetName val="Pivot"/>
      <sheetName val="dta  towel "/>
      <sheetName val="717460 -NRV PROV."/>
      <sheetName val="TOWEL EXPORT "/>
      <sheetName val="towel export"/>
      <sheetName val="export towel "/>
      <sheetName val="MC.9 Stock March-2015"/>
      <sheetName val="731310- utd feb-2015"/>
      <sheetName val="731240- UTD FEB-2015"/>
      <sheetName val="105-106"/>
      <sheetName val="2200 JUN-2015"/>
      <sheetName val="DTA  TOWEL"/>
      <sheetName val="towle export"/>
      <sheetName val="ftm june"/>
      <sheetName val="DTA SALES AUG-2015"/>
      <sheetName val="SO Details Export"/>
      <sheetName val="DTA-SO DETAILS"/>
      <sheetName val="ROSS SO 3604"/>
      <sheetName val="EXPORT TOWL REVISED- 02.10.2015"/>
      <sheetName val="ORIGINAL"/>
      <sheetName val="EXPORT TOWEL"/>
      <sheetName val="revised wgbl sales -05.02.2016"/>
      <sheetName val="SO DETAILS MAR"/>
      <sheetName val="So-Details"/>
      <sheetName val="SO DUMP"/>
      <sheetName val="Worksheet in Basis (1)"/>
      <sheetName val="ZFGLM11 712400"/>
      <sheetName val="Rugs DTA SALES July-17"/>
      <sheetName val="SQ00"/>
      <sheetName val="Fabric Cons. Q-1 2018"/>
      <sheetName val="Cabling"/>
      <sheetName val="RTF OCT-2018"/>
      <sheetName val="Weaving Jun-2018"/>
      <sheetName val="CUT SAW"/>
      <sheetName val="RTF 11-20"/>
      <sheetName val="Rugs Export-Aug-2018"/>
      <sheetName val="00.00.0008"/>
      <sheetName val="Travelling Exp 121903"/>
      <sheetName val="Summary"/>
      <sheetName val="Rugs Jobbers Ageing"/>
      <sheetName val="Purchase Rate"/>
      <sheetName val="RUGS RTF FEB-2019"/>
      <sheetName val="Waste"/>
      <sheetName val="Rugs WGBL Sales SEP-2017"/>
      <sheetName val="Piv"/>
      <sheetName val="RF"/>
      <sheetName val="OE"/>
      <sheetName val="WGBL TO EXPORT"/>
      <sheetName val="Dump"/>
      <sheetName val="17"/>
      <sheetName val="18"/>
      <sheetName val="2200 plant"/>
      <sheetName val="ZWPI SALES "/>
      <sheetName val="ZWPI APR MAY JUNE"/>
      <sheetName val="SALES"/>
      <sheetName val="Ane"/>
      <sheetName val="Master"/>
      <sheetName val="Fiber MM60 23.09.24"/>
    </sheetNames>
    <sheetDataSet>
      <sheetData sheetId="0">
        <row r="1">
          <cell r="A1" t="str">
            <v>Plant</v>
          </cell>
        </row>
      </sheetData>
      <sheetData sheetId="1">
        <row r="1">
          <cell r="A1" t="str">
            <v>Plant</v>
          </cell>
        </row>
      </sheetData>
      <sheetData sheetId="2" refreshError="1"/>
      <sheetData sheetId="3">
        <row r="1">
          <cell r="A1" t="str">
            <v>Plant</v>
          </cell>
        </row>
      </sheetData>
      <sheetData sheetId="4">
        <row r="1">
          <cell r="A1" t="str">
            <v>Plant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A1" t="str">
            <v>Plant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1">
          <cell r="A1" t="str">
            <v>Plant</v>
          </cell>
        </row>
      </sheetData>
      <sheetData sheetId="75">
        <row r="1">
          <cell r="A1" t="str">
            <v>Plant</v>
          </cell>
        </row>
      </sheetData>
      <sheetData sheetId="76">
        <row r="1">
          <cell r="A1" t="str">
            <v>Plant</v>
          </cell>
        </row>
      </sheetData>
      <sheetData sheetId="77">
        <row r="1">
          <cell r="A1" t="str">
            <v>Plant</v>
          </cell>
        </row>
      </sheetData>
      <sheetData sheetId="78">
        <row r="1">
          <cell r="A1" t="str">
            <v>Plant</v>
          </cell>
        </row>
      </sheetData>
      <sheetData sheetId="79">
        <row r="1">
          <cell r="A1" t="str">
            <v>Plant</v>
          </cell>
        </row>
      </sheetData>
      <sheetData sheetId="80">
        <row r="1">
          <cell r="A1" t="str">
            <v>Plant</v>
          </cell>
        </row>
      </sheetData>
      <sheetData sheetId="81">
        <row r="1">
          <cell r="A1" t="str">
            <v>Plant</v>
          </cell>
        </row>
      </sheetData>
      <sheetData sheetId="82">
        <row r="1">
          <cell r="A1" t="str">
            <v>Plant</v>
          </cell>
        </row>
      </sheetData>
      <sheetData sheetId="83">
        <row r="1">
          <cell r="A1" t="str">
            <v>Plant</v>
          </cell>
        </row>
      </sheetData>
      <sheetData sheetId="84" refreshError="1"/>
      <sheetData sheetId="85">
        <row r="1">
          <cell r="A1" t="str">
            <v>Plant</v>
          </cell>
        </row>
      </sheetData>
      <sheetData sheetId="86">
        <row r="1">
          <cell r="A1" t="str">
            <v>Plant</v>
          </cell>
        </row>
      </sheetData>
      <sheetData sheetId="87">
        <row r="1">
          <cell r="A1" t="str">
            <v>Plant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 &amp; P&amp;l (2)"/>
      <sheetName val="Mach wise Activity Cost"/>
      <sheetName val="Power_Fuel"/>
      <sheetName val="MASTER"/>
    </sheetNames>
    <sheetDataSet>
      <sheetData sheetId="0">
        <row r="86">
          <cell r="E86">
            <v>11176.046967300001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  <sheetName val="CSCCincSK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solidated"/>
      <sheetName val="IRR"/>
      <sheetName val="LTM 8-30"/>
      <sheetName val="LTM 6-30"/>
      <sheetName val="Covenants"/>
      <sheetName val="Capex"/>
      <sheetName val="pending i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  <sheetName val="pending indent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ing 2nd qtr"/>
      <sheetName val="sUMMARY"/>
      <sheetName val="BUYER WISE PACKING aug"/>
      <sheetName val="jan feb"/>
      <sheetName val="march"/>
      <sheetName val="COST PER KG "/>
      <sheetName val="July"/>
      <sheetName val="Packing_2nd_qtr"/>
      <sheetName val="BUYER_WISE_PACKING_aug"/>
      <sheetName val="jan_feb"/>
      <sheetName val="COST_PER_KG_"/>
      <sheetName val="DAILY LAY REPOR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-DESP"/>
      <sheetName val="Sheet3"/>
      <sheetName val="Sheet4"/>
      <sheetName val="PRD-131-2"/>
      <sheetName val="PRD-101-2"/>
      <sheetName val="Sheet1 (3)"/>
      <sheetName val="Sheet2"/>
      <sheetName val="PROD131-2"/>
      <sheetName val="PROD-101-2"/>
      <sheetName val="Sheet1"/>
      <sheetName val="WASTE"/>
      <sheetName val="Sheet5"/>
      <sheetName val="Sheet6"/>
      <sheetName val="Sheet7"/>
      <sheetName val="RM"/>
      <sheetName val="STOCK"/>
      <sheetName val="JOB-PACK"/>
      <sheetName val="PACK-1"/>
      <sheetName val="dsp"/>
      <sheetName val="PACK-W"/>
      <sheetName val="PACK-RTS"/>
      <sheetName val="Sheet1_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_MAN"/>
      <sheetName val="FORMAT4"/>
      <sheetName val="incst-tcf"/>
      <sheetName val="KEYCODES(TCF)"/>
      <sheetName val="INTER-UNIT"/>
      <sheetName val="rmvar"/>
      <sheetName val="lactam-rate"/>
      <sheetName val="fin-link"/>
      <sheetName val="CONTN (2)"/>
      <sheetName val="ebidt"/>
      <sheetName val="end_point"/>
      <sheetName val="fixexp_analysis"/>
      <sheetName val="key-ind"/>
      <sheetName val="adj-2002-03"/>
      <sheetName val="may02"/>
      <sheetName val="Incst-PY-M-01-02"/>
      <sheetName val="LED"/>
      <sheetName val="TFAA"/>
      <sheetName val="l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al"/>
      <sheetName val="Sheet3"/>
      <sheetName val="pending inden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2-Pager"/>
      <sheetName val="Indian Major_Trading_"/>
      <sheetName val="Indian Maj History"/>
      <sheetName val="US_UK_Trading"/>
      <sheetName val="Hist_US_UK"/>
      <sheetName val="Indian_second_Comps"/>
      <sheetName val="Indian_Second_hist"/>
      <sheetName val="Sh_out_backup"/>
      <sheetName val="Mascot"/>
      <sheetName val="Aztec"/>
      <sheetName val="Polaris_Orbitech"/>
      <sheetName val="US_visit_comps"/>
      <sheetName val="Sonata"/>
      <sheetName val="Zensar"/>
      <sheetName val="Hexaware"/>
      <sheetName val="Covansys"/>
      <sheetName val="pending i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YS"/>
      <sheetName val="BS"/>
      <sheetName val="TB"/>
      <sheetName val="BL"/>
      <sheetName val="TM"/>
      <sheetName val="MS"/>
      <sheetName val="GW"/>
      <sheetName val="PL"/>
      <sheetName val="EP"/>
      <sheetName val="Head Office"/>
      <sheetName val="Consolidated"/>
      <sheetName val="Summary"/>
      <sheetName val="Bal.Sheet"/>
      <sheetName val="Bal.Sheet(2)"/>
      <sheetName val="Balance Sheet"/>
      <sheetName val="Cash Flow"/>
      <sheetName val="Capex"/>
      <sheetName val="Facilities4Funding"/>
      <sheetName val="Loan details"/>
      <sheetName val="YS-Bud"/>
      <sheetName val="BS-Bud"/>
      <sheetName val="TB-Bud"/>
      <sheetName val="BL-Bud"/>
      <sheetName val="TM-Bud"/>
      <sheetName val="MS-Bud"/>
      <sheetName val="GW-Bud"/>
      <sheetName val="PL-Bud"/>
      <sheetName val="EP-Bud"/>
      <sheetName val="Head Office-Bud"/>
      <sheetName val="YS_Bud"/>
      <sheetName val="BS_Bud"/>
      <sheetName val="TB_Bud"/>
      <sheetName val="BL_Bud"/>
      <sheetName val="TM_Bud"/>
      <sheetName val="MS_Bud"/>
      <sheetName val="GW_Bud"/>
      <sheetName val="PL_Bud"/>
      <sheetName val="Head Office_Bud"/>
      <sheetName val="Excise on RM"/>
      <sheetName val="Power&amp;Fuel"/>
      <sheetName val="MFG-EXP"/>
      <sheetName val="Debtor Ageing_31.12.2010"/>
      <sheetName val="Masters"/>
      <sheetName val="BRP&amp;L"/>
      <sheetName val="BS Summary"/>
      <sheetName val="Sheet1"/>
      <sheetName val="Cap"/>
      <sheetName val="NEW O.S. 06-07"/>
      <sheetName val="Macrow"/>
      <sheetName val="working"/>
      <sheetName val="#REF"/>
      <sheetName val="Head_Office"/>
      <sheetName val="Bal_Sheet"/>
      <sheetName val="Bal_Sheet(2)"/>
      <sheetName val="Balance_Sheet"/>
      <sheetName val="Cash_Flow"/>
      <sheetName val="Loan_details"/>
      <sheetName val="Head_Office-Bud"/>
      <sheetName val="Head_Office_Bud"/>
      <sheetName val="Excise_on_RM"/>
      <sheetName val="Debtor_Ageing_31_12_2010"/>
      <sheetName val="Support - US"/>
      <sheetName val="Dropdowns"/>
      <sheetName val="ADDNS"/>
      <sheetName val="SALES-VAL"/>
      <sheetName val="dhlrates (AOP 2008)"/>
      <sheetName val="dhlrates (NER 2009)"/>
      <sheetName val="UNIDADES"/>
      <sheetName val="spares"/>
      <sheetName val="Nskveh"/>
      <sheetName val="Pr.-hist."/>
      <sheetName val="Revenue-Invoicewise"/>
      <sheetName val="Mkt Cap"/>
      <sheetName val="e0604008"/>
      <sheetName val="pending indent"/>
      <sheetName val="Sch5TO10"/>
      <sheetName val="GROUPING"/>
      <sheetName val="1.0"/>
      <sheetName val="1.3"/>
      <sheetName val="2.0"/>
      <sheetName val="3.0"/>
      <sheetName val="8.0"/>
      <sheetName val="12.0"/>
      <sheetName val="13.1"/>
      <sheetName val="27.0"/>
      <sheetName val="27.1"/>
      <sheetName val="36.1"/>
      <sheetName val="38.0"/>
      <sheetName val="50.0"/>
      <sheetName val="50.1"/>
      <sheetName val="key parameter1st"/>
      <sheetName val="sales "/>
      <sheetName val="Stock"/>
      <sheetName val="liability"/>
      <sheetName val="Do not delete"/>
      <sheetName val="Sch"/>
      <sheetName val=" Peer Group Ps"/>
      <sheetName val="TRC Chart"/>
      <sheetName val="TC Chart"/>
      <sheetName val="GC Chart"/>
      <sheetName val="BS Chart"/>
      <sheetName val="Internal Fairness"/>
      <sheetName val="Market Data"/>
      <sheetName val="Market Data2"/>
      <sheetName val="Peer vs Gen Mkt"/>
      <sheetName val="Company Data"/>
      <sheetName val="Policy"/>
      <sheetName val="Matrix Summary"/>
      <sheetName val="1-Managerial"/>
      <sheetName val="2-Gen Staff"/>
      <sheetName val="4-Others2"/>
      <sheetName val="Parameter"/>
      <sheetName val="Total Haryana POs AMC Sheet 3%"/>
      <sheetName val="delhi 03-04AMC @ 3%"/>
      <sheetName val="itemsdetails"/>
      <sheetName val="Calendar year Summary Plan"/>
      <sheetName val="chiet tinh"/>
      <sheetName val="Forecast summary"/>
      <sheetName val="Groupings-final"/>
      <sheetName val="Sched"/>
      <sheetName val="Trial"/>
      <sheetName val="FA_Final"/>
      <sheetName val="debt schedule"/>
      <sheetName val="Exchange rate"/>
      <sheetName val="FA-LISTING"/>
      <sheetName val="FIX_INCOME"/>
      <sheetName val="Controls"/>
      <sheetName val="Print Controls"/>
      <sheetName val="Inputs"/>
      <sheetName val="Sheet2"/>
      <sheetName val="Banquet Equipment"/>
      <sheetName val="China Bqt RS ADD RM STAFF"/>
      <sheetName val="Cleaning Equipment"/>
      <sheetName val="Dining Accessories"/>
      <sheetName val="Engineering Tools"/>
      <sheetName val="Glassware BQT STAFF"/>
      <sheetName val="Minor Electrical Equipment"/>
      <sheetName val="Guestr.HSK Acc"/>
      <sheetName val="Material Trucks"/>
      <sheetName val="Office Furniture"/>
      <sheetName val="Recreational Equipment"/>
      <sheetName val="Shelving &amp; Lockers"/>
      <sheetName val="Silverware"/>
      <sheetName val="Uniforms"/>
      <sheetName val="Vehicles"/>
      <sheetName val="F&amp;B Special"/>
      <sheetName val="SAW"/>
      <sheetName val="Vendor"/>
      <sheetName val="Audit and Accounting Issues"/>
      <sheetName val="Variables"/>
      <sheetName val="Menu"/>
      <sheetName val="Assumptions"/>
      <sheetName val="Drivers"/>
      <sheetName val="Bid_Sheet"/>
      <sheetName val="LabourRates"/>
      <sheetName val="DATA"/>
      <sheetName val="Report Setup Sheet"/>
      <sheetName val="Prior Quarter Changes"/>
      <sheetName val="Country Total"/>
      <sheetName val="Apple"/>
      <sheetName val="Arcelor Mittal"/>
      <sheetName val="Barclays"/>
      <sheetName val="Bayer"/>
      <sheetName val="Bloomberg"/>
      <sheetName val="Daimler"/>
      <sheetName val="Deutsche Bank"/>
      <sheetName val="Deutsche Telecom"/>
      <sheetName val="DSM"/>
      <sheetName val="DuPont"/>
      <sheetName val="E-ON"/>
      <sheetName val="Exxon"/>
      <sheetName val="Fed Ex"/>
      <sheetName val="Fiserv"/>
      <sheetName val="Flextronics"/>
      <sheetName val="GEA Gruppe"/>
      <sheetName val="GSK"/>
      <sheetName val="Harris"/>
      <sheetName val="IKEA"/>
      <sheetName val="Imperial Tobacco"/>
      <sheetName val="ING"/>
      <sheetName val="Ingersoll Rand"/>
      <sheetName val="Jabil"/>
      <sheetName val="Kodak"/>
      <sheetName val="Kraft"/>
      <sheetName val="Linde AG"/>
      <sheetName val="Merck"/>
      <sheetName val="MMC"/>
      <sheetName val="Nestle"/>
      <sheetName val="Nike"/>
      <sheetName val="Pepsi"/>
      <sheetName val="Pfizer"/>
      <sheetName val="Reed"/>
      <sheetName val="Roche"/>
      <sheetName val="Sanofi Aventis"/>
      <sheetName val="SAP"/>
      <sheetName val="Siemens"/>
      <sheetName val="Societe Generale"/>
      <sheetName val="The Bosch Group"/>
      <sheetName val="Time Warner"/>
      <sheetName val="UBS"/>
      <sheetName val="Vestas"/>
      <sheetName val="Visa"/>
      <sheetName val="Walt Disney"/>
      <sheetName val="Wartsila"/>
      <sheetName val="World Bank"/>
      <sheetName val="Abbott"/>
      <sheetName val="Yahoo"/>
      <sheetName val="SW"/>
      <sheetName val="Total Data"/>
      <sheetName val="Offline and Online Breakdown"/>
      <sheetName val="data input list"/>
      <sheetName val="Country Input Sheet"/>
      <sheetName val="Market Workings"/>
      <sheetName val="Agency Imp Costs &amp; Sales Comm."/>
      <sheetName val="Fee Workings"/>
      <sheetName val="Internal P&amp;L"/>
      <sheetName val="Bundled Trx Fees"/>
      <sheetName val="Internal Summary-US"/>
      <sheetName val="EMEA Internal Summary"/>
      <sheetName val="Fully Bundled Fees"/>
      <sheetName val="Blended Bundled Fees"/>
      <sheetName val="Menu - Unbundled Trx Fees"/>
      <sheetName val="Mgmt Fee - One Voice"/>
      <sheetName val="Mgmt Fee - FS"/>
      <sheetName val="Bid Notes"/>
      <sheetName val="NSA Strategy"/>
      <sheetName val="US - Information"/>
      <sheetName val="Bln Sh"/>
      <sheetName val="Fn Anl"/>
      <sheetName val="Inc St"/>
      <sheetName val="Prf-Exp"/>
      <sheetName val="PARTS"/>
      <sheetName val="A0744339"/>
      <sheetName val="Outgoing"/>
      <sheetName val="Incoming"/>
      <sheetName val="Returns Backup"/>
      <sheetName val="Int Rates"/>
      <sheetName val="macros"/>
      <sheetName val="BASE REAL"/>
      <sheetName val="NTA"/>
      <sheetName val="OBC"/>
      <sheetName val="SCEL Funding"/>
      <sheetName val="Parameters and Tables"/>
      <sheetName val="EPS"/>
      <sheetName val="Alok"/>
      <sheetName val="Amol"/>
      <sheetName val="Anand"/>
      <sheetName val="Anindya "/>
      <sheetName val="Chetan"/>
      <sheetName val="Chitnis"/>
      <sheetName val="Deepak"/>
      <sheetName val="R. Devarajan"/>
      <sheetName val="Girish"/>
      <sheetName val="Harry"/>
      <sheetName val="Jeetu"/>
      <sheetName val="Kuldeepak"/>
      <sheetName val="Mahesh "/>
      <sheetName val="Mandar"/>
      <sheetName val="Manoj"/>
      <sheetName val="Milind Acharya"/>
      <sheetName val="Milind Pande"/>
      <sheetName val="MLMahindra"/>
      <sheetName val="Mohan"/>
      <sheetName val="Navjit"/>
      <sheetName val="Nozer"/>
      <sheetName val="Ram Pattabhi"/>
      <sheetName val="Prabhanjan"/>
      <sheetName val="Revati"/>
      <sheetName val="R Chatterjee"/>
      <sheetName val="Roy"/>
      <sheetName val="Sagar"/>
      <sheetName val="salaj"/>
      <sheetName val="Sameer"/>
      <sheetName val="Sandeep C"/>
      <sheetName val="Sandeep Tulshyan"/>
      <sheetName val="Sanjay"/>
      <sheetName val="Santosh"/>
      <sheetName val="Shardul"/>
      <sheetName val="Shivkumar"/>
      <sheetName val="Subir "/>
      <sheetName val="Suman"/>
      <sheetName val="Swami"/>
      <sheetName val="Vighnesh"/>
      <sheetName val="Vishal"/>
      <sheetName val="Market"/>
      <sheetName val="MTS_comp_out of SAP"/>
      <sheetName val="Trial Balance"/>
      <sheetName val="Stock Chart"/>
      <sheetName val="Library Procedures"/>
      <sheetName val="Codes"/>
      <sheetName val="master_booking_lost"/>
      <sheetName val="Interest"/>
      <sheetName val="Ring Details"/>
      <sheetName val="Location"/>
      <sheetName val="Table"/>
      <sheetName val="Options"/>
      <sheetName val=""/>
      <sheetName val="Singapore"/>
      <sheetName val="Cover"/>
      <sheetName val="Notes"/>
      <sheetName val="Sum"/>
      <sheetName val="Revenues"/>
      <sheetName val="Direct"/>
      <sheetName val="Allocated"/>
      <sheetName val="Headcount"/>
      <sheetName val="AUM"/>
      <sheetName val="AYU PM-rates"/>
      <sheetName val="AYU RM-RATES"/>
      <sheetName val="외화금융(97-03)"/>
      <sheetName val="Listing"/>
      <sheetName val="NLD - Assum"/>
      <sheetName val="Capex-fixed"/>
      <sheetName val="Stock-06"/>
      <sheetName val="STORE NAME"/>
      <sheetName val="Control"/>
      <sheetName val="FX Rates"/>
      <sheetName val="Print_Controls"/>
      <sheetName val="NEW_O_S__06-07"/>
      <sheetName val="Total_Haryana_POs_AMC_Sheet_3%"/>
      <sheetName val="delhi_03-04AMC_@_3%"/>
      <sheetName val="STORE_NAME"/>
      <sheetName val="FX_Rates"/>
      <sheetName val="Head_Office1"/>
      <sheetName val="Bal_Sheet1"/>
      <sheetName val="Bal_Sheet(2)1"/>
      <sheetName val="Balance_Sheet1"/>
      <sheetName val="Cash_Flow1"/>
      <sheetName val="Loan_details1"/>
      <sheetName val="Head_Office-Bud1"/>
      <sheetName val="Head_Office_Bud1"/>
      <sheetName val="Debtor_Ageing_31_12_20101"/>
      <sheetName val="Excise_on_RM1"/>
      <sheetName val="Print_Controls1"/>
      <sheetName val="BASE_REAL"/>
      <sheetName val="Bln_Sh"/>
      <sheetName val="Fn_Anl"/>
      <sheetName val="Inc_St"/>
      <sheetName val="sales_"/>
      <sheetName val="price vs.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1">
          <cell r="A11">
            <v>1</v>
          </cell>
          <cell r="B11" t="str">
            <v>Net Film Revenue</v>
          </cell>
          <cell r="E11">
            <v>428.8</v>
          </cell>
          <cell r="F11">
            <v>435.5</v>
          </cell>
          <cell r="G11">
            <v>569.5</v>
          </cell>
          <cell r="H11">
            <v>428.8</v>
          </cell>
          <cell r="I11">
            <v>455.6</v>
          </cell>
          <cell r="J11">
            <v>643.20000000000005</v>
          </cell>
          <cell r="K11">
            <v>442.2</v>
          </cell>
          <cell r="L11">
            <v>502.5</v>
          </cell>
          <cell r="M11">
            <v>569.5</v>
          </cell>
          <cell r="N11">
            <v>428.8</v>
          </cell>
          <cell r="O11">
            <v>562.79999999999995</v>
          </cell>
          <cell r="P11">
            <v>515.9</v>
          </cell>
          <cell r="Q11">
            <v>0</v>
          </cell>
          <cell r="T11">
            <v>0</v>
          </cell>
          <cell r="U11">
            <v>5983.1</v>
          </cell>
          <cell r="V11">
            <v>6314.3334699999987</v>
          </cell>
          <cell r="W11">
            <v>8724.0589999999993</v>
          </cell>
          <cell r="X11">
            <v>-331.23346999999922</v>
          </cell>
          <cell r="Y11">
            <v>-2740.9589999999998</v>
          </cell>
        </row>
        <row r="12">
          <cell r="A12">
            <v>2</v>
          </cell>
          <cell r="B12" t="str">
            <v>Concession Sales</v>
          </cell>
          <cell r="E12">
            <v>73.599999999999994</v>
          </cell>
          <cell r="F12">
            <v>74.75</v>
          </cell>
          <cell r="G12">
            <v>97.75</v>
          </cell>
          <cell r="H12">
            <v>73.599999999999994</v>
          </cell>
          <cell r="I12">
            <v>78.2</v>
          </cell>
          <cell r="J12">
            <v>110.4</v>
          </cell>
          <cell r="K12">
            <v>75.900000000000006</v>
          </cell>
          <cell r="L12">
            <v>86.25</v>
          </cell>
          <cell r="M12">
            <v>97.75</v>
          </cell>
          <cell r="N12">
            <v>73.599999999999994</v>
          </cell>
          <cell r="O12">
            <v>96.6</v>
          </cell>
          <cell r="P12">
            <v>88.55</v>
          </cell>
          <cell r="T12">
            <v>0</v>
          </cell>
          <cell r="U12">
            <v>1026.95</v>
          </cell>
          <cell r="V12">
            <v>1061.2433399999998</v>
          </cell>
          <cell r="W12">
            <v>1287.2809999999999</v>
          </cell>
          <cell r="X12">
            <v>-34.293339999999716</v>
          </cell>
          <cell r="Y12">
            <v>-260.3309999999999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32.5</v>
          </cell>
          <cell r="F15">
            <v>32.5</v>
          </cell>
          <cell r="G15">
            <v>32.5</v>
          </cell>
          <cell r="H15">
            <v>32.5</v>
          </cell>
          <cell r="I15">
            <v>32.5</v>
          </cell>
          <cell r="J15">
            <v>32.5</v>
          </cell>
          <cell r="K15">
            <v>32.5</v>
          </cell>
          <cell r="L15">
            <v>32.5</v>
          </cell>
          <cell r="M15">
            <v>32.5</v>
          </cell>
          <cell r="N15">
            <v>32.5</v>
          </cell>
          <cell r="O15">
            <v>32.5</v>
          </cell>
          <cell r="P15">
            <v>32.5</v>
          </cell>
          <cell r="T15">
            <v>0</v>
          </cell>
          <cell r="U15">
            <v>390</v>
          </cell>
          <cell r="V15">
            <v>355.49998999999997</v>
          </cell>
          <cell r="W15">
            <v>274.60199999999998</v>
          </cell>
          <cell r="X15">
            <v>34.500010000000032</v>
          </cell>
          <cell r="Y15">
            <v>115.39800000000002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9.4376250000000006</v>
          </cell>
          <cell r="F16">
            <v>9.4376250000000006</v>
          </cell>
          <cell r="G16">
            <v>9.4376250000000006</v>
          </cell>
          <cell r="H16">
            <v>9.4376250000000006</v>
          </cell>
          <cell r="I16">
            <v>9.4376250000000006</v>
          </cell>
          <cell r="J16">
            <v>9.4376250000000006</v>
          </cell>
          <cell r="K16">
            <v>9.4376250000000006</v>
          </cell>
          <cell r="L16">
            <v>9.4376250000000006</v>
          </cell>
          <cell r="M16">
            <v>9.4376250000000006</v>
          </cell>
          <cell r="N16">
            <v>9.4376250000000006</v>
          </cell>
          <cell r="O16">
            <v>9.4376250000000006</v>
          </cell>
          <cell r="P16">
            <v>9.4376250000000006</v>
          </cell>
          <cell r="R16">
            <v>0</v>
          </cell>
          <cell r="S16">
            <v>0</v>
          </cell>
          <cell r="T16">
            <v>0</v>
          </cell>
          <cell r="U16">
            <v>113.25149999999998</v>
          </cell>
          <cell r="V16">
            <v>140.56952999999999</v>
          </cell>
          <cell r="W16">
            <v>79.453000000000003</v>
          </cell>
          <cell r="X16">
            <v>-27.318030000000007</v>
          </cell>
          <cell r="Y16">
            <v>33.798499999999976</v>
          </cell>
        </row>
        <row r="17">
          <cell r="B17" t="str">
            <v>TOTAL REVENUE</v>
          </cell>
          <cell r="C17">
            <v>0</v>
          </cell>
          <cell r="E17">
            <v>544.337625</v>
          </cell>
          <cell r="F17">
            <v>552.18762500000003</v>
          </cell>
          <cell r="G17">
            <v>709.18762500000003</v>
          </cell>
          <cell r="H17">
            <v>544.337625</v>
          </cell>
          <cell r="I17">
            <v>575.73762499999998</v>
          </cell>
          <cell r="J17">
            <v>795.53762500000005</v>
          </cell>
          <cell r="K17">
            <v>560.03762500000005</v>
          </cell>
          <cell r="L17">
            <v>630.68762500000003</v>
          </cell>
          <cell r="M17">
            <v>709.18762500000003</v>
          </cell>
          <cell r="N17">
            <v>544.337625</v>
          </cell>
          <cell r="O17">
            <v>701.33762500000012</v>
          </cell>
          <cell r="P17">
            <v>646.38762499999996</v>
          </cell>
          <cell r="R17">
            <v>0</v>
          </cell>
          <cell r="S17">
            <v>0</v>
          </cell>
          <cell r="T17">
            <v>0</v>
          </cell>
          <cell r="U17">
            <v>7513.3015000000005</v>
          </cell>
          <cell r="V17">
            <v>7871.6463299999987</v>
          </cell>
          <cell r="W17">
            <v>10365.395</v>
          </cell>
          <cell r="X17">
            <v>-358.34482999999818</v>
          </cell>
          <cell r="Y17">
            <v>-2852.0934999999999</v>
          </cell>
        </row>
        <row r="19">
          <cell r="A19">
            <v>7</v>
          </cell>
          <cell r="B19" t="str">
            <v>Film Hire</v>
          </cell>
          <cell r="E19">
            <v>199.39200000000002</v>
          </cell>
          <cell r="F19">
            <v>202.50749999999999</v>
          </cell>
          <cell r="G19">
            <v>264.8175</v>
          </cell>
          <cell r="H19">
            <v>199.39200000000002</v>
          </cell>
          <cell r="I19">
            <v>211.85400000000001</v>
          </cell>
          <cell r="J19">
            <v>299.08800000000002</v>
          </cell>
          <cell r="K19">
            <v>205.62300000000002</v>
          </cell>
          <cell r="L19">
            <v>233.66249999999999</v>
          </cell>
          <cell r="M19">
            <v>264.8175</v>
          </cell>
          <cell r="N19">
            <v>199.39200000000002</v>
          </cell>
          <cell r="O19">
            <v>261.70200000000006</v>
          </cell>
          <cell r="P19">
            <v>239.89349999999999</v>
          </cell>
          <cell r="U19">
            <v>2782.1415000000006</v>
          </cell>
          <cell r="V19">
            <v>2918.7243400000002</v>
          </cell>
          <cell r="W19">
            <v>3991.942</v>
          </cell>
          <cell r="X19">
            <v>-136.58283999999958</v>
          </cell>
          <cell r="Y19">
            <v>-1209.8004999999994</v>
          </cell>
        </row>
        <row r="20">
          <cell r="A20">
            <v>8</v>
          </cell>
          <cell r="B20" t="str">
            <v>Concession Cost</v>
          </cell>
          <cell r="E20">
            <v>16.192</v>
          </cell>
          <cell r="F20">
            <v>16.445</v>
          </cell>
          <cell r="G20">
            <v>21.504999999999999</v>
          </cell>
          <cell r="H20">
            <v>16.192</v>
          </cell>
          <cell r="I20">
            <v>17.203999999999997</v>
          </cell>
          <cell r="J20">
            <v>24.287999999999997</v>
          </cell>
          <cell r="K20">
            <v>16.697999999999997</v>
          </cell>
          <cell r="L20">
            <v>18.975000000000001</v>
          </cell>
          <cell r="M20">
            <v>21.504999999999999</v>
          </cell>
          <cell r="N20">
            <v>16.192</v>
          </cell>
          <cell r="O20">
            <v>21.251999999999999</v>
          </cell>
          <cell r="P20">
            <v>19.480999999999998</v>
          </cell>
          <cell r="T20">
            <v>0</v>
          </cell>
          <cell r="U20">
            <v>225.929</v>
          </cell>
          <cell r="V20">
            <v>222.33358999999999</v>
          </cell>
          <cell r="W20">
            <v>332.161</v>
          </cell>
          <cell r="X20">
            <v>3.5954100000000153</v>
          </cell>
          <cell r="Y20">
            <v>-106.232</v>
          </cell>
        </row>
        <row r="21">
          <cell r="A21">
            <v>9</v>
          </cell>
          <cell r="B21" t="str">
            <v>Less Concession Rebates</v>
          </cell>
          <cell r="E21">
            <v>-1.84</v>
          </cell>
          <cell r="F21">
            <v>-1.8687499999999999</v>
          </cell>
          <cell r="G21">
            <v>-2.4437500000000001</v>
          </cell>
          <cell r="H21">
            <v>-1.84</v>
          </cell>
          <cell r="I21">
            <v>-1.9550000000000001</v>
          </cell>
          <cell r="J21">
            <v>-2.76</v>
          </cell>
          <cell r="K21">
            <v>-1.8975</v>
          </cell>
          <cell r="L21">
            <v>-2.15625</v>
          </cell>
          <cell r="M21">
            <v>-2.4437500000000001</v>
          </cell>
          <cell r="N21">
            <v>-1.84</v>
          </cell>
          <cell r="O21">
            <v>-2.415</v>
          </cell>
          <cell r="P21">
            <v>-2.2137500000000001</v>
          </cell>
          <cell r="U21">
            <v>-25.673749999999998</v>
          </cell>
          <cell r="V21">
            <v>-32.79</v>
          </cell>
          <cell r="W21">
            <v>-54.335999999999999</v>
          </cell>
          <cell r="X21">
            <v>7.11625</v>
          </cell>
          <cell r="Y21">
            <v>28.66225</v>
          </cell>
        </row>
        <row r="22">
          <cell r="A22">
            <v>10</v>
          </cell>
          <cell r="B22" t="str">
            <v>Advertising Cost</v>
          </cell>
          <cell r="E22">
            <v>9.8624000000000009</v>
          </cell>
          <cell r="F22">
            <v>10.016500000000001</v>
          </cell>
          <cell r="G22">
            <v>13.0985</v>
          </cell>
          <cell r="H22">
            <v>9.8624000000000009</v>
          </cell>
          <cell r="I22">
            <v>10.4788</v>
          </cell>
          <cell r="J22">
            <v>14.793600000000001</v>
          </cell>
          <cell r="K22">
            <v>10.1706</v>
          </cell>
          <cell r="L22">
            <v>11.557499999999999</v>
          </cell>
          <cell r="M22">
            <v>13.0985</v>
          </cell>
          <cell r="N22">
            <v>9.8624000000000009</v>
          </cell>
          <cell r="O22">
            <v>12.944400000000002</v>
          </cell>
          <cell r="P22">
            <v>11.865699999999999</v>
          </cell>
          <cell r="T22">
            <v>0</v>
          </cell>
          <cell r="U22">
            <v>137.61130000000003</v>
          </cell>
          <cell r="V22">
            <v>157.63596999999999</v>
          </cell>
          <cell r="W22">
            <v>206.21799999999999</v>
          </cell>
          <cell r="X22">
            <v>-20.024669999999958</v>
          </cell>
          <cell r="Y22">
            <v>-68.606699999999961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0.85760000000000003</v>
          </cell>
          <cell r="F23">
            <v>0.871</v>
          </cell>
          <cell r="G23">
            <v>1.139</v>
          </cell>
          <cell r="H23">
            <v>0.85760000000000003</v>
          </cell>
          <cell r="I23">
            <v>0.91120000000000001</v>
          </cell>
          <cell r="J23">
            <v>1.2864000000000002</v>
          </cell>
          <cell r="K23">
            <v>0.88439999999999996</v>
          </cell>
          <cell r="L23">
            <v>1.0049999999999999</v>
          </cell>
          <cell r="M23">
            <v>1.139</v>
          </cell>
          <cell r="N23">
            <v>0.85760000000000003</v>
          </cell>
          <cell r="O23">
            <v>1.1256000000000002</v>
          </cell>
          <cell r="P23">
            <v>1.0318000000000001</v>
          </cell>
          <cell r="R23">
            <v>0</v>
          </cell>
          <cell r="S23">
            <v>0</v>
          </cell>
          <cell r="T23">
            <v>0</v>
          </cell>
          <cell r="U23">
            <v>11.966200000000001</v>
          </cell>
          <cell r="V23">
            <v>12.628666939999997</v>
          </cell>
          <cell r="W23">
            <v>17.448117999999997</v>
          </cell>
          <cell r="X23">
            <v>-0.66246693999999628</v>
          </cell>
          <cell r="Y23">
            <v>-5.4819179999999967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37.290862671494246</v>
          </cell>
          <cell r="F24">
            <v>37.290862671494246</v>
          </cell>
          <cell r="G24">
            <v>38.390862671494247</v>
          </cell>
          <cell r="H24">
            <v>37.290862671494246</v>
          </cell>
          <cell r="I24">
            <v>37.290862671494246</v>
          </cell>
          <cell r="J24">
            <v>38.390862671494247</v>
          </cell>
          <cell r="K24">
            <v>38.091679218794241</v>
          </cell>
          <cell r="L24">
            <v>38.091679218794241</v>
          </cell>
          <cell r="M24">
            <v>39.191679218794242</v>
          </cell>
          <cell r="N24">
            <v>38.091679218794241</v>
          </cell>
          <cell r="O24">
            <v>39.191679218794242</v>
          </cell>
          <cell r="P24">
            <v>39.191679218794242</v>
          </cell>
          <cell r="R24">
            <v>0</v>
          </cell>
          <cell r="S24">
            <v>0</v>
          </cell>
          <cell r="T24">
            <v>0</v>
          </cell>
          <cell r="U24">
            <v>457.79525134173099</v>
          </cell>
          <cell r="V24">
            <v>597.6969049999999</v>
          </cell>
          <cell r="W24">
            <v>827.36200000000008</v>
          </cell>
          <cell r="X24">
            <v>-139.90165365826891</v>
          </cell>
          <cell r="Y24">
            <v>-369.56674865826909</v>
          </cell>
        </row>
        <row r="25">
          <cell r="B25" t="str">
            <v>TOTAL COST</v>
          </cell>
          <cell r="C25">
            <v>0</v>
          </cell>
          <cell r="E25">
            <v>261.75486267149427</v>
          </cell>
          <cell r="F25">
            <v>265.26211267149426</v>
          </cell>
          <cell r="G25">
            <v>336.50711267149421</v>
          </cell>
          <cell r="H25">
            <v>261.75486267149427</v>
          </cell>
          <cell r="I25">
            <v>275.78386267149426</v>
          </cell>
          <cell r="J25">
            <v>375.08686267149432</v>
          </cell>
          <cell r="K25">
            <v>269.57017921879424</v>
          </cell>
          <cell r="L25">
            <v>301.13542921879423</v>
          </cell>
          <cell r="M25">
            <v>337.30792921879424</v>
          </cell>
          <cell r="N25">
            <v>262.55567921879424</v>
          </cell>
          <cell r="O25">
            <v>333.80067921879436</v>
          </cell>
          <cell r="P25">
            <v>309.24992921879425</v>
          </cell>
          <cell r="R25">
            <v>0</v>
          </cell>
          <cell r="S25">
            <v>0</v>
          </cell>
          <cell r="T25">
            <v>0</v>
          </cell>
          <cell r="U25">
            <v>3589.7695013417315</v>
          </cell>
          <cell r="V25">
            <v>3876.2294719400002</v>
          </cell>
          <cell r="W25">
            <v>5320.795118</v>
          </cell>
          <cell r="X25">
            <v>-286.45997059826868</v>
          </cell>
          <cell r="Y25">
            <v>-1731.0256166582685</v>
          </cell>
        </row>
        <row r="27">
          <cell r="B27" t="str">
            <v>GROSS MARGIN</v>
          </cell>
          <cell r="C27">
            <v>0</v>
          </cell>
          <cell r="E27">
            <v>282.58276232850574</v>
          </cell>
          <cell r="F27">
            <v>286.92551232850576</v>
          </cell>
          <cell r="G27">
            <v>372.68051232850581</v>
          </cell>
          <cell r="H27">
            <v>282.58276232850574</v>
          </cell>
          <cell r="I27">
            <v>299.95376232850572</v>
          </cell>
          <cell r="J27">
            <v>420.45076232850573</v>
          </cell>
          <cell r="K27">
            <v>290.46744578120581</v>
          </cell>
          <cell r="L27">
            <v>329.5521957812058</v>
          </cell>
          <cell r="M27">
            <v>371.87969578120578</v>
          </cell>
          <cell r="N27">
            <v>281.78194578120576</v>
          </cell>
          <cell r="O27">
            <v>367.53694578120576</v>
          </cell>
          <cell r="P27">
            <v>337.13769578120571</v>
          </cell>
          <cell r="R27">
            <v>0</v>
          </cell>
          <cell r="S27">
            <v>0</v>
          </cell>
          <cell r="T27">
            <v>0</v>
          </cell>
          <cell r="U27">
            <v>3923.5319986582695</v>
          </cell>
          <cell r="V27">
            <v>3995.4168580599985</v>
          </cell>
          <cell r="W27">
            <v>5044.5998820000004</v>
          </cell>
          <cell r="X27">
            <v>-71.884859401729045</v>
          </cell>
          <cell r="Y27">
            <v>-1121.067883341731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>
            <v>14</v>
          </cell>
          <cell r="B30" t="str">
            <v>Light, Heat and Power</v>
          </cell>
          <cell r="E30">
            <v>20.2</v>
          </cell>
          <cell r="F30">
            <v>20.2</v>
          </cell>
          <cell r="G30">
            <v>20.2</v>
          </cell>
          <cell r="H30">
            <v>20.2</v>
          </cell>
          <cell r="I30">
            <v>20.2</v>
          </cell>
          <cell r="J30">
            <v>20.2</v>
          </cell>
          <cell r="K30">
            <v>20.2</v>
          </cell>
          <cell r="L30">
            <v>20.2</v>
          </cell>
          <cell r="M30">
            <v>20.2</v>
          </cell>
          <cell r="N30">
            <v>20.2</v>
          </cell>
          <cell r="O30">
            <v>20.2</v>
          </cell>
          <cell r="P30">
            <v>20.2</v>
          </cell>
          <cell r="T30">
            <v>0</v>
          </cell>
          <cell r="U30">
            <v>242.4</v>
          </cell>
          <cell r="V30">
            <v>246.33176000000003</v>
          </cell>
          <cell r="W30">
            <v>271.14699999999999</v>
          </cell>
          <cell r="X30">
            <v>-3.9317600000000823</v>
          </cell>
          <cell r="Y30">
            <v>-28.747000000000043</v>
          </cell>
        </row>
        <row r="31">
          <cell r="A31">
            <v>15</v>
          </cell>
          <cell r="B31" t="str">
            <v>Repair &amp; Maintenance</v>
          </cell>
          <cell r="E31">
            <v>13.25</v>
          </cell>
          <cell r="F31">
            <v>13.25</v>
          </cell>
          <cell r="G31">
            <v>13.25</v>
          </cell>
          <cell r="H31">
            <v>18.25</v>
          </cell>
          <cell r="I31">
            <v>13.25</v>
          </cell>
          <cell r="J31">
            <v>13.25</v>
          </cell>
          <cell r="K31">
            <v>13.25</v>
          </cell>
          <cell r="L31">
            <v>13.25</v>
          </cell>
          <cell r="M31">
            <v>13.25</v>
          </cell>
          <cell r="N31">
            <v>13.25</v>
          </cell>
          <cell r="O31">
            <v>13.25</v>
          </cell>
          <cell r="P31">
            <v>13.25</v>
          </cell>
          <cell r="T31">
            <v>0</v>
          </cell>
          <cell r="U31">
            <v>164</v>
          </cell>
          <cell r="V31">
            <v>217.57400666666669</v>
          </cell>
          <cell r="W31">
            <v>328.58800000000002</v>
          </cell>
          <cell r="X31">
            <v>-53.574006666666691</v>
          </cell>
          <cell r="Y31">
            <v>-164.58800000000002</v>
          </cell>
        </row>
        <row r="32">
          <cell r="A32">
            <v>16</v>
          </cell>
          <cell r="B32" t="str">
            <v>Common Area Maintenance</v>
          </cell>
          <cell r="E32">
            <v>15.888</v>
          </cell>
          <cell r="F32">
            <v>15.888</v>
          </cell>
          <cell r="G32">
            <v>15.888</v>
          </cell>
          <cell r="H32">
            <v>15.888</v>
          </cell>
          <cell r="I32">
            <v>15.888</v>
          </cell>
          <cell r="J32">
            <v>15.888</v>
          </cell>
          <cell r="K32">
            <v>15.888</v>
          </cell>
          <cell r="L32">
            <v>15.888</v>
          </cell>
          <cell r="M32">
            <v>15.888</v>
          </cell>
          <cell r="N32">
            <v>15.888</v>
          </cell>
          <cell r="O32">
            <v>15.888</v>
          </cell>
          <cell r="P32">
            <v>15.888</v>
          </cell>
          <cell r="T32">
            <v>0</v>
          </cell>
          <cell r="U32">
            <v>190.65600000000003</v>
          </cell>
          <cell r="V32">
            <v>190.65660000000003</v>
          </cell>
          <cell r="W32">
            <v>186.501</v>
          </cell>
          <cell r="X32">
            <v>-5.9999999999149622E-4</v>
          </cell>
          <cell r="Y32">
            <v>4.1550000000000296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22.180588626714943</v>
          </cell>
          <cell r="F33">
            <v>22.180188626714941</v>
          </cell>
          <cell r="G33">
            <v>22.01230862671494</v>
          </cell>
          <cell r="H33">
            <v>22.180188626714941</v>
          </cell>
          <cell r="I33">
            <v>24.501308626714941</v>
          </cell>
          <cell r="J33">
            <v>22.19118862671494</v>
          </cell>
          <cell r="K33">
            <v>22.188196792187941</v>
          </cell>
          <cell r="L33">
            <v>24.151556792187943</v>
          </cell>
          <cell r="M33">
            <v>22.199196792187941</v>
          </cell>
          <cell r="N33">
            <v>22.009316792187942</v>
          </cell>
          <cell r="O33">
            <v>22.199196792187941</v>
          </cell>
          <cell r="P33">
            <v>22.020316792187941</v>
          </cell>
          <cell r="R33">
            <v>0</v>
          </cell>
          <cell r="S33">
            <v>0</v>
          </cell>
          <cell r="T33">
            <v>0</v>
          </cell>
          <cell r="U33">
            <v>270.01355251341727</v>
          </cell>
          <cell r="V33">
            <v>334.65881855333333</v>
          </cell>
          <cell r="W33">
            <v>415.33888200000001</v>
          </cell>
          <cell r="X33">
            <v>-64.645266039916066</v>
          </cell>
          <cell r="Y33">
            <v>-145.32532948658275</v>
          </cell>
        </row>
        <row r="35">
          <cell r="B35" t="str">
            <v>Total Overhead Expenses</v>
          </cell>
          <cell r="C35">
            <v>0</v>
          </cell>
          <cell r="E35">
            <v>71.518588626714944</v>
          </cell>
          <cell r="F35">
            <v>71.518188626714945</v>
          </cell>
          <cell r="G35">
            <v>121.2987</v>
          </cell>
          <cell r="H35">
            <v>76.518188626714945</v>
          </cell>
          <cell r="I35">
            <v>73.839308626714939</v>
          </cell>
          <cell r="J35">
            <v>71.529188626714941</v>
          </cell>
          <cell r="K35">
            <v>71.526196792187946</v>
          </cell>
          <cell r="L35">
            <v>73.48955679218794</v>
          </cell>
          <cell r="M35">
            <v>71.537196792187942</v>
          </cell>
          <cell r="N35">
            <v>71.347316792187939</v>
          </cell>
          <cell r="O35">
            <v>71.537196792187942</v>
          </cell>
          <cell r="P35">
            <v>71.358316792187935</v>
          </cell>
          <cell r="R35">
            <v>0</v>
          </cell>
          <cell r="S35">
            <v>0</v>
          </cell>
          <cell r="T35">
            <v>0</v>
          </cell>
          <cell r="U35">
            <v>867.06955251341731</v>
          </cell>
          <cell r="V35">
            <v>989.22118522000005</v>
          </cell>
          <cell r="W35">
            <v>1201.5748819999999</v>
          </cell>
          <cell r="X35">
            <v>-122.15163270658275</v>
          </cell>
          <cell r="Y35">
            <v>-334.50532948658258</v>
          </cell>
        </row>
        <row r="37">
          <cell r="B37" t="str">
            <v>E.B.I.T.D.</v>
          </cell>
          <cell r="C37">
            <v>0</v>
          </cell>
          <cell r="E37">
            <v>211.06417370179079</v>
          </cell>
          <cell r="F37">
            <v>215.4073237017908</v>
          </cell>
          <cell r="G37">
            <v>251.38181232850582</v>
          </cell>
          <cell r="H37">
            <v>206.06457370179078</v>
          </cell>
          <cell r="I37">
            <v>226.11445370179078</v>
          </cell>
          <cell r="J37">
            <v>348.92157370179081</v>
          </cell>
          <cell r="K37">
            <v>218.94124898901788</v>
          </cell>
          <cell r="L37">
            <v>256.06263898901784</v>
          </cell>
          <cell r="M37">
            <v>300.34249898901783</v>
          </cell>
          <cell r="N37">
            <v>210.43462898901782</v>
          </cell>
          <cell r="O37">
            <v>295.9997489890178</v>
          </cell>
          <cell r="P37">
            <v>265.7793789890178</v>
          </cell>
          <cell r="R37">
            <v>0</v>
          </cell>
          <cell r="S37">
            <v>0</v>
          </cell>
          <cell r="T37">
            <v>0</v>
          </cell>
          <cell r="U37">
            <v>3056.462446144852</v>
          </cell>
          <cell r="V37">
            <v>3006.1956728399982</v>
          </cell>
          <cell r="W37">
            <v>3843.0250000000005</v>
          </cell>
          <cell r="X37">
            <v>50.2667733048537</v>
          </cell>
          <cell r="Y37">
            <v>-786.56255385514839</v>
          </cell>
        </row>
        <row r="39">
          <cell r="A39">
            <v>18</v>
          </cell>
          <cell r="B39" t="str">
            <v>Depreciation</v>
          </cell>
          <cell r="E39">
            <v>72.451840277777762</v>
          </cell>
          <cell r="F39">
            <v>72.451840277777762</v>
          </cell>
          <cell r="G39">
            <v>72.451840277777762</v>
          </cell>
          <cell r="H39">
            <v>72.451840277777762</v>
          </cell>
          <cell r="I39">
            <v>72.451840277777762</v>
          </cell>
          <cell r="J39">
            <v>72.451840277777762</v>
          </cell>
          <cell r="K39">
            <v>72.451840277777762</v>
          </cell>
          <cell r="L39">
            <v>72.451840277777762</v>
          </cell>
          <cell r="M39">
            <v>72.451840277777762</v>
          </cell>
          <cell r="N39">
            <v>72.451840277777762</v>
          </cell>
          <cell r="O39">
            <v>72.451840277777762</v>
          </cell>
          <cell r="P39">
            <v>72.451840277777762</v>
          </cell>
          <cell r="T39">
            <v>0</v>
          </cell>
          <cell r="U39">
            <v>869.42208333333338</v>
          </cell>
          <cell r="V39">
            <v>861.3788936574075</v>
          </cell>
          <cell r="W39">
            <v>838.29700000000003</v>
          </cell>
          <cell r="X39">
            <v>8.0431896759258734</v>
          </cell>
          <cell r="Y39">
            <v>31.12508333333335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72.63</v>
          </cell>
          <cell r="W40">
            <v>226.50200000000001</v>
          </cell>
          <cell r="X40">
            <v>-72.63</v>
          </cell>
          <cell r="Y40">
            <v>-226.50200000000001</v>
          </cell>
        </row>
        <row r="41">
          <cell r="A41">
            <v>20</v>
          </cell>
          <cell r="B41" t="str">
            <v>External Interest</v>
          </cell>
          <cell r="E41">
            <v>127.83253424657536</v>
          </cell>
          <cell r="F41">
            <v>127.19554794520549</v>
          </cell>
          <cell r="G41">
            <v>122.47602739726027</v>
          </cell>
          <cell r="H41">
            <v>124.22294520547948</v>
          </cell>
          <cell r="I41">
            <v>119.59931506849318</v>
          </cell>
          <cell r="J41">
            <v>120.38510273972605</v>
          </cell>
          <cell r="K41">
            <v>118.3998287671233</v>
          </cell>
          <cell r="L41">
            <v>106.36643835616439</v>
          </cell>
          <cell r="M41">
            <v>117.12585616438356</v>
          </cell>
          <cell r="N41">
            <v>112.73116438356166</v>
          </cell>
          <cell r="O41">
            <v>114.04708904109589</v>
          </cell>
          <cell r="P41">
            <v>107.27054794520549</v>
          </cell>
          <cell r="T41">
            <v>0</v>
          </cell>
          <cell r="U41">
            <v>0</v>
          </cell>
          <cell r="V41">
            <v>99.225781369863014</v>
          </cell>
          <cell r="W41">
            <v>157.886</v>
          </cell>
          <cell r="X41">
            <v>-99.225781369863014</v>
          </cell>
          <cell r="Y41">
            <v>-157.886</v>
          </cell>
        </row>
        <row r="42">
          <cell r="A42">
            <v>21</v>
          </cell>
          <cell r="B42" t="str">
            <v>Intercompany Interest Income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0.16900000000000001</v>
          </cell>
          <cell r="J43">
            <v>0.222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T43">
            <v>0</v>
          </cell>
          <cell r="U43">
            <v>0</v>
          </cell>
          <cell r="V43">
            <v>2.7231000000000001</v>
          </cell>
          <cell r="W43">
            <v>0.90700000000000003</v>
          </cell>
          <cell r="X43">
            <v>-2.7231000000000001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138.61233342401303</v>
          </cell>
          <cell r="F44">
            <v>142.95548342401304</v>
          </cell>
          <cell r="G44">
            <v>178.92997205072805</v>
          </cell>
          <cell r="H44">
            <v>133.61273342401302</v>
          </cell>
          <cell r="I44">
            <v>153.66261342401302</v>
          </cell>
          <cell r="J44">
            <v>276.46973342401304</v>
          </cell>
          <cell r="K44">
            <v>146.48940871124012</v>
          </cell>
          <cell r="L44">
            <v>183.61079871124008</v>
          </cell>
          <cell r="M44">
            <v>227.89065871124006</v>
          </cell>
          <cell r="N44">
            <v>137.98278871124006</v>
          </cell>
          <cell r="O44">
            <v>223.54790871124004</v>
          </cell>
          <cell r="P44">
            <v>193.32753871124004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2187.0403628115187</v>
          </cell>
          <cell r="V44">
            <v>1975.6840978127277</v>
          </cell>
          <cell r="W44">
            <v>2621.2470000000008</v>
          </cell>
          <cell r="X44">
            <v>211.35626499879095</v>
          </cell>
          <cell r="Y44">
            <v>-434.20663718848209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138.61233342401303</v>
          </cell>
          <cell r="F50">
            <v>142.95548342401304</v>
          </cell>
          <cell r="G50">
            <v>178.92997205072805</v>
          </cell>
          <cell r="H50">
            <v>133.61273342401302</v>
          </cell>
          <cell r="I50">
            <v>153.66261342401302</v>
          </cell>
          <cell r="J50">
            <v>276.46973342401304</v>
          </cell>
          <cell r="K50">
            <v>146.48940871124012</v>
          </cell>
          <cell r="L50">
            <v>183.61079871124008</v>
          </cell>
          <cell r="M50">
            <v>227.89065871124006</v>
          </cell>
          <cell r="N50">
            <v>137.98278871124006</v>
          </cell>
          <cell r="O50">
            <v>223.54790871124004</v>
          </cell>
          <cell r="P50">
            <v>193.32753871124004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2187.0403628115187</v>
          </cell>
          <cell r="V50">
            <v>1975.6840978127277</v>
          </cell>
          <cell r="W50">
            <v>2621.2470000000008</v>
          </cell>
          <cell r="X50">
            <v>211.35626499879095</v>
          </cell>
          <cell r="Y50">
            <v>-434.20663718848209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62.72</v>
          </cell>
          <cell r="F54">
            <v>63.7</v>
          </cell>
          <cell r="G54">
            <v>83.3</v>
          </cell>
          <cell r="H54">
            <v>62.72</v>
          </cell>
          <cell r="I54">
            <v>66.64</v>
          </cell>
          <cell r="J54">
            <v>94.08</v>
          </cell>
          <cell r="K54">
            <v>64.680000000000007</v>
          </cell>
          <cell r="L54">
            <v>73.5</v>
          </cell>
          <cell r="M54">
            <v>83.3</v>
          </cell>
          <cell r="N54">
            <v>62.72</v>
          </cell>
          <cell r="O54">
            <v>82.32</v>
          </cell>
          <cell r="P54">
            <v>75.459999999999994</v>
          </cell>
          <cell r="T54">
            <v>0</v>
          </cell>
          <cell r="U54">
            <v>875.14</v>
          </cell>
          <cell r="V54">
            <v>946</v>
          </cell>
          <cell r="W54">
            <v>1285.933</v>
          </cell>
          <cell r="X54">
            <v>-70.860000000000127</v>
          </cell>
          <cell r="Y54">
            <v>-410.79300000000012</v>
          </cell>
        </row>
        <row r="55">
          <cell r="A55">
            <v>28</v>
          </cell>
          <cell r="B55" t="str">
            <v>Admissions</v>
          </cell>
          <cell r="E55">
            <v>64</v>
          </cell>
          <cell r="F55">
            <v>65</v>
          </cell>
          <cell r="G55">
            <v>85</v>
          </cell>
          <cell r="H55">
            <v>64</v>
          </cell>
          <cell r="I55">
            <v>68</v>
          </cell>
          <cell r="J55">
            <v>96</v>
          </cell>
          <cell r="K55">
            <v>66</v>
          </cell>
          <cell r="L55">
            <v>75</v>
          </cell>
          <cell r="M55">
            <v>85</v>
          </cell>
          <cell r="N55">
            <v>64</v>
          </cell>
          <cell r="O55">
            <v>84</v>
          </cell>
          <cell r="P55">
            <v>77</v>
          </cell>
          <cell r="T55">
            <v>0</v>
          </cell>
          <cell r="U55">
            <v>893</v>
          </cell>
          <cell r="V55">
            <v>946</v>
          </cell>
          <cell r="W55">
            <v>1285.933</v>
          </cell>
          <cell r="X55">
            <v>-53</v>
          </cell>
          <cell r="Y55">
            <v>-392.93299999999999</v>
          </cell>
        </row>
        <row r="56">
          <cell r="B56" t="str">
            <v>Utilisation Rate</v>
          </cell>
          <cell r="E56">
            <v>0.16498927569707969</v>
          </cell>
          <cell r="F56">
            <v>0.16756723312984656</v>
          </cell>
          <cell r="G56">
            <v>0.17530110542814717</v>
          </cell>
          <cell r="H56">
            <v>0.16498927569707969</v>
          </cell>
          <cell r="I56">
            <v>0.17530110542814717</v>
          </cell>
          <cell r="J56">
            <v>0.19798713083649563</v>
          </cell>
          <cell r="K56">
            <v>0.17014519056261343</v>
          </cell>
          <cell r="L56">
            <v>0.19334680745751526</v>
          </cell>
          <cell r="M56">
            <v>0.17530110542814717</v>
          </cell>
          <cell r="N56">
            <v>0.16498927569707969</v>
          </cell>
          <cell r="O56">
            <v>0.17323873948193366</v>
          </cell>
          <cell r="P56">
            <v>0.198502722323049</v>
          </cell>
          <cell r="U56">
            <v>0.17708584518929346</v>
          </cell>
          <cell r="V56">
            <v>0.18759597933826608</v>
          </cell>
          <cell r="W56">
            <v>0.23937873699729709</v>
          </cell>
          <cell r="X56">
            <v>-1.0510134148972616E-2</v>
          </cell>
          <cell r="Y56">
            <v>-6.2292891808003625E-2</v>
          </cell>
        </row>
        <row r="57">
          <cell r="B57" t="str">
            <v>Ave. Admission Price (S$)</v>
          </cell>
          <cell r="C57" t="str">
            <v>N.A.</v>
          </cell>
          <cell r="E57">
            <v>6.7</v>
          </cell>
          <cell r="F57">
            <v>6.7</v>
          </cell>
          <cell r="G57">
            <v>6.7</v>
          </cell>
          <cell r="H57">
            <v>6.7</v>
          </cell>
          <cell r="I57">
            <v>6.7</v>
          </cell>
          <cell r="J57">
            <v>6.7</v>
          </cell>
          <cell r="K57">
            <v>6.7</v>
          </cell>
          <cell r="L57">
            <v>6.7</v>
          </cell>
          <cell r="M57">
            <v>6.7</v>
          </cell>
          <cell r="N57">
            <v>6.7</v>
          </cell>
          <cell r="O57">
            <v>6.7</v>
          </cell>
          <cell r="P57">
            <v>6.7</v>
          </cell>
          <cell r="R57" t="str">
            <v>N.A.</v>
          </cell>
          <cell r="S57" t="str">
            <v>N.A.</v>
          </cell>
          <cell r="T57" t="str">
            <v>N.A.</v>
          </cell>
          <cell r="U57">
            <v>6.7</v>
          </cell>
          <cell r="V57">
            <v>6.6747711099365734</v>
          </cell>
          <cell r="W57">
            <v>6.7842251501439028</v>
          </cell>
          <cell r="X57">
            <v>2.5228890063425879E-2</v>
          </cell>
          <cell r="Y57">
            <v>-8.4225150143903527E-2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2.3000000000000007E-2</v>
          </cell>
          <cell r="V58">
            <v>2.496478381272442E-2</v>
          </cell>
          <cell r="W58">
            <v>2.363785022545125E-2</v>
          </cell>
          <cell r="X58">
            <v>-1.9647838127244133E-3</v>
          </cell>
          <cell r="Y58">
            <v>-6.3785022545124331E-4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T59" t="str">
            <v>N.A.</v>
          </cell>
          <cell r="U59">
            <v>0.19500000000000001</v>
          </cell>
          <cell r="V59">
            <v>0.17860521037521898</v>
          </cell>
          <cell r="W59">
            <v>0.21582311865086179</v>
          </cell>
          <cell r="X59">
            <v>1.6394789624780998E-2</v>
          </cell>
          <cell r="Y59">
            <v>-2.082311865086181E-2</v>
          </cell>
        </row>
        <row r="60">
          <cell r="B60" t="str">
            <v>Concess. Rev per Patron (S$)</v>
          </cell>
          <cell r="C60" t="str">
            <v>N.A.</v>
          </cell>
          <cell r="E60">
            <v>1.1499999999999999</v>
          </cell>
          <cell r="F60">
            <v>1.1499999999999999</v>
          </cell>
          <cell r="G60">
            <v>1.1499999999999999</v>
          </cell>
          <cell r="H60">
            <v>1.1499999999999999</v>
          </cell>
          <cell r="I60">
            <v>1.1499999999999999</v>
          </cell>
          <cell r="J60">
            <v>1.1499999999999999</v>
          </cell>
          <cell r="K60">
            <v>1.1499999999999999</v>
          </cell>
          <cell r="L60">
            <v>1.1499999999999999</v>
          </cell>
          <cell r="M60">
            <v>1.1499999999999999</v>
          </cell>
          <cell r="N60">
            <v>1.1499999999999999</v>
          </cell>
          <cell r="O60">
            <v>1.1499999999999999</v>
          </cell>
          <cell r="P60">
            <v>1.1499999999999999</v>
          </cell>
          <cell r="R60" t="str">
            <v>N.A.</v>
          </cell>
          <cell r="S60" t="str">
            <v>N.A.</v>
          </cell>
          <cell r="T60" t="str">
            <v>N.A.</v>
          </cell>
          <cell r="U60">
            <v>1.1499999999999999</v>
          </cell>
          <cell r="V60">
            <v>1.1218217124735728</v>
          </cell>
          <cell r="W60">
            <v>1.0010482661227296</v>
          </cell>
          <cell r="X60">
            <v>2.817828752642737E-2</v>
          </cell>
          <cell r="Y60">
            <v>0.14895173387727056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T61" t="str">
            <v>N.A.</v>
          </cell>
          <cell r="U61">
            <v>0.46500000000000002</v>
          </cell>
          <cell r="V61">
            <v>0.46223791535039105</v>
          </cell>
          <cell r="W61">
            <v>0.45757851935664356</v>
          </cell>
          <cell r="X61">
            <v>2.7620846496090867E-3</v>
          </cell>
          <cell r="Y61">
            <v>7.4214806433565705E-3</v>
          </cell>
        </row>
        <row r="62">
          <cell r="B62" t="str">
            <v>Direct Payroll : Net Box</v>
          </cell>
          <cell r="C62" t="str">
            <v>N.A.</v>
          </cell>
          <cell r="E62">
            <v>8.696563123016382E-2</v>
          </cell>
          <cell r="F62">
            <v>8.5627698442007447E-2</v>
          </cell>
          <cell r="G62">
            <v>6.7411523567154075E-2</v>
          </cell>
          <cell r="H62">
            <v>8.696563123016382E-2</v>
          </cell>
          <cell r="I62">
            <v>8.1850005863683586E-2</v>
          </cell>
          <cell r="J62">
            <v>5.9687286491751E-2</v>
          </cell>
          <cell r="K62">
            <v>8.6141291765703842E-2</v>
          </cell>
          <cell r="L62">
            <v>7.5804336753819382E-2</v>
          </cell>
          <cell r="M62">
            <v>6.8817698364871366E-2</v>
          </cell>
          <cell r="N62">
            <v>8.8833207133382094E-2</v>
          </cell>
          <cell r="O62">
            <v>6.9636956678738871E-2</v>
          </cell>
          <cell r="P62">
            <v>7.5967589104078775E-2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7.6514725032463274E-2</v>
          </cell>
          <cell r="V62">
            <v>9.465716497864976E-2</v>
          </cell>
          <cell r="W62">
            <v>9.4836818503863871E-2</v>
          </cell>
          <cell r="X62">
            <v>-1.8142439946186487E-2</v>
          </cell>
          <cell r="Y62">
            <v>-1.8322093471400597E-2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7.4225443215553841E-2</v>
          </cell>
          <cell r="F63">
            <v>7.3083513319929932E-2</v>
          </cell>
          <cell r="G63">
            <v>5.7535950050946791E-2</v>
          </cell>
          <cell r="H63">
            <v>7.4225443215553841E-2</v>
          </cell>
          <cell r="I63">
            <v>6.9859240673462442E-2</v>
          </cell>
          <cell r="J63">
            <v>5.094328910760914E-2</v>
          </cell>
          <cell r="K63">
            <v>7.3521866857352319E-2</v>
          </cell>
          <cell r="L63">
            <v>6.4699242834470053E-2</v>
          </cell>
          <cell r="M63">
            <v>5.8736124719062185E-2</v>
          </cell>
          <cell r="N63">
            <v>7.5819425196644585E-2</v>
          </cell>
          <cell r="O63">
            <v>5.9435364299051011E-2</v>
          </cell>
          <cell r="P63">
            <v>6.4838579235328389E-2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6.5305561492675662E-2</v>
          </cell>
          <cell r="V63">
            <v>8.1037310083955316E-2</v>
          </cell>
          <cell r="W63">
            <v>8.2642483423797417E-2</v>
          </cell>
          <cell r="X63">
            <v>-1.5731748591279654E-2</v>
          </cell>
          <cell r="Y63">
            <v>-1.7336921931121754E-2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0.58266972924209759</v>
          </cell>
          <cell r="F64">
            <v>0.57370557956144996</v>
          </cell>
          <cell r="G64">
            <v>0.4516572078999323</v>
          </cell>
          <cell r="H64">
            <v>0.58266972924209759</v>
          </cell>
          <cell r="I64">
            <v>0.5483950392866801</v>
          </cell>
          <cell r="J64">
            <v>0.39990481949473172</v>
          </cell>
          <cell r="K64">
            <v>0.57714665483021577</v>
          </cell>
          <cell r="L64">
            <v>0.50788905625058989</v>
          </cell>
          <cell r="M64">
            <v>0.46107857904463811</v>
          </cell>
          <cell r="N64">
            <v>0.59518248779366001</v>
          </cell>
          <cell r="O64">
            <v>0.46656760974755052</v>
          </cell>
          <cell r="P64">
            <v>0.50898284699732776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0.5126486577175039</v>
          </cell>
          <cell r="V64">
            <v>0.6318149101479914</v>
          </cell>
          <cell r="W64">
            <v>0.64339432925354589</v>
          </cell>
          <cell r="X64">
            <v>-0.11916625243048751</v>
          </cell>
          <cell r="Y64">
            <v>-0.130745671536042</v>
          </cell>
        </row>
        <row r="65">
          <cell r="B65" t="str">
            <v>Gross Margin :Total Rev</v>
          </cell>
          <cell r="C65" t="str">
            <v>N.A.</v>
          </cell>
          <cell r="E65">
            <v>0.51913141651471495</v>
          </cell>
          <cell r="F65">
            <v>0.51961597713912144</v>
          </cell>
          <cell r="G65">
            <v>0.52550340585611011</v>
          </cell>
          <cell r="H65">
            <v>0.51913141651471495</v>
          </cell>
          <cell r="I65">
            <v>0.52099037704632511</v>
          </cell>
          <cell r="J65">
            <v>0.52851147339323601</v>
          </cell>
          <cell r="K65">
            <v>0.51865702019789439</v>
          </cell>
          <cell r="L65">
            <v>0.52252840030150549</v>
          </cell>
          <cell r="M65">
            <v>0.52437420320356798</v>
          </cell>
          <cell r="N65">
            <v>0.51766024033559277</v>
          </cell>
          <cell r="O65">
            <v>0.52405137366073251</v>
          </cell>
          <cell r="P65">
            <v>0.5215720145960494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0.52221144042446177</v>
          </cell>
          <cell r="V65">
            <v>0.50757067715718873</v>
          </cell>
          <cell r="W65">
            <v>0.48667705205638573</v>
          </cell>
          <cell r="X65">
            <v>1.4640763267273038E-2</v>
          </cell>
          <cell r="Y65">
            <v>3.5534388368076042E-2</v>
          </cell>
        </row>
        <row r="66">
          <cell r="B66" t="str">
            <v>G&amp;A % of total revenue</v>
          </cell>
          <cell r="C66" t="str">
            <v>N.A.</v>
          </cell>
          <cell r="E66">
            <v>4.0747851348168232E-2</v>
          </cell>
          <cell r="F66">
            <v>4.0167848069240848E-2</v>
          </cell>
          <cell r="G66">
            <v>3.103876583677689E-2</v>
          </cell>
          <cell r="H66">
            <v>4.0747116510116199E-2</v>
          </cell>
          <cell r="I66">
            <v>4.2556379091456709E-2</v>
          </cell>
          <cell r="J66">
            <v>2.789458088385818E-2</v>
          </cell>
          <cell r="K66">
            <v>3.9619118076554126E-2</v>
          </cell>
          <cell r="L66">
            <v>3.8294007738280803E-2</v>
          </cell>
          <cell r="M66">
            <v>3.1302290126943404E-2</v>
          </cell>
          <cell r="N66">
            <v>4.0433208695040954E-2</v>
          </cell>
          <cell r="O66">
            <v>3.165265344517619E-2</v>
          </cell>
          <cell r="P66">
            <v>3.4066736336711187E-2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3.5938069637351466E-2</v>
          </cell>
          <cell r="V66">
            <v>4.2514463242320666E-2</v>
          </cell>
          <cell r="W66">
            <v>4.0069759232523219E-2</v>
          </cell>
          <cell r="X66">
            <v>-6.5763936049691996E-3</v>
          </cell>
          <cell r="Y66">
            <v>-4.131689595171753E-3</v>
          </cell>
        </row>
        <row r="67">
          <cell r="B67" t="str">
            <v>E.B.I.T.D. : Total Rev</v>
          </cell>
          <cell r="C67" t="str">
            <v>N.A.</v>
          </cell>
          <cell r="E67">
            <v>0.38774496563927724</v>
          </cell>
          <cell r="F67">
            <v>0.39009806440662409</v>
          </cell>
          <cell r="G67">
            <v>0.35446446535006276</v>
          </cell>
          <cell r="H67">
            <v>0.37856022482699186</v>
          </cell>
          <cell r="I67">
            <v>0.39273871271100408</v>
          </cell>
          <cell r="J67">
            <v>0.43859845560640931</v>
          </cell>
          <cell r="K67">
            <v>0.39094024975378727</v>
          </cell>
          <cell r="L67">
            <v>0.40600549121130741</v>
          </cell>
          <cell r="M67">
            <v>0.42350217121881928</v>
          </cell>
          <cell r="N67">
            <v>0.38658843211328231</v>
          </cell>
          <cell r="O67">
            <v>0.42205029138286676</v>
          </cell>
          <cell r="P67">
            <v>0.41117646549780068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0.40680684066050748</v>
          </cell>
          <cell r="V67">
            <v>0.38190177083832461</v>
          </cell>
          <cell r="W67">
            <v>0.37075528718394235</v>
          </cell>
          <cell r="X67">
            <v>2.4905069822182879E-2</v>
          </cell>
          <cell r="Y67">
            <v>3.6051553476565135E-2</v>
          </cell>
        </row>
        <row r="68">
          <cell r="B68" t="str">
            <v>No of Concession Transactions</v>
          </cell>
          <cell r="E68">
            <v>18</v>
          </cell>
          <cell r="F68">
            <v>18</v>
          </cell>
          <cell r="G68">
            <v>24</v>
          </cell>
          <cell r="H68">
            <v>17</v>
          </cell>
          <cell r="I68">
            <v>20</v>
          </cell>
          <cell r="J68">
            <v>26</v>
          </cell>
          <cell r="K68">
            <v>18</v>
          </cell>
          <cell r="L68">
            <v>20</v>
          </cell>
          <cell r="M68">
            <v>25</v>
          </cell>
          <cell r="N68">
            <v>18</v>
          </cell>
          <cell r="O68">
            <v>24</v>
          </cell>
          <cell r="P68">
            <v>28</v>
          </cell>
          <cell r="Q68">
            <v>0</v>
          </cell>
          <cell r="R68">
            <v>30.731000000000002</v>
          </cell>
          <cell r="S68">
            <v>31.731000000000002</v>
          </cell>
          <cell r="T68">
            <v>32.731000000000002</v>
          </cell>
          <cell r="U68">
            <v>256</v>
          </cell>
          <cell r="V68">
            <v>240</v>
          </cell>
          <cell r="W68">
            <v>0</v>
          </cell>
          <cell r="X68">
            <v>16</v>
          </cell>
          <cell r="Y68">
            <v>256</v>
          </cell>
        </row>
        <row r="69">
          <cell r="B69" t="str">
            <v>Strike Rate %(No of Trans/Adm)</v>
          </cell>
          <cell r="E69">
            <v>0.28125</v>
          </cell>
          <cell r="F69">
            <v>0.27692307692307694</v>
          </cell>
          <cell r="G69">
            <v>0.28235294117647058</v>
          </cell>
          <cell r="H69">
            <v>0.265625</v>
          </cell>
          <cell r="I69">
            <v>0.29411764705882354</v>
          </cell>
          <cell r="J69">
            <v>0.27083333333333331</v>
          </cell>
          <cell r="K69">
            <v>0.27272727272727271</v>
          </cell>
          <cell r="L69">
            <v>0.26666666666666666</v>
          </cell>
          <cell r="M69">
            <v>0.29411764705882354</v>
          </cell>
          <cell r="N69">
            <v>0.28125</v>
          </cell>
          <cell r="O69">
            <v>0.2857142857142857</v>
          </cell>
          <cell r="P69">
            <v>0.36363636363636365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0.28667413213885778</v>
          </cell>
          <cell r="V69">
            <v>0.2536997885835095</v>
          </cell>
          <cell r="W69">
            <v>0</v>
          </cell>
          <cell r="X69">
            <v>3.2974343555348284E-2</v>
          </cell>
          <cell r="Y69">
            <v>0.28667413213885778</v>
          </cell>
        </row>
        <row r="70">
          <cell r="B70" t="str">
            <v>Ave Sales (Total Sale/No of Trans) (S$)</v>
          </cell>
          <cell r="E70">
            <v>4.0888888888888886</v>
          </cell>
          <cell r="F70">
            <v>4.1527777777777777</v>
          </cell>
          <cell r="G70">
            <v>4.0729166666666661</v>
          </cell>
          <cell r="H70">
            <v>4.3294117647058821</v>
          </cell>
          <cell r="I70">
            <v>3.91</v>
          </cell>
          <cell r="J70">
            <v>4.2461538461538462</v>
          </cell>
          <cell r="K70">
            <v>4.2166666666666659</v>
          </cell>
          <cell r="L70">
            <v>4.3125</v>
          </cell>
          <cell r="M70">
            <v>3.91</v>
          </cell>
          <cell r="N70">
            <v>4.0888888888888886</v>
          </cell>
          <cell r="O70">
            <v>4.0250000000000004</v>
          </cell>
          <cell r="P70">
            <v>3.1625000000000001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4.0115234375000002</v>
          </cell>
          <cell r="V70">
            <v>4.421847249999999</v>
          </cell>
          <cell r="W70" t="str">
            <v>N.A.</v>
          </cell>
          <cell r="X70">
            <v>-0.41032381249999883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38</v>
          </cell>
          <cell r="F71">
            <v>40</v>
          </cell>
          <cell r="G71">
            <v>55</v>
          </cell>
          <cell r="H71">
            <v>37</v>
          </cell>
          <cell r="I71">
            <v>38</v>
          </cell>
          <cell r="J71">
            <v>53</v>
          </cell>
          <cell r="K71">
            <v>37</v>
          </cell>
          <cell r="L71">
            <v>40</v>
          </cell>
          <cell r="M71">
            <v>51</v>
          </cell>
          <cell r="N71">
            <v>36</v>
          </cell>
          <cell r="O71">
            <v>50</v>
          </cell>
          <cell r="P71">
            <v>51</v>
          </cell>
          <cell r="Q71">
            <v>0</v>
          </cell>
          <cell r="R71">
            <v>74.369</v>
          </cell>
          <cell r="S71">
            <v>75.369</v>
          </cell>
          <cell r="T71">
            <v>76.369</v>
          </cell>
          <cell r="U71">
            <v>526</v>
          </cell>
          <cell r="V71">
            <v>522</v>
          </cell>
          <cell r="W71">
            <v>0</v>
          </cell>
          <cell r="X71">
            <v>4</v>
          </cell>
          <cell r="Y71">
            <v>526</v>
          </cell>
        </row>
        <row r="72">
          <cell r="B72" t="str">
            <v>Combo Sales as % of Total Sales</v>
          </cell>
          <cell r="E72">
            <v>0.51630434782608703</v>
          </cell>
          <cell r="F72">
            <v>0.53511705685618727</v>
          </cell>
          <cell r="G72">
            <v>0.56265984654731471</v>
          </cell>
          <cell r="H72">
            <v>0.50271739130434789</v>
          </cell>
          <cell r="I72">
            <v>0.48593350383631723</v>
          </cell>
          <cell r="J72">
            <v>0.48007246376811596</v>
          </cell>
          <cell r="K72">
            <v>0.48748353096179187</v>
          </cell>
          <cell r="L72">
            <v>0.46376811594202899</v>
          </cell>
          <cell r="M72">
            <v>0.52173913043478271</v>
          </cell>
          <cell r="N72">
            <v>0.48913043478260876</v>
          </cell>
          <cell r="O72">
            <v>0.51759834368530022</v>
          </cell>
          <cell r="P72">
            <v>0.57594579333709772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0.51219630946005157</v>
          </cell>
          <cell r="V72">
            <v>0.4918758783447349</v>
          </cell>
          <cell r="W72">
            <v>0</v>
          </cell>
          <cell r="X72">
            <v>2.0320431115316673E-2</v>
          </cell>
          <cell r="Y72">
            <v>0.51219630946005157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>
            <v>0</v>
          </cell>
          <cell r="R73">
            <v>4.5520000000000005</v>
          </cell>
          <cell r="S73">
            <v>4.5520000000000005</v>
          </cell>
          <cell r="T73">
            <v>4.5520000000000005</v>
          </cell>
          <cell r="U73">
            <v>81.075000000000003</v>
          </cell>
          <cell r="V73">
            <v>75</v>
          </cell>
          <cell r="W73">
            <v>0</v>
          </cell>
          <cell r="X73">
            <v>6.0750000000000002</v>
          </cell>
          <cell r="Y73">
            <v>81.075000000000003</v>
          </cell>
        </row>
        <row r="74">
          <cell r="B74" t="str">
            <v>Admissions/labour hour paid</v>
          </cell>
          <cell r="E74">
            <v>10.503856884949943</v>
          </cell>
          <cell r="F74">
            <v>10.833333333333334</v>
          </cell>
          <cell r="G74">
            <v>10.758131882040248</v>
          </cell>
          <cell r="H74">
            <v>10.503856884949943</v>
          </cell>
          <cell r="I74">
            <v>11.333333333333334</v>
          </cell>
          <cell r="J74">
            <v>12.150360713833692</v>
          </cell>
          <cell r="K74">
            <v>10.832102412604629</v>
          </cell>
          <cell r="L74">
            <v>12.5</v>
          </cell>
          <cell r="M74">
            <v>10.758131882040248</v>
          </cell>
          <cell r="N74">
            <v>10.503856884949943</v>
          </cell>
          <cell r="O74">
            <v>10.5</v>
          </cell>
          <cell r="P74">
            <v>11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11.014492753623188</v>
          </cell>
          <cell r="V74">
            <v>12.613333333333333</v>
          </cell>
          <cell r="W74" t="str">
            <v>N.A.</v>
          </cell>
          <cell r="X74">
            <v>-1.5988405797101457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47.739530000000002</v>
          </cell>
          <cell r="W77">
            <v>3.8690000000000002</v>
          </cell>
          <cell r="X77">
            <v>-20.552030000000002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4</v>
          </cell>
          <cell r="F78">
            <v>4</v>
          </cell>
          <cell r="G78">
            <v>4</v>
          </cell>
          <cell r="H78">
            <v>4</v>
          </cell>
          <cell r="I78">
            <v>4</v>
          </cell>
          <cell r="J78">
            <v>4</v>
          </cell>
          <cell r="K78">
            <v>4</v>
          </cell>
          <cell r="L78">
            <v>4</v>
          </cell>
          <cell r="M78">
            <v>4</v>
          </cell>
          <cell r="N78">
            <v>4</v>
          </cell>
          <cell r="O78">
            <v>4</v>
          </cell>
          <cell r="P78">
            <v>4</v>
          </cell>
          <cell r="T78">
            <v>0</v>
          </cell>
          <cell r="U78">
            <v>48</v>
          </cell>
          <cell r="V78">
            <v>45.44</v>
          </cell>
          <cell r="W78">
            <v>22.137</v>
          </cell>
          <cell r="X78">
            <v>2.56</v>
          </cell>
          <cell r="Y78">
            <v>25.863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47.39</v>
          </cell>
          <cell r="W82">
            <v>53.447000000000003</v>
          </cell>
          <cell r="X82">
            <v>-9.3260000000000005</v>
          </cell>
          <cell r="Y82">
            <v>-15.383000000000003</v>
          </cell>
        </row>
        <row r="83">
          <cell r="C83">
            <v>0</v>
          </cell>
          <cell r="E83">
            <v>9.4376250000000006</v>
          </cell>
          <cell r="F83">
            <v>9.4376250000000006</v>
          </cell>
          <cell r="G83">
            <v>9.4376250000000006</v>
          </cell>
          <cell r="H83">
            <v>9.4376250000000006</v>
          </cell>
          <cell r="I83">
            <v>9.4376250000000006</v>
          </cell>
          <cell r="J83">
            <v>9.4376250000000006</v>
          </cell>
          <cell r="K83">
            <v>9.4376250000000006</v>
          </cell>
          <cell r="L83">
            <v>9.4376250000000006</v>
          </cell>
          <cell r="M83">
            <v>9.4376250000000006</v>
          </cell>
          <cell r="N83">
            <v>9.4376250000000006</v>
          </cell>
          <cell r="O83">
            <v>9.4376250000000006</v>
          </cell>
          <cell r="P83">
            <v>9.4376250000000006</v>
          </cell>
          <cell r="R83">
            <v>0</v>
          </cell>
          <cell r="S83">
            <v>0</v>
          </cell>
          <cell r="T83">
            <v>0</v>
          </cell>
          <cell r="U83">
            <v>113.25149999999999</v>
          </cell>
          <cell r="V83">
            <v>140.56952999999999</v>
          </cell>
          <cell r="W83">
            <v>79.453000000000003</v>
          </cell>
          <cell r="X83">
            <v>-27.318029999999993</v>
          </cell>
          <cell r="Y83">
            <v>33.79849999999999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0.85760000000000003</v>
          </cell>
          <cell r="F86">
            <v>0.871</v>
          </cell>
          <cell r="G86">
            <v>1.139</v>
          </cell>
          <cell r="H86">
            <v>0.85760000000000003</v>
          </cell>
          <cell r="I86">
            <v>0.91120000000000001</v>
          </cell>
          <cell r="J86">
            <v>1.2864000000000002</v>
          </cell>
          <cell r="K86">
            <v>0.88439999999999996</v>
          </cell>
          <cell r="L86">
            <v>1.0049999999999999</v>
          </cell>
          <cell r="M86">
            <v>1.139</v>
          </cell>
          <cell r="N86">
            <v>0.85760000000000003</v>
          </cell>
          <cell r="O86">
            <v>1.1256000000000002</v>
          </cell>
          <cell r="P86">
            <v>1.0318000000000001</v>
          </cell>
          <cell r="U86">
            <v>11.966200000000001</v>
          </cell>
          <cell r="V86">
            <v>12.628666939999997</v>
          </cell>
          <cell r="W86">
            <v>17.448117999999997</v>
          </cell>
          <cell r="X86">
            <v>-0.66246693999999628</v>
          </cell>
          <cell r="Y86">
            <v>-5.4819179999999967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0.85760000000000003</v>
          </cell>
          <cell r="F91">
            <v>0.871</v>
          </cell>
          <cell r="G91">
            <v>1.139</v>
          </cell>
          <cell r="H91">
            <v>0.85760000000000003</v>
          </cell>
          <cell r="I91">
            <v>0.91120000000000001</v>
          </cell>
          <cell r="J91">
            <v>1.2864000000000002</v>
          </cell>
          <cell r="K91">
            <v>0.88439999999999996</v>
          </cell>
          <cell r="L91">
            <v>1.0049999999999999</v>
          </cell>
          <cell r="M91">
            <v>1.139</v>
          </cell>
          <cell r="N91">
            <v>0.85760000000000003</v>
          </cell>
          <cell r="O91">
            <v>1.1256000000000002</v>
          </cell>
          <cell r="P91">
            <v>1.0318000000000001</v>
          </cell>
          <cell r="U91">
            <v>11.966200000000001</v>
          </cell>
          <cell r="V91">
            <v>12.628666939999997</v>
          </cell>
          <cell r="W91">
            <v>17.448117999999997</v>
          </cell>
          <cell r="X91">
            <v>-0.66246693999999628</v>
          </cell>
          <cell r="Y91">
            <v>-5.4819179999999967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34.256723504827583</v>
          </cell>
          <cell r="F94">
            <v>34.256723504827583</v>
          </cell>
          <cell r="G94">
            <v>35.356723504827585</v>
          </cell>
          <cell r="H94">
            <v>34.256723504827583</v>
          </cell>
          <cell r="I94">
            <v>34.256723504827583</v>
          </cell>
          <cell r="J94">
            <v>35.356723504827585</v>
          </cell>
          <cell r="K94">
            <v>35.057540052127578</v>
          </cell>
          <cell r="L94">
            <v>35.057540052127578</v>
          </cell>
          <cell r="M94">
            <v>36.15754005212758</v>
          </cell>
          <cell r="N94">
            <v>35.057540052127578</v>
          </cell>
          <cell r="O94">
            <v>36.15754005212758</v>
          </cell>
          <cell r="P94">
            <v>36.15754005212758</v>
          </cell>
          <cell r="Q94">
            <v>0</v>
          </cell>
          <cell r="T94">
            <v>0</v>
          </cell>
          <cell r="U94">
            <v>421.38558134173093</v>
          </cell>
          <cell r="V94">
            <v>547.94183499999997</v>
          </cell>
          <cell r="W94">
            <v>730.81500000000005</v>
          </cell>
          <cell r="X94">
            <v>-126.55625365826904</v>
          </cell>
          <cell r="Y94">
            <v>-309.42941865826913</v>
          </cell>
        </row>
        <row r="95">
          <cell r="A95">
            <v>67</v>
          </cell>
          <cell r="B95" t="str">
            <v>Bonus/Commission</v>
          </cell>
          <cell r="E95">
            <v>1.6967391666666665</v>
          </cell>
          <cell r="F95">
            <v>1.6967391666666665</v>
          </cell>
          <cell r="G95">
            <v>1.6967391666666665</v>
          </cell>
          <cell r="H95">
            <v>1.6967391666666665</v>
          </cell>
          <cell r="I95">
            <v>1.6967391666666665</v>
          </cell>
          <cell r="J95">
            <v>1.6967391666666665</v>
          </cell>
          <cell r="K95">
            <v>1.6967391666666665</v>
          </cell>
          <cell r="L95">
            <v>1.6967391666666665</v>
          </cell>
          <cell r="M95">
            <v>1.6967391666666665</v>
          </cell>
          <cell r="N95">
            <v>1.6967391666666665</v>
          </cell>
          <cell r="O95">
            <v>1.6967391666666665</v>
          </cell>
          <cell r="P95">
            <v>1.6967391666666665</v>
          </cell>
          <cell r="Q95">
            <v>0</v>
          </cell>
          <cell r="T95">
            <v>0</v>
          </cell>
          <cell r="U95">
            <v>20.360870000000002</v>
          </cell>
          <cell r="V95">
            <v>29.305899999999998</v>
          </cell>
          <cell r="W95">
            <v>53.343000000000004</v>
          </cell>
          <cell r="X95">
            <v>-8.9450299999999956</v>
          </cell>
          <cell r="Y95">
            <v>-32.982129999999998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Q97">
            <v>0</v>
          </cell>
          <cell r="T97">
            <v>0</v>
          </cell>
          <cell r="U97">
            <v>6.6360000000000001</v>
          </cell>
          <cell r="V97">
            <v>10.023599999999998</v>
          </cell>
          <cell r="W97">
            <v>28.282</v>
          </cell>
          <cell r="X97">
            <v>-3.3875999999999982</v>
          </cell>
          <cell r="Y97">
            <v>-21.646000000000001</v>
          </cell>
        </row>
        <row r="98">
          <cell r="A98">
            <v>70</v>
          </cell>
          <cell r="B98" t="str">
            <v>Miscellaneous</v>
          </cell>
          <cell r="E98">
            <v>0.78439999999999999</v>
          </cell>
          <cell r="F98">
            <v>0.78439999999999999</v>
          </cell>
          <cell r="G98">
            <v>0.78439999999999999</v>
          </cell>
          <cell r="H98">
            <v>0.78439999999999999</v>
          </cell>
          <cell r="I98">
            <v>0.78439999999999999</v>
          </cell>
          <cell r="J98">
            <v>0.78439999999999999</v>
          </cell>
          <cell r="K98">
            <v>0.78439999999999999</v>
          </cell>
          <cell r="L98">
            <v>0.78439999999999999</v>
          </cell>
          <cell r="M98">
            <v>0.78439999999999999</v>
          </cell>
          <cell r="N98">
            <v>0.78439999999999999</v>
          </cell>
          <cell r="O98">
            <v>0.78439999999999999</v>
          </cell>
          <cell r="P98">
            <v>0.78439999999999999</v>
          </cell>
          <cell r="Q98">
            <v>0</v>
          </cell>
          <cell r="T98">
            <v>0</v>
          </cell>
          <cell r="U98">
            <v>9.4127999999999989</v>
          </cell>
          <cell r="V98">
            <v>10.42557</v>
          </cell>
          <cell r="W98">
            <v>14.922000000000001</v>
          </cell>
          <cell r="X98">
            <v>-1.0127700000000015</v>
          </cell>
          <cell r="Y98">
            <v>-5.5092000000000017</v>
          </cell>
        </row>
        <row r="99">
          <cell r="C99">
            <v>0</v>
          </cell>
          <cell r="E99">
            <v>37.290862671494246</v>
          </cell>
          <cell r="F99">
            <v>37.290862671494246</v>
          </cell>
          <cell r="G99">
            <v>38.390862671494247</v>
          </cell>
          <cell r="H99">
            <v>37.290862671494246</v>
          </cell>
          <cell r="I99">
            <v>37.290862671494246</v>
          </cell>
          <cell r="J99">
            <v>38.390862671494247</v>
          </cell>
          <cell r="K99">
            <v>38.091679218794241</v>
          </cell>
          <cell r="L99">
            <v>38.091679218794241</v>
          </cell>
          <cell r="M99">
            <v>39.191679218794242</v>
          </cell>
          <cell r="N99">
            <v>38.091679218794241</v>
          </cell>
          <cell r="O99">
            <v>39.191679218794242</v>
          </cell>
          <cell r="P99">
            <v>39.191679218794242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457.79525134173093</v>
          </cell>
          <cell r="V99">
            <v>597.6969049999999</v>
          </cell>
          <cell r="W99">
            <v>827.36200000000008</v>
          </cell>
          <cell r="X99">
            <v>-139.90165365826897</v>
          </cell>
          <cell r="Y99">
            <v>-369.56674865826915</v>
          </cell>
        </row>
        <row r="100">
          <cell r="Q100">
            <v>0</v>
          </cell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Q101">
            <v>0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Q102">
            <v>0</v>
          </cell>
          <cell r="T102">
            <v>0</v>
          </cell>
          <cell r="U102">
            <v>15.6</v>
          </cell>
          <cell r="V102">
            <v>15.299569999999996</v>
          </cell>
          <cell r="W102">
            <v>17.048999999999999</v>
          </cell>
          <cell r="X102">
            <v>0.30043000000000752</v>
          </cell>
          <cell r="Y102">
            <v>-1.4489999999999963</v>
          </cell>
        </row>
        <row r="103">
          <cell r="A103">
            <v>72</v>
          </cell>
          <cell r="B103" t="str">
            <v>Property Taxes</v>
          </cell>
          <cell r="E103">
            <v>4.0194000000000001</v>
          </cell>
          <cell r="F103">
            <v>4.0190000000000001</v>
          </cell>
          <cell r="G103">
            <v>4.0190000000000001</v>
          </cell>
          <cell r="H103">
            <v>4.0190000000000001</v>
          </cell>
          <cell r="I103">
            <v>4.0190000000000001</v>
          </cell>
          <cell r="J103">
            <v>4.0190000000000001</v>
          </cell>
          <cell r="K103">
            <v>4.0190000000000001</v>
          </cell>
          <cell r="L103">
            <v>4.0190000000000001</v>
          </cell>
          <cell r="M103">
            <v>4.0190000000000001</v>
          </cell>
          <cell r="N103">
            <v>4.0190000000000001</v>
          </cell>
          <cell r="O103">
            <v>4.0190000000000001</v>
          </cell>
          <cell r="P103">
            <v>4.0190000000000001</v>
          </cell>
          <cell r="Q103">
            <v>0</v>
          </cell>
          <cell r="T103">
            <v>0</v>
          </cell>
          <cell r="U103">
            <v>48.228399999999986</v>
          </cell>
          <cell r="V103">
            <v>48.228399999999986</v>
          </cell>
          <cell r="W103">
            <v>107.184</v>
          </cell>
          <cell r="X103">
            <v>0</v>
          </cell>
          <cell r="Y103">
            <v>-58.955600000000011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20.267083333333332</v>
          </cell>
          <cell r="W104">
            <v>20.210999999999999</v>
          </cell>
          <cell r="X104">
            <v>3.732916666666668</v>
          </cell>
          <cell r="Y104">
            <v>3.7890000000000015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12.994800000000001</v>
          </cell>
          <cell r="W105">
            <v>22.789000000000001</v>
          </cell>
          <cell r="X105">
            <v>-0.99480000000000146</v>
          </cell>
          <cell r="Y105">
            <v>-10.789000000000001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2.9394600000000008</v>
          </cell>
          <cell r="W106">
            <v>0</v>
          </cell>
          <cell r="X106">
            <v>3.0605399999999992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0.218</v>
          </cell>
          <cell r="F108">
            <v>0.218</v>
          </cell>
          <cell r="G108">
            <v>0.218</v>
          </cell>
          <cell r="H108">
            <v>0.218</v>
          </cell>
          <cell r="I108">
            <v>0.218</v>
          </cell>
          <cell r="J108">
            <v>0.218</v>
          </cell>
          <cell r="K108">
            <v>0.218</v>
          </cell>
          <cell r="L108">
            <v>0.218</v>
          </cell>
          <cell r="M108">
            <v>0.218</v>
          </cell>
          <cell r="N108">
            <v>0.218</v>
          </cell>
          <cell r="O108">
            <v>0.218</v>
          </cell>
          <cell r="P108">
            <v>0.218</v>
          </cell>
          <cell r="T108">
            <v>0</v>
          </cell>
          <cell r="U108">
            <v>2.6160000000000001</v>
          </cell>
          <cell r="V108">
            <v>5.9783652200000024</v>
          </cell>
          <cell r="W108">
            <v>21.227882000000005</v>
          </cell>
          <cell r="X108">
            <v>-3.3623652200000023</v>
          </cell>
          <cell r="Y108">
            <v>-18.611882000000005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5.54528</v>
          </cell>
          <cell r="F111">
            <v>5.54528</v>
          </cell>
          <cell r="G111">
            <v>5.3664000000000005</v>
          </cell>
          <cell r="H111">
            <v>5.54528</v>
          </cell>
          <cell r="I111">
            <v>7.8664000000000005</v>
          </cell>
          <cell r="J111">
            <v>5.54528</v>
          </cell>
          <cell r="K111">
            <v>5.54528</v>
          </cell>
          <cell r="L111">
            <v>7.5086399999999998</v>
          </cell>
          <cell r="M111">
            <v>5.54528</v>
          </cell>
          <cell r="N111">
            <v>5.3664000000000005</v>
          </cell>
          <cell r="O111">
            <v>5.54528</v>
          </cell>
          <cell r="P111">
            <v>5.3664000000000005</v>
          </cell>
          <cell r="T111">
            <v>0</v>
          </cell>
          <cell r="U111">
            <v>70.291199999999989</v>
          </cell>
          <cell r="V111">
            <v>133.85639999999998</v>
          </cell>
          <cell r="W111">
            <v>139.471</v>
          </cell>
          <cell r="X111">
            <v>-63.56519999999999</v>
          </cell>
          <cell r="Y111">
            <v>-69.179800000000014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56.679920000000003</v>
          </cell>
          <cell r="W112">
            <v>36.619</v>
          </cell>
          <cell r="X112">
            <v>-8.6799200000000027</v>
          </cell>
          <cell r="Y112">
            <v>11.381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7.4699699999999982</v>
          </cell>
          <cell r="W113">
            <v>7.5039999999999996</v>
          </cell>
          <cell r="X113">
            <v>-0.26996999999999982</v>
          </cell>
          <cell r="Y113">
            <v>-0.30400000000000116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0.60799999999999998</v>
          </cell>
          <cell r="W114">
            <v>6.2679999999999998</v>
          </cell>
          <cell r="X114">
            <v>1.7919999999999998</v>
          </cell>
          <cell r="Y114">
            <v>-3.8679999999999999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6.3080999999999996</v>
          </cell>
          <cell r="W115">
            <v>4.5119999999999996</v>
          </cell>
          <cell r="X115">
            <v>-0.3080999999999996</v>
          </cell>
          <cell r="Y115">
            <v>1.4880000000000004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1.0617499999999997</v>
          </cell>
          <cell r="W117">
            <v>2.919</v>
          </cell>
          <cell r="X117">
            <v>1.3382500000000002</v>
          </cell>
          <cell r="Y117">
            <v>-0.51900000000000013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0.49790862671494251</v>
          </cell>
          <cell r="F119">
            <v>0.49790862671494251</v>
          </cell>
          <cell r="G119">
            <v>0.50890862671494252</v>
          </cell>
          <cell r="H119">
            <v>0.49790862671494251</v>
          </cell>
          <cell r="I119">
            <v>0.49790862671494251</v>
          </cell>
          <cell r="J119">
            <v>0.50890862671494252</v>
          </cell>
          <cell r="K119">
            <v>0.5059167921879425</v>
          </cell>
          <cell r="L119">
            <v>0.5059167921879425</v>
          </cell>
          <cell r="M119">
            <v>0.51691679218794251</v>
          </cell>
          <cell r="N119">
            <v>0.5059167921879425</v>
          </cell>
          <cell r="O119">
            <v>0.51691679218794251</v>
          </cell>
          <cell r="P119">
            <v>0.51691679218794251</v>
          </cell>
          <cell r="T119">
            <v>0</v>
          </cell>
          <cell r="U119">
            <v>6.0779525134173102</v>
          </cell>
          <cell r="V119">
            <v>6.1970000000000001</v>
          </cell>
          <cell r="W119">
            <v>9.8239999999999998</v>
          </cell>
          <cell r="X119">
            <v>-0.11904748658268982</v>
          </cell>
          <cell r="Y119">
            <v>-3.7460474865826896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1.17</v>
          </cell>
          <cell r="W124">
            <v>4.1609999999999978</v>
          </cell>
          <cell r="X124">
            <v>2.4300000000000002</v>
          </cell>
          <cell r="Y124">
            <v>-0.56099999999999861</v>
          </cell>
        </row>
        <row r="125">
          <cell r="C125">
            <v>0</v>
          </cell>
          <cell r="E125">
            <v>22.180588626714943</v>
          </cell>
          <cell r="F125">
            <v>22.180188626714941</v>
          </cell>
          <cell r="G125">
            <v>22.01230862671494</v>
          </cell>
          <cell r="H125">
            <v>22.180188626714941</v>
          </cell>
          <cell r="I125">
            <v>24.501308626714941</v>
          </cell>
          <cell r="J125">
            <v>22.19118862671494</v>
          </cell>
          <cell r="K125">
            <v>22.188196792187941</v>
          </cell>
          <cell r="L125">
            <v>24.151556792187943</v>
          </cell>
          <cell r="M125">
            <v>22.199196792187941</v>
          </cell>
          <cell r="N125">
            <v>22.009316792187942</v>
          </cell>
          <cell r="O125">
            <v>22.199196792187941</v>
          </cell>
          <cell r="P125">
            <v>22.020316792187941</v>
          </cell>
          <cell r="R125">
            <v>0</v>
          </cell>
          <cell r="S125">
            <v>0</v>
          </cell>
          <cell r="T125">
            <v>0</v>
          </cell>
          <cell r="U125">
            <v>270.01355251341732</v>
          </cell>
          <cell r="V125">
            <v>334.65881855333333</v>
          </cell>
          <cell r="W125">
            <v>415.33888200000001</v>
          </cell>
          <cell r="X125">
            <v>-64.64526603991601</v>
          </cell>
          <cell r="Y125">
            <v>-145.32532948658269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>
            <v>0</v>
          </cell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1" refreshError="1">
        <row r="11">
          <cell r="A11">
            <v>1</v>
          </cell>
          <cell r="B11" t="str">
            <v>Net Film Revenue</v>
          </cell>
          <cell r="E11">
            <v>377.34</v>
          </cell>
          <cell r="F11">
            <v>397.2</v>
          </cell>
          <cell r="G11">
            <v>463.4</v>
          </cell>
          <cell r="H11">
            <v>383.96</v>
          </cell>
          <cell r="I11">
            <v>410.44</v>
          </cell>
          <cell r="J11">
            <v>562.70000000000005</v>
          </cell>
          <cell r="K11">
            <v>383.96</v>
          </cell>
          <cell r="L11">
            <v>410.44</v>
          </cell>
          <cell r="M11">
            <v>476.64</v>
          </cell>
          <cell r="N11">
            <v>410.44</v>
          </cell>
          <cell r="O11">
            <v>529.6</v>
          </cell>
          <cell r="P11">
            <v>496.5</v>
          </cell>
          <cell r="Q11">
            <v>0</v>
          </cell>
          <cell r="T11">
            <v>0</v>
          </cell>
          <cell r="U11">
            <v>5302.62</v>
          </cell>
          <cell r="V11">
            <v>5536.4605899999988</v>
          </cell>
          <cell r="W11">
            <v>7381.3370000000004</v>
          </cell>
          <cell r="X11">
            <v>-233.84058999999888</v>
          </cell>
          <cell r="Y11">
            <v>-2078.7170000000006</v>
          </cell>
        </row>
        <row r="12">
          <cell r="A12">
            <v>2</v>
          </cell>
          <cell r="B12" t="str">
            <v>Concession Sales</v>
          </cell>
          <cell r="E12">
            <v>76.95</v>
          </cell>
          <cell r="F12">
            <v>81</v>
          </cell>
          <cell r="G12">
            <v>94.5</v>
          </cell>
          <cell r="H12">
            <v>78.3</v>
          </cell>
          <cell r="I12">
            <v>83.7</v>
          </cell>
          <cell r="J12">
            <v>114.75</v>
          </cell>
          <cell r="K12">
            <v>78.3</v>
          </cell>
          <cell r="L12">
            <v>83.7</v>
          </cell>
          <cell r="M12">
            <v>97.2</v>
          </cell>
          <cell r="N12">
            <v>83.7</v>
          </cell>
          <cell r="O12">
            <v>108</v>
          </cell>
          <cell r="P12">
            <v>101.25</v>
          </cell>
          <cell r="T12">
            <v>0</v>
          </cell>
          <cell r="U12">
            <v>1081.3499999999999</v>
          </cell>
          <cell r="V12">
            <v>1151.98856</v>
          </cell>
          <cell r="W12">
            <v>1433.0309999999999</v>
          </cell>
          <cell r="X12">
            <v>-70.63855999999987</v>
          </cell>
          <cell r="Y12">
            <v>-351.68099999999981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321.01042000000001</v>
          </cell>
          <cell r="W15">
            <v>283.57299999999998</v>
          </cell>
          <cell r="X15">
            <v>-87.010420000000011</v>
          </cell>
          <cell r="Y15">
            <v>-49.572999999999979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6.4376250000000006</v>
          </cell>
          <cell r="F16">
            <v>6.4376250000000006</v>
          </cell>
          <cell r="G16">
            <v>6.4376250000000006</v>
          </cell>
          <cell r="H16">
            <v>6.4376250000000006</v>
          </cell>
          <cell r="I16">
            <v>6.4376250000000006</v>
          </cell>
          <cell r="J16">
            <v>6.4376250000000006</v>
          </cell>
          <cell r="K16">
            <v>6.4376250000000006</v>
          </cell>
          <cell r="L16">
            <v>6.4376250000000006</v>
          </cell>
          <cell r="M16">
            <v>6.4376250000000006</v>
          </cell>
          <cell r="N16">
            <v>6.4376250000000006</v>
          </cell>
          <cell r="O16">
            <v>6.4376250000000006</v>
          </cell>
          <cell r="P16">
            <v>6.4376250000000006</v>
          </cell>
          <cell r="R16">
            <v>0</v>
          </cell>
          <cell r="S16">
            <v>0</v>
          </cell>
          <cell r="T16">
            <v>0</v>
          </cell>
          <cell r="U16">
            <v>77.251499999999979</v>
          </cell>
          <cell r="V16">
            <v>115.01553</v>
          </cell>
          <cell r="W16">
            <v>62.262999999999998</v>
          </cell>
          <cell r="X16">
            <v>-37.76403000000002</v>
          </cell>
          <cell r="Y16">
            <v>14.988499999999981</v>
          </cell>
        </row>
        <row r="17">
          <cell r="B17" t="str">
            <v>TOTAL REVENUE</v>
          </cell>
          <cell r="C17">
            <v>0</v>
          </cell>
          <cell r="E17">
            <v>480.22762500000005</v>
          </cell>
          <cell r="F17">
            <v>504.13762500000001</v>
          </cell>
          <cell r="G17">
            <v>583.83762500000012</v>
          </cell>
          <cell r="H17">
            <v>488.19762500000002</v>
          </cell>
          <cell r="I17">
            <v>520.07762500000001</v>
          </cell>
          <cell r="J17">
            <v>703.38762500000007</v>
          </cell>
          <cell r="K17">
            <v>488.19762500000002</v>
          </cell>
          <cell r="L17">
            <v>520.07762500000001</v>
          </cell>
          <cell r="M17">
            <v>599.77762500000006</v>
          </cell>
          <cell r="N17">
            <v>520.07762500000001</v>
          </cell>
          <cell r="O17">
            <v>663.53762500000005</v>
          </cell>
          <cell r="P17">
            <v>623.68762500000003</v>
          </cell>
          <cell r="R17">
            <v>0</v>
          </cell>
          <cell r="S17">
            <v>0</v>
          </cell>
          <cell r="T17">
            <v>0</v>
          </cell>
          <cell r="U17">
            <v>6695.2214999999997</v>
          </cell>
          <cell r="V17">
            <v>7124.4750999999978</v>
          </cell>
          <cell r="W17">
            <v>9160.2040000000015</v>
          </cell>
          <cell r="X17">
            <v>-429.25359999999819</v>
          </cell>
          <cell r="Y17">
            <v>-2464.9825000000019</v>
          </cell>
        </row>
        <row r="19">
          <cell r="A19">
            <v>7</v>
          </cell>
          <cell r="B19" t="str">
            <v>Film Hire</v>
          </cell>
          <cell r="E19">
            <v>175.46310000000003</v>
          </cell>
          <cell r="F19">
            <v>184.69800000000001</v>
          </cell>
          <cell r="G19">
            <v>215.48100000000002</v>
          </cell>
          <cell r="H19">
            <v>178.54140000000001</v>
          </cell>
          <cell r="I19">
            <v>190.8546</v>
          </cell>
          <cell r="J19">
            <v>261.65550000000002</v>
          </cell>
          <cell r="K19">
            <v>178.54140000000001</v>
          </cell>
          <cell r="L19">
            <v>190.8546</v>
          </cell>
          <cell r="M19">
            <v>221.63759999999999</v>
          </cell>
          <cell r="N19">
            <v>190.8546</v>
          </cell>
          <cell r="O19">
            <v>246.26400000000001</v>
          </cell>
          <cell r="P19">
            <v>230.8725</v>
          </cell>
          <cell r="U19">
            <v>2465.7183000000005</v>
          </cell>
          <cell r="V19">
            <v>2580.9407300000003</v>
          </cell>
          <cell r="W19">
            <v>3438.9110000000001</v>
          </cell>
          <cell r="X19">
            <v>-115.2224299999998</v>
          </cell>
          <cell r="Y19">
            <v>-973.1926999999996</v>
          </cell>
        </row>
        <row r="20">
          <cell r="A20">
            <v>8</v>
          </cell>
          <cell r="B20" t="str">
            <v>Concession Cost</v>
          </cell>
          <cell r="E20">
            <v>16.929000000000002</v>
          </cell>
          <cell r="F20">
            <v>17.82</v>
          </cell>
          <cell r="G20">
            <v>20.79</v>
          </cell>
          <cell r="H20">
            <v>17.226000000000003</v>
          </cell>
          <cell r="I20">
            <v>18.414000000000001</v>
          </cell>
          <cell r="J20">
            <v>25.245000000000001</v>
          </cell>
          <cell r="K20">
            <v>17.226000000000003</v>
          </cell>
          <cell r="L20">
            <v>18.414000000000001</v>
          </cell>
          <cell r="M20">
            <v>21.384</v>
          </cell>
          <cell r="N20">
            <v>18.414000000000001</v>
          </cell>
          <cell r="O20">
            <v>23.76</v>
          </cell>
          <cell r="P20">
            <v>22.274999999999999</v>
          </cell>
          <cell r="T20">
            <v>0</v>
          </cell>
          <cell r="U20">
            <v>237.89700000000002</v>
          </cell>
          <cell r="V20">
            <v>244.43542999999997</v>
          </cell>
          <cell r="W20">
            <v>337.90199999999999</v>
          </cell>
          <cell r="X20">
            <v>-6.5384299999999484</v>
          </cell>
          <cell r="Y20">
            <v>-100.005</v>
          </cell>
        </row>
        <row r="21">
          <cell r="A21">
            <v>9</v>
          </cell>
          <cell r="B21" t="str">
            <v>Less Concession Rebates</v>
          </cell>
          <cell r="E21">
            <v>-1.9237500000000001</v>
          </cell>
          <cell r="F21">
            <v>-2.0249999999999999</v>
          </cell>
          <cell r="G21">
            <v>-2.3624999999999998</v>
          </cell>
          <cell r="H21">
            <v>-1.9575</v>
          </cell>
          <cell r="I21">
            <v>-2.0924999999999998</v>
          </cell>
          <cell r="J21">
            <v>-2.8687499999999999</v>
          </cell>
          <cell r="K21">
            <v>-1.9575</v>
          </cell>
          <cell r="L21">
            <v>-2.0924999999999998</v>
          </cell>
          <cell r="M21">
            <v>-2.4300000000000002</v>
          </cell>
          <cell r="N21">
            <v>-2.0924999999999998</v>
          </cell>
          <cell r="O21">
            <v>-2.7</v>
          </cell>
          <cell r="P21">
            <v>-2.53125</v>
          </cell>
          <cell r="U21">
            <v>-27.033750000000001</v>
          </cell>
          <cell r="V21">
            <v>-35.18</v>
          </cell>
          <cell r="W21">
            <v>-51.578000000000003</v>
          </cell>
          <cell r="X21">
            <v>8.1462500000000002</v>
          </cell>
          <cell r="Y21">
            <v>24.544249999999998</v>
          </cell>
        </row>
        <row r="22">
          <cell r="A22">
            <v>10</v>
          </cell>
          <cell r="B22" t="str">
            <v>Advertising Cost</v>
          </cell>
          <cell r="E22">
            <v>8.67882</v>
          </cell>
          <cell r="F22">
            <v>9.1356000000000002</v>
          </cell>
          <cell r="G22">
            <v>10.658200000000001</v>
          </cell>
          <cell r="H22">
            <v>8.83108</v>
          </cell>
          <cell r="I22">
            <v>9.4401200000000003</v>
          </cell>
          <cell r="J22">
            <v>12.942100000000002</v>
          </cell>
          <cell r="K22">
            <v>8.83108</v>
          </cell>
          <cell r="L22">
            <v>9.4401200000000003</v>
          </cell>
          <cell r="M22">
            <v>10.962719999999999</v>
          </cell>
          <cell r="N22">
            <v>9.4401200000000003</v>
          </cell>
          <cell r="O22">
            <v>12.1808</v>
          </cell>
          <cell r="P22">
            <v>11.419499999999999</v>
          </cell>
          <cell r="T22">
            <v>0</v>
          </cell>
          <cell r="U22">
            <v>121.96026000000001</v>
          </cell>
          <cell r="V22">
            <v>116.84968000000001</v>
          </cell>
          <cell r="W22">
            <v>136.47999999999999</v>
          </cell>
          <cell r="X22">
            <v>5.1105799999999988</v>
          </cell>
          <cell r="Y22">
            <v>-14.519739999999985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0.75468000000000013</v>
          </cell>
          <cell r="F23">
            <v>0.7944</v>
          </cell>
          <cell r="G23">
            <v>0.92680000000000007</v>
          </cell>
          <cell r="H23">
            <v>0.76791999999999994</v>
          </cell>
          <cell r="I23">
            <v>0.82088000000000005</v>
          </cell>
          <cell r="J23">
            <v>1.1254000000000002</v>
          </cell>
          <cell r="K23">
            <v>0.76791999999999994</v>
          </cell>
          <cell r="L23">
            <v>0.82088000000000005</v>
          </cell>
          <cell r="M23">
            <v>0.95328000000000002</v>
          </cell>
          <cell r="N23">
            <v>0.82088000000000005</v>
          </cell>
          <cell r="O23">
            <v>1.0592000000000001</v>
          </cell>
          <cell r="P23">
            <v>0.99299999999999999</v>
          </cell>
          <cell r="R23">
            <v>0</v>
          </cell>
          <cell r="S23">
            <v>0</v>
          </cell>
          <cell r="T23">
            <v>0</v>
          </cell>
          <cell r="U23">
            <v>10.605240000000002</v>
          </cell>
          <cell r="V23">
            <v>11.072921179999998</v>
          </cell>
          <cell r="W23">
            <v>14.762674000000001</v>
          </cell>
          <cell r="X23">
            <v>-0.46768117999999603</v>
          </cell>
          <cell r="Y23">
            <v>-4.1574339999999985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33.497996330229874</v>
          </cell>
          <cell r="F24">
            <v>33.497996330229874</v>
          </cell>
          <cell r="G24">
            <v>34.597996330229876</v>
          </cell>
          <cell r="H24">
            <v>33.497996330229874</v>
          </cell>
          <cell r="I24">
            <v>33.497996330229874</v>
          </cell>
          <cell r="J24">
            <v>34.597996330229876</v>
          </cell>
          <cell r="K24">
            <v>34.150789093929873</v>
          </cell>
          <cell r="L24">
            <v>34.150789093929873</v>
          </cell>
          <cell r="M24">
            <v>35.250789093929875</v>
          </cell>
          <cell r="N24">
            <v>34.150789093929873</v>
          </cell>
          <cell r="O24">
            <v>35.250789093929875</v>
          </cell>
          <cell r="P24">
            <v>35.250789093929875</v>
          </cell>
          <cell r="R24">
            <v>0</v>
          </cell>
          <cell r="S24">
            <v>0</v>
          </cell>
          <cell r="T24">
            <v>0</v>
          </cell>
          <cell r="U24">
            <v>411.3927125449585</v>
          </cell>
          <cell r="V24">
            <v>518.26446499999986</v>
          </cell>
          <cell r="W24">
            <v>670.90099999999995</v>
          </cell>
          <cell r="X24">
            <v>-106.87175245504136</v>
          </cell>
          <cell r="Y24">
            <v>-259.50828745504145</v>
          </cell>
        </row>
        <row r="25">
          <cell r="B25" t="str">
            <v>TOTAL COST</v>
          </cell>
          <cell r="C25">
            <v>0</v>
          </cell>
          <cell r="E25">
            <v>233.39984633022991</v>
          </cell>
          <cell r="F25">
            <v>243.92099633022988</v>
          </cell>
          <cell r="G25">
            <v>280.09149633022986</v>
          </cell>
          <cell r="H25">
            <v>236.9068963302299</v>
          </cell>
          <cell r="I25">
            <v>250.93509633022987</v>
          </cell>
          <cell r="J25">
            <v>332.69724633022992</v>
          </cell>
          <cell r="K25">
            <v>237.55968909392988</v>
          </cell>
          <cell r="L25">
            <v>251.58788909392985</v>
          </cell>
          <cell r="M25">
            <v>287.75838909392985</v>
          </cell>
          <cell r="N25">
            <v>251.58788909392985</v>
          </cell>
          <cell r="O25">
            <v>315.81478909392985</v>
          </cell>
          <cell r="P25">
            <v>298.27953909392988</v>
          </cell>
          <cell r="R25">
            <v>0</v>
          </cell>
          <cell r="S25">
            <v>0</v>
          </cell>
          <cell r="T25">
            <v>0</v>
          </cell>
          <cell r="U25">
            <v>3220.5397625449586</v>
          </cell>
          <cell r="V25">
            <v>3436.3832261799998</v>
          </cell>
          <cell r="W25">
            <v>4547.3786740000005</v>
          </cell>
          <cell r="X25">
            <v>-215.84346363504119</v>
          </cell>
          <cell r="Y25">
            <v>-1326.8389114550419</v>
          </cell>
        </row>
        <row r="27">
          <cell r="B27" t="str">
            <v>GROSS MARGIN</v>
          </cell>
          <cell r="C27">
            <v>0</v>
          </cell>
          <cell r="E27">
            <v>246.82777866977014</v>
          </cell>
          <cell r="F27">
            <v>260.2166286697701</v>
          </cell>
          <cell r="G27">
            <v>303.74612866977026</v>
          </cell>
          <cell r="H27">
            <v>251.29072866977012</v>
          </cell>
          <cell r="I27">
            <v>269.14252866977017</v>
          </cell>
          <cell r="J27">
            <v>370.69037866977015</v>
          </cell>
          <cell r="K27">
            <v>250.63793590607014</v>
          </cell>
          <cell r="L27">
            <v>268.48973590607017</v>
          </cell>
          <cell r="M27">
            <v>312.01923590607021</v>
          </cell>
          <cell r="N27">
            <v>268.48973590607017</v>
          </cell>
          <cell r="O27">
            <v>347.7228359060702</v>
          </cell>
          <cell r="P27">
            <v>325.40808590607014</v>
          </cell>
          <cell r="R27">
            <v>0</v>
          </cell>
          <cell r="S27">
            <v>0</v>
          </cell>
          <cell r="T27">
            <v>0</v>
          </cell>
          <cell r="U27">
            <v>3474.681737455041</v>
          </cell>
          <cell r="V27">
            <v>3688.091873819998</v>
          </cell>
          <cell r="W27">
            <v>4612.825326000001</v>
          </cell>
          <cell r="X27">
            <v>-213.410136364957</v>
          </cell>
          <cell r="Y27">
            <v>-1138.14358854496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94.909199999999998</v>
          </cell>
          <cell r="F29">
            <v>95.504999999999995</v>
          </cell>
          <cell r="G29">
            <v>97.491</v>
          </cell>
          <cell r="H29">
            <v>95.107799999999997</v>
          </cell>
          <cell r="I29">
            <v>95.902199999999993</v>
          </cell>
          <cell r="J29">
            <v>108.8289</v>
          </cell>
          <cell r="K29">
            <v>103.4667</v>
          </cell>
          <cell r="L29">
            <v>104.2611</v>
          </cell>
          <cell r="M29">
            <v>106.2471</v>
          </cell>
          <cell r="N29">
            <v>104.2611</v>
          </cell>
          <cell r="O29">
            <v>107.83590000000001</v>
          </cell>
          <cell r="P29">
            <v>106.8429</v>
          </cell>
          <cell r="T29">
            <v>0</v>
          </cell>
          <cell r="U29">
            <v>1220.6589000000001</v>
          </cell>
          <cell r="V29">
            <v>1142.45373</v>
          </cell>
          <cell r="W29">
            <v>1224.508</v>
          </cell>
          <cell r="X29">
            <v>78.20517000000018</v>
          </cell>
          <cell r="Y29">
            <v>-3.8490999999999076</v>
          </cell>
        </row>
        <row r="30">
          <cell r="A30">
            <v>14</v>
          </cell>
          <cell r="B30" t="str">
            <v>Light, Heat and Power</v>
          </cell>
          <cell r="E30">
            <v>10.01</v>
          </cell>
          <cell r="F30">
            <v>10.01</v>
          </cell>
          <cell r="G30">
            <v>10.01</v>
          </cell>
          <cell r="H30">
            <v>10.01</v>
          </cell>
          <cell r="I30">
            <v>10.01</v>
          </cell>
          <cell r="J30">
            <v>10.01</v>
          </cell>
          <cell r="K30">
            <v>10.01</v>
          </cell>
          <cell r="L30">
            <v>10.01</v>
          </cell>
          <cell r="M30">
            <v>10.01</v>
          </cell>
          <cell r="N30">
            <v>10.01</v>
          </cell>
          <cell r="O30">
            <v>10.01</v>
          </cell>
          <cell r="P30">
            <v>10.01</v>
          </cell>
          <cell r="T30">
            <v>0</v>
          </cell>
          <cell r="U30">
            <v>120.12</v>
          </cell>
          <cell r="V30">
            <v>125.91146000000001</v>
          </cell>
          <cell r="W30">
            <v>149.56899999999999</v>
          </cell>
          <cell r="X30">
            <v>-5.7914599999999865</v>
          </cell>
          <cell r="Y30">
            <v>-29.44899999999997</v>
          </cell>
        </row>
        <row r="31">
          <cell r="A31">
            <v>15</v>
          </cell>
          <cell r="B31" t="str">
            <v>Repair &amp; Maintenance</v>
          </cell>
          <cell r="E31">
            <v>9.9890000000000008</v>
          </cell>
          <cell r="F31">
            <v>9.9890000000000008</v>
          </cell>
          <cell r="G31">
            <v>9.9890000000000008</v>
          </cell>
          <cell r="H31">
            <v>22.989000000000001</v>
          </cell>
          <cell r="I31">
            <v>9.9890000000000008</v>
          </cell>
          <cell r="J31">
            <v>9.9890000000000008</v>
          </cell>
          <cell r="K31">
            <v>9.9890000000000008</v>
          </cell>
          <cell r="L31">
            <v>9.9890000000000008</v>
          </cell>
          <cell r="M31">
            <v>9.9890000000000008</v>
          </cell>
          <cell r="N31">
            <v>9.9890000000000008</v>
          </cell>
          <cell r="O31">
            <v>9.9890000000000008</v>
          </cell>
          <cell r="P31">
            <v>9.9890000000000008</v>
          </cell>
          <cell r="T31">
            <v>0</v>
          </cell>
          <cell r="U31">
            <v>132.86800000000002</v>
          </cell>
          <cell r="V31">
            <v>121.43692666666666</v>
          </cell>
          <cell r="W31">
            <v>216.595</v>
          </cell>
          <cell r="X31">
            <v>11.431073333333359</v>
          </cell>
          <cell r="Y31">
            <v>-83.726999999999975</v>
          </cell>
        </row>
        <row r="32">
          <cell r="A32">
            <v>16</v>
          </cell>
          <cell r="B32" t="str">
            <v>Common Area Maintenance</v>
          </cell>
          <cell r="E32">
            <v>25.33</v>
          </cell>
          <cell r="F32">
            <v>25.33</v>
          </cell>
          <cell r="G32">
            <v>25.33</v>
          </cell>
          <cell r="H32">
            <v>25.33</v>
          </cell>
          <cell r="I32">
            <v>25.33</v>
          </cell>
          <cell r="J32">
            <v>27.863</v>
          </cell>
          <cell r="K32">
            <v>27.863</v>
          </cell>
          <cell r="L32">
            <v>27.863</v>
          </cell>
          <cell r="M32">
            <v>27.863</v>
          </cell>
          <cell r="N32">
            <v>27.863</v>
          </cell>
          <cell r="O32">
            <v>27.863</v>
          </cell>
          <cell r="P32">
            <v>27.863</v>
          </cell>
          <cell r="T32">
            <v>0</v>
          </cell>
          <cell r="U32">
            <v>321.69099999999997</v>
          </cell>
          <cell r="V32">
            <v>303.95999999999998</v>
          </cell>
          <cell r="W32">
            <v>303.95999999999998</v>
          </cell>
          <cell r="X32">
            <v>17.730999999999995</v>
          </cell>
          <cell r="Y32">
            <v>17.730999999999995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17.665459963302297</v>
          </cell>
          <cell r="F33">
            <v>17.665459963302297</v>
          </cell>
          <cell r="G33">
            <v>17.518379963302298</v>
          </cell>
          <cell r="H33">
            <v>17.665459963302297</v>
          </cell>
          <cell r="I33">
            <v>18.957379963302301</v>
          </cell>
          <cell r="J33">
            <v>17.6764599633023</v>
          </cell>
          <cell r="K33">
            <v>17.671987890939299</v>
          </cell>
          <cell r="L33">
            <v>19.697747890939301</v>
          </cell>
          <cell r="M33">
            <v>17.682987890939298</v>
          </cell>
          <cell r="N33">
            <v>17.513907890939297</v>
          </cell>
          <cell r="O33">
            <v>17.682987890939298</v>
          </cell>
          <cell r="P33">
            <v>17.524907890939296</v>
          </cell>
          <cell r="R33">
            <v>0</v>
          </cell>
          <cell r="S33">
            <v>0</v>
          </cell>
          <cell r="T33">
            <v>0</v>
          </cell>
          <cell r="U33">
            <v>214.92312712544958</v>
          </cell>
          <cell r="V33">
            <v>237.55307627333329</v>
          </cell>
          <cell r="W33">
            <v>275.02032600000001</v>
          </cell>
          <cell r="X33">
            <v>-22.629949147883707</v>
          </cell>
          <cell r="Y33">
            <v>-60.097198874550429</v>
          </cell>
        </row>
        <row r="35">
          <cell r="B35" t="str">
            <v>Total Overhead Expenses</v>
          </cell>
          <cell r="C35">
            <v>0</v>
          </cell>
          <cell r="E35">
            <v>157.90365996330229</v>
          </cell>
          <cell r="F35">
            <v>158.49945996330229</v>
          </cell>
          <cell r="G35">
            <v>160.33837996330229</v>
          </cell>
          <cell r="H35">
            <v>171.10225996330229</v>
          </cell>
          <cell r="I35">
            <v>160.18857996330229</v>
          </cell>
          <cell r="J35">
            <v>174.36735996330231</v>
          </cell>
          <cell r="K35">
            <v>169.00068789093933</v>
          </cell>
          <cell r="L35">
            <v>171.82084789093932</v>
          </cell>
          <cell r="M35">
            <v>171.79208789093931</v>
          </cell>
          <cell r="N35">
            <v>169.63700789093932</v>
          </cell>
          <cell r="O35">
            <v>173.38088789093931</v>
          </cell>
          <cell r="P35">
            <v>172.2298078909393</v>
          </cell>
          <cell r="R35">
            <v>0</v>
          </cell>
          <cell r="S35">
            <v>0</v>
          </cell>
          <cell r="T35">
            <v>0</v>
          </cell>
          <cell r="U35">
            <v>2010.2610271254496</v>
          </cell>
          <cell r="V35">
            <v>1931.3151929400001</v>
          </cell>
          <cell r="W35">
            <v>2169.6523259999999</v>
          </cell>
          <cell r="X35">
            <v>1533.5195272355429</v>
          </cell>
          <cell r="Y35">
            <v>-159.39129887455033</v>
          </cell>
        </row>
        <row r="36">
          <cell r="V36">
            <v>0</v>
          </cell>
        </row>
        <row r="37">
          <cell r="B37" t="str">
            <v>E.B.I.T.D.</v>
          </cell>
          <cell r="C37">
            <v>0</v>
          </cell>
          <cell r="E37">
            <v>88.924118706467851</v>
          </cell>
          <cell r="F37">
            <v>101.71716870646782</v>
          </cell>
          <cell r="G37">
            <v>200.26200000000011</v>
          </cell>
          <cell r="H37">
            <v>80.18846870646783</v>
          </cell>
          <cell r="I37">
            <v>108.95394870646788</v>
          </cell>
          <cell r="J37">
            <v>196.32301870646785</v>
          </cell>
          <cell r="K37">
            <v>81.637248015130808</v>
          </cell>
          <cell r="L37">
            <v>96.668888015130847</v>
          </cell>
          <cell r="M37">
            <v>140.22714801513089</v>
          </cell>
          <cell r="N37">
            <v>98.85272801513085</v>
          </cell>
          <cell r="O37">
            <v>174.3419480151309</v>
          </cell>
          <cell r="P37">
            <v>153.17827801513084</v>
          </cell>
          <cell r="R37">
            <v>0</v>
          </cell>
          <cell r="S37">
            <v>0</v>
          </cell>
          <cell r="T37">
            <v>0</v>
          </cell>
          <cell r="U37">
            <v>1464.4207103295914</v>
          </cell>
          <cell r="V37">
            <v>1756.7766808799979</v>
          </cell>
          <cell r="W37">
            <v>2443.1730000000011</v>
          </cell>
          <cell r="X37">
            <v>-1746.9296636004999</v>
          </cell>
          <cell r="Y37">
            <v>-978.75228967040971</v>
          </cell>
        </row>
        <row r="38">
          <cell r="V38">
            <v>0</v>
          </cell>
        </row>
        <row r="39">
          <cell r="A39">
            <v>18</v>
          </cell>
          <cell r="B39" t="str">
            <v>Depreciation</v>
          </cell>
          <cell r="E39">
            <v>25.501840277777777</v>
          </cell>
          <cell r="F39">
            <v>25.501840277777777</v>
          </cell>
          <cell r="G39">
            <v>25.501840277777777</v>
          </cell>
          <cell r="H39">
            <v>28.008131944444443</v>
          </cell>
          <cell r="I39">
            <v>28.008131944444443</v>
          </cell>
          <cell r="J39">
            <v>28.008131944444443</v>
          </cell>
          <cell r="K39">
            <v>28.008131944444443</v>
          </cell>
          <cell r="L39">
            <v>28.008131944444443</v>
          </cell>
          <cell r="M39">
            <v>28.008131944444443</v>
          </cell>
          <cell r="N39">
            <v>28.008131944444443</v>
          </cell>
          <cell r="O39">
            <v>28.008131944444443</v>
          </cell>
          <cell r="P39">
            <v>28.008131944444443</v>
          </cell>
          <cell r="T39">
            <v>0</v>
          </cell>
          <cell r="U39">
            <v>328.57870833333334</v>
          </cell>
          <cell r="V39">
            <v>308.70829157407411</v>
          </cell>
          <cell r="W39">
            <v>291.90600000000001</v>
          </cell>
          <cell r="X39">
            <v>19.870416759259228</v>
          </cell>
          <cell r="Y39">
            <v>36.672708333333333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21.166999999999998</v>
          </cell>
          <cell r="W40">
            <v>198.422</v>
          </cell>
          <cell r="X40">
            <v>-21.166999999999998</v>
          </cell>
          <cell r="Y40">
            <v>-198.422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132.06682849589041</v>
          </cell>
          <cell r="W41">
            <v>148.93799999999999</v>
          </cell>
          <cell r="X41">
            <v>-132.06682849589041</v>
          </cell>
          <cell r="Y41">
            <v>-148.93799999999999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63.422278428690078</v>
          </cell>
          <cell r="F44">
            <v>76.215328428690043</v>
          </cell>
          <cell r="G44">
            <v>174.76015972222234</v>
          </cell>
          <cell r="H44">
            <v>52.180336762023387</v>
          </cell>
          <cell r="I44">
            <v>80.945816762023441</v>
          </cell>
          <cell r="J44">
            <v>168.31488676202341</v>
          </cell>
          <cell r="K44">
            <v>53.629116070686365</v>
          </cell>
          <cell r="L44">
            <v>68.660756070686404</v>
          </cell>
          <cell r="M44">
            <v>112.21901607068645</v>
          </cell>
          <cell r="N44">
            <v>70.844596070686407</v>
          </cell>
          <cell r="O44">
            <v>146.33381607068645</v>
          </cell>
          <cell r="P44">
            <v>125.1701460706864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1135.8420019962582</v>
          </cell>
          <cell r="V44">
            <v>1297.5579908100335</v>
          </cell>
          <cell r="W44">
            <v>1804.814000000001</v>
          </cell>
          <cell r="X44">
            <v>-161.71598881377531</v>
          </cell>
          <cell r="Y44">
            <v>-668.97199800374278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63.422278428690078</v>
          </cell>
          <cell r="F50">
            <v>76.215328428690043</v>
          </cell>
          <cell r="G50">
            <v>174.76015972222234</v>
          </cell>
          <cell r="H50">
            <v>52.180336762023387</v>
          </cell>
          <cell r="I50">
            <v>80.945816762023441</v>
          </cell>
          <cell r="J50">
            <v>168.31488676202341</v>
          </cell>
          <cell r="K50">
            <v>53.629116070686365</v>
          </cell>
          <cell r="L50">
            <v>68.660756070686404</v>
          </cell>
          <cell r="M50">
            <v>112.21901607068645</v>
          </cell>
          <cell r="N50">
            <v>70.844596070686407</v>
          </cell>
          <cell r="O50">
            <v>146.33381607068645</v>
          </cell>
          <cell r="P50">
            <v>125.1701460706864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1135.8420019962582</v>
          </cell>
          <cell r="V50">
            <v>1297.5579908100335</v>
          </cell>
          <cell r="W50">
            <v>1804.814000000001</v>
          </cell>
          <cell r="X50">
            <v>-161.71598881377531</v>
          </cell>
          <cell r="Y50">
            <v>-668.97199800374278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55.86</v>
          </cell>
          <cell r="F54">
            <v>58.8</v>
          </cell>
          <cell r="G54">
            <v>68.599999999999994</v>
          </cell>
          <cell r="H54">
            <v>56.84</v>
          </cell>
          <cell r="I54">
            <v>60.76</v>
          </cell>
          <cell r="J54">
            <v>83.3</v>
          </cell>
          <cell r="K54">
            <v>56.84</v>
          </cell>
          <cell r="L54">
            <v>60.76</v>
          </cell>
          <cell r="M54">
            <v>70.56</v>
          </cell>
          <cell r="N54">
            <v>60.76</v>
          </cell>
          <cell r="O54">
            <v>78.400000000000006</v>
          </cell>
          <cell r="P54">
            <v>73.5</v>
          </cell>
          <cell r="T54">
            <v>0</v>
          </cell>
          <cell r="U54">
            <v>784.98</v>
          </cell>
          <cell r="V54">
            <v>834</v>
          </cell>
          <cell r="W54">
            <v>1091.548</v>
          </cell>
          <cell r="X54">
            <v>-49.020000000000095</v>
          </cell>
          <cell r="Y54">
            <v>-306.5680000000001</v>
          </cell>
        </row>
        <row r="55">
          <cell r="A55">
            <v>28</v>
          </cell>
          <cell r="B55" t="str">
            <v>Admissions</v>
          </cell>
          <cell r="E55">
            <v>57</v>
          </cell>
          <cell r="F55">
            <v>60</v>
          </cell>
          <cell r="G55">
            <v>70</v>
          </cell>
          <cell r="H55">
            <v>58</v>
          </cell>
          <cell r="I55">
            <v>62</v>
          </cell>
          <cell r="J55">
            <v>85</v>
          </cell>
          <cell r="K55">
            <v>58</v>
          </cell>
          <cell r="L55">
            <v>62</v>
          </cell>
          <cell r="M55">
            <v>72</v>
          </cell>
          <cell r="N55">
            <v>62</v>
          </cell>
          <cell r="O55">
            <v>80</v>
          </cell>
          <cell r="P55">
            <v>75</v>
          </cell>
          <cell r="T55">
            <v>0</v>
          </cell>
          <cell r="U55">
            <v>801</v>
          </cell>
          <cell r="V55">
            <v>834</v>
          </cell>
          <cell r="W55">
            <v>1091.548</v>
          </cell>
          <cell r="X55">
            <v>-33</v>
          </cell>
          <cell r="Y55">
            <v>-290.548</v>
          </cell>
        </row>
        <row r="56">
          <cell r="B56" t="str">
            <v>Utilisation Rate</v>
          </cell>
          <cell r="E56">
            <v>0.26096033402922758</v>
          </cell>
          <cell r="F56">
            <v>0.2746950884518185</v>
          </cell>
          <cell r="G56">
            <v>0.25638208255503059</v>
          </cell>
          <cell r="H56">
            <v>0.26553858550342452</v>
          </cell>
          <cell r="I56">
            <v>0.28385159140021243</v>
          </cell>
          <cell r="J56">
            <v>0.31132110024539428</v>
          </cell>
          <cell r="K56">
            <v>0.26553858550342452</v>
          </cell>
          <cell r="L56">
            <v>0.28385159140021243</v>
          </cell>
          <cell r="M56">
            <v>0.26370728491374573</v>
          </cell>
          <cell r="N56">
            <v>0.28385159140021243</v>
          </cell>
          <cell r="O56">
            <v>0.29300809434860636</v>
          </cell>
          <cell r="P56">
            <v>0.34336886056477312</v>
          </cell>
          <cell r="U56">
            <v>0.2820907254485982</v>
          </cell>
          <cell r="V56">
            <v>0.29371244072925207</v>
          </cell>
          <cell r="W56">
            <v>0.36240550978236041</v>
          </cell>
          <cell r="X56">
            <v>-1.1621715280653866E-2</v>
          </cell>
          <cell r="Y56">
            <v>-8.0314784333762212E-2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6.6384419544364492</v>
          </cell>
          <cell r="W57">
            <v>6.7622651500437918</v>
          </cell>
          <cell r="X57">
            <v>-1.8441954436449137E-2</v>
          </cell>
          <cell r="Y57">
            <v>-0.1422651500437917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2.110548392795478E-2</v>
          </cell>
          <cell r="W58">
            <v>1.8489875208244792E-2</v>
          </cell>
          <cell r="X58">
            <v>1.8945160720452228E-3</v>
          </cell>
          <cell r="Y58">
            <v>4.5101247917552108E-3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0.18164714239870572</v>
          </cell>
          <cell r="W59">
            <v>0.19980307474157918</v>
          </cell>
          <cell r="X59">
            <v>1.3352857601294288E-2</v>
          </cell>
          <cell r="Y59">
            <v>-4.8030747415791775E-3</v>
          </cell>
        </row>
        <row r="60">
          <cell r="B60" t="str">
            <v>Concess. Rev per Patron (S$)</v>
          </cell>
          <cell r="C60" t="str">
            <v>N.A.</v>
          </cell>
          <cell r="E60">
            <v>1.35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1.35</v>
          </cell>
          <cell r="O60">
            <v>1.35</v>
          </cell>
          <cell r="P60">
            <v>1.35</v>
          </cell>
          <cell r="R60" t="str">
            <v>N.A.</v>
          </cell>
          <cell r="S60" t="str">
            <v>N.A.</v>
          </cell>
          <cell r="U60">
            <v>1.35</v>
          </cell>
          <cell r="V60">
            <v>1.3812812470023981</v>
          </cell>
          <cell r="W60">
            <v>1.3128428616973324</v>
          </cell>
          <cell r="X60">
            <v>-3.1281247002397983E-2</v>
          </cell>
          <cell r="Y60">
            <v>3.7157138302667647E-2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0.46617160693994947</v>
          </cell>
          <cell r="W61">
            <v>0.46589269667541255</v>
          </cell>
          <cell r="X61">
            <v>-1.1716069399493878E-3</v>
          </cell>
          <cell r="Y61">
            <v>-8.9269667541247433E-4</v>
          </cell>
        </row>
        <row r="62">
          <cell r="B62" t="str">
            <v>Direct Payroll : Net Box</v>
          </cell>
          <cell r="C62" t="str">
            <v>N.A.</v>
          </cell>
          <cell r="E62">
            <v>8.8774040203079108E-2</v>
          </cell>
          <cell r="F62">
            <v>8.4335338192925158E-2</v>
          </cell>
          <cell r="G62">
            <v>7.4661191908135249E-2</v>
          </cell>
          <cell r="H62">
            <v>8.7243453303026033E-2</v>
          </cell>
          <cell r="I62">
            <v>8.1614843412508215E-2</v>
          </cell>
          <cell r="J62">
            <v>6.1485687453758438E-2</v>
          </cell>
          <cell r="K62">
            <v>8.894361155831304E-2</v>
          </cell>
          <cell r="L62">
            <v>8.3205314038421879E-2</v>
          </cell>
          <cell r="M62">
            <v>7.3956841838557136E-2</v>
          </cell>
          <cell r="N62">
            <v>8.3205314038421879E-2</v>
          </cell>
          <cell r="O62">
            <v>6.6561157654701428E-2</v>
          </cell>
          <cell r="P62">
            <v>7.0998568165014847E-2</v>
          </cell>
          <cell r="R62" t="str">
            <v>N.A.</v>
          </cell>
          <cell r="S62" t="str">
            <v>N.A.</v>
          </cell>
          <cell r="U62">
            <v>7.7582914209383E-2</v>
          </cell>
          <cell r="V62">
            <v>9.360934780897627E-2</v>
          </cell>
          <cell r="W62">
            <v>9.0891528187915002E-2</v>
          </cell>
          <cell r="X62">
            <v>-1.6026433599593271E-2</v>
          </cell>
          <cell r="Y62">
            <v>-1.3308613978532002E-2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7.3737032138567596E-2</v>
          </cell>
          <cell r="F63">
            <v>7.0050180531639222E-2</v>
          </cell>
          <cell r="G63">
            <v>6.2014691396719612E-2</v>
          </cell>
          <cell r="H63">
            <v>7.2465703998247463E-2</v>
          </cell>
          <cell r="I63">
            <v>6.779049728868311E-2</v>
          </cell>
          <cell r="J63">
            <v>5.1070922326710275E-2</v>
          </cell>
          <cell r="K63">
            <v>7.3877880616817104E-2</v>
          </cell>
          <cell r="L63">
            <v>6.9111565738312772E-2</v>
          </cell>
          <cell r="M63">
            <v>6.1429647800658502E-2</v>
          </cell>
          <cell r="N63">
            <v>6.9111565738312772E-2</v>
          </cell>
          <cell r="O63">
            <v>5.5286683020592649E-2</v>
          </cell>
          <cell r="P63">
            <v>5.8972461888632165E-2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6.4441517197756024E-2</v>
          </cell>
          <cell r="V63">
            <v>7.7486492515234262E-2</v>
          </cell>
          <cell r="W63">
            <v>7.6114475819480179E-2</v>
          </cell>
          <cell r="X63">
            <v>-1.3044975317478238E-2</v>
          </cell>
          <cell r="Y63">
            <v>-1.1672958621724155E-2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0.5876841461443838</v>
          </cell>
          <cell r="F64">
            <v>0.55829993883716456</v>
          </cell>
          <cell r="G64">
            <v>0.49425709043185534</v>
          </cell>
          <cell r="H64">
            <v>0.57755166086603227</v>
          </cell>
          <cell r="I64">
            <v>0.54029026339080444</v>
          </cell>
          <cell r="J64">
            <v>0.40703525094388088</v>
          </cell>
          <cell r="K64">
            <v>0.58880670851603234</v>
          </cell>
          <cell r="L64">
            <v>0.55081917893435284</v>
          </cell>
          <cell r="M64">
            <v>0.48959429297124823</v>
          </cell>
          <cell r="N64">
            <v>0.55081917893435284</v>
          </cell>
          <cell r="O64">
            <v>0.44063486367412341</v>
          </cell>
          <cell r="P64">
            <v>0.47001052125239834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0.51359889206611553</v>
          </cell>
          <cell r="V64">
            <v>0.62142022182254175</v>
          </cell>
          <cell r="W64">
            <v>0.61463261349936049</v>
          </cell>
          <cell r="X64">
            <v>-0.10782132975642622</v>
          </cell>
          <cell r="Y64">
            <v>-0.10103372143324496</v>
          </cell>
        </row>
        <row r="65">
          <cell r="B65" t="str">
            <v>Gross Margin :Total Rev</v>
          </cell>
          <cell r="C65" t="str">
            <v>N.A.</v>
          </cell>
          <cell r="E65">
            <v>0.51398079956306164</v>
          </cell>
          <cell r="F65">
            <v>0.51616188867032109</v>
          </cell>
          <cell r="G65">
            <v>0.5202578862055528</v>
          </cell>
          <cell r="H65">
            <v>0.51473156730283176</v>
          </cell>
          <cell r="I65">
            <v>0.51750453342377523</v>
          </cell>
          <cell r="J65">
            <v>0.52700725104421642</v>
          </cell>
          <cell r="K65">
            <v>0.5133944187173588</v>
          </cell>
          <cell r="L65">
            <v>0.51624935009667094</v>
          </cell>
          <cell r="M65">
            <v>0.5202248681852214</v>
          </cell>
          <cell r="N65">
            <v>0.51624935009667094</v>
          </cell>
          <cell r="O65">
            <v>0.52404388659357515</v>
          </cell>
          <cell r="P65">
            <v>0.52174850496042813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0.51897935526928285</v>
          </cell>
          <cell r="V65">
            <v>0.51766506613518781</v>
          </cell>
          <cell r="W65">
            <v>0.50357233594361006</v>
          </cell>
          <cell r="X65">
            <v>1.3142891340950369E-3</v>
          </cell>
          <cell r="Y65">
            <v>1.5407019325672788E-2</v>
          </cell>
        </row>
        <row r="66">
          <cell r="B66" t="str">
            <v>G&amp;A % of total revenue</v>
          </cell>
          <cell r="C66" t="str">
            <v>N.A.</v>
          </cell>
          <cell r="E66">
            <v>3.6785597170305009E-2</v>
          </cell>
          <cell r="F66">
            <v>3.5040947327234895E-2</v>
          </cell>
          <cell r="G66">
            <v>3.0005568694381927E-2</v>
          </cell>
          <cell r="H66">
            <v>3.6185059202822417E-2</v>
          </cell>
          <cell r="I66">
            <v>3.6451058557464958E-2</v>
          </cell>
          <cell r="J66">
            <v>2.5130467661131084E-2</v>
          </cell>
          <cell r="K66">
            <v>3.6198430688677147E-2</v>
          </cell>
          <cell r="L66">
            <v>3.7874630524509297E-2</v>
          </cell>
          <cell r="M66">
            <v>2.9482573463688808E-2</v>
          </cell>
          <cell r="N66">
            <v>3.3675565048466173E-2</v>
          </cell>
          <cell r="O66">
            <v>2.6649563227012632E-2</v>
          </cell>
          <cell r="P66">
            <v>2.8098854600392777E-2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3.2100973377124205E-2</v>
          </cell>
          <cell r="V66">
            <v>3.3343239037123364E-2</v>
          </cell>
          <cell r="W66">
            <v>3.002338441370956E-2</v>
          </cell>
          <cell r="X66">
            <v>-1.2422656599991588E-3</v>
          </cell>
          <cell r="Y66">
            <v>2.0775889634146449E-3</v>
          </cell>
        </row>
        <row r="67">
          <cell r="B67" t="str">
            <v>E.B.I.T.D. : Total Rev</v>
          </cell>
          <cell r="C67" t="str">
            <v>N.A.</v>
          </cell>
          <cell r="E67">
            <v>0.18517076918777392</v>
          </cell>
          <cell r="F67">
            <v>0.20176468420992744</v>
          </cell>
          <cell r="G67">
            <v>0.34300975378214116</v>
          </cell>
          <cell r="H67">
            <v>0.1642541147275508</v>
          </cell>
          <cell r="I67">
            <v>0.20949555118136043</v>
          </cell>
          <cell r="J67">
            <v>0.27911070898705082</v>
          </cell>
          <cell r="K67">
            <v>0.16722172299615509</v>
          </cell>
          <cell r="L67">
            <v>0.18587396067102646</v>
          </cell>
          <cell r="M67">
            <v>0.23379856495168669</v>
          </cell>
          <cell r="N67">
            <v>0.19007302614706958</v>
          </cell>
          <cell r="O67">
            <v>0.26274613744040648</v>
          </cell>
          <cell r="P67">
            <v>0.24560095771521975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0.21872625279530952</v>
          </cell>
          <cell r="V67">
            <v>0.24658331402968878</v>
          </cell>
          <cell r="W67">
            <v>0.26671600326804956</v>
          </cell>
          <cell r="X67">
            <v>-2.7857061234379255E-2</v>
          </cell>
          <cell r="Y67">
            <v>-4.7989750472740039E-2</v>
          </cell>
        </row>
        <row r="68">
          <cell r="B68" t="str">
            <v>No of Concession Transactions</v>
          </cell>
          <cell r="E68">
            <v>17</v>
          </cell>
          <cell r="F68">
            <v>18</v>
          </cell>
          <cell r="G68">
            <v>21</v>
          </cell>
          <cell r="H68">
            <v>17</v>
          </cell>
          <cell r="I68">
            <v>18</v>
          </cell>
          <cell r="J68">
            <v>25</v>
          </cell>
          <cell r="K68">
            <v>17</v>
          </cell>
          <cell r="L68">
            <v>18</v>
          </cell>
          <cell r="M68">
            <v>21</v>
          </cell>
          <cell r="N68">
            <v>18</v>
          </cell>
          <cell r="O68">
            <v>24</v>
          </cell>
          <cell r="P68">
            <v>22</v>
          </cell>
          <cell r="Q68">
            <v>0</v>
          </cell>
          <cell r="R68">
            <v>26</v>
          </cell>
          <cell r="S68">
            <v>27</v>
          </cell>
          <cell r="T68">
            <v>28</v>
          </cell>
          <cell r="U68">
            <v>236</v>
          </cell>
          <cell r="V68">
            <v>219</v>
          </cell>
          <cell r="W68">
            <v>0</v>
          </cell>
          <cell r="X68">
            <v>17</v>
          </cell>
          <cell r="Y68">
            <v>236</v>
          </cell>
        </row>
        <row r="69">
          <cell r="B69" t="str">
            <v>Strike Rate %(No of Trans/Adm)</v>
          </cell>
          <cell r="E69">
            <v>0.2982456140350877</v>
          </cell>
          <cell r="F69">
            <v>0.3</v>
          </cell>
          <cell r="G69">
            <v>0.3</v>
          </cell>
          <cell r="H69">
            <v>0.29310344827586204</v>
          </cell>
          <cell r="I69">
            <v>0.29032258064516131</v>
          </cell>
          <cell r="J69">
            <v>0.29411764705882354</v>
          </cell>
          <cell r="K69">
            <v>0.29310344827586204</v>
          </cell>
          <cell r="L69">
            <v>0.29032258064516131</v>
          </cell>
          <cell r="M69">
            <v>0.29166666666666669</v>
          </cell>
          <cell r="N69">
            <v>0.29032258064516131</v>
          </cell>
          <cell r="O69">
            <v>0.3</v>
          </cell>
          <cell r="P69">
            <v>0.29333333333333333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0.29463171036204744</v>
          </cell>
          <cell r="V69">
            <v>0.26258992805755393</v>
          </cell>
          <cell r="W69">
            <v>0</v>
          </cell>
          <cell r="X69">
            <v>3.2041782304493505E-2</v>
          </cell>
          <cell r="Y69">
            <v>0.29463171036204744</v>
          </cell>
        </row>
        <row r="70">
          <cell r="B70" t="str">
            <v>Ave Sales (Total Sale/No of Trans) (S$)</v>
          </cell>
          <cell r="E70">
            <v>4.526470588235294</v>
          </cell>
          <cell r="F70">
            <v>4.5</v>
          </cell>
          <cell r="G70">
            <v>4.5</v>
          </cell>
          <cell r="H70">
            <v>4.605882352941177</v>
          </cell>
          <cell r="I70">
            <v>4.6500000000000004</v>
          </cell>
          <cell r="J70">
            <v>4.59</v>
          </cell>
          <cell r="K70">
            <v>4.605882352941177</v>
          </cell>
          <cell r="L70">
            <v>4.6500000000000004</v>
          </cell>
          <cell r="M70">
            <v>4.628571428571429</v>
          </cell>
          <cell r="N70">
            <v>4.6500000000000004</v>
          </cell>
          <cell r="O70">
            <v>4.5</v>
          </cell>
          <cell r="P70">
            <v>4.6022727272727275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4.5819915254237298</v>
          </cell>
          <cell r="V70">
            <v>5.2602217351598171</v>
          </cell>
          <cell r="W70" t="str">
            <v>N.A.</v>
          </cell>
          <cell r="X70">
            <v>-0.67823020973608728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38</v>
          </cell>
          <cell r="F71">
            <v>40</v>
          </cell>
          <cell r="G71">
            <v>48</v>
          </cell>
          <cell r="H71">
            <v>37</v>
          </cell>
          <cell r="I71">
            <v>40</v>
          </cell>
          <cell r="J71">
            <v>57</v>
          </cell>
          <cell r="K71">
            <v>38</v>
          </cell>
          <cell r="L71">
            <v>42</v>
          </cell>
          <cell r="M71">
            <v>47</v>
          </cell>
          <cell r="N71">
            <v>40</v>
          </cell>
          <cell r="O71">
            <v>54</v>
          </cell>
          <cell r="P71">
            <v>51</v>
          </cell>
          <cell r="Q71">
            <v>0</v>
          </cell>
          <cell r="R71">
            <v>47.768999999999998</v>
          </cell>
          <cell r="S71">
            <v>48.768999999999998</v>
          </cell>
          <cell r="T71">
            <v>49.768999999999998</v>
          </cell>
          <cell r="U71">
            <v>532</v>
          </cell>
          <cell r="V71">
            <v>494</v>
          </cell>
          <cell r="W71">
            <v>0</v>
          </cell>
          <cell r="X71">
            <v>38</v>
          </cell>
          <cell r="Y71">
            <v>532</v>
          </cell>
        </row>
        <row r="72">
          <cell r="B72" t="str">
            <v>Combo Sales as % of Total Sales</v>
          </cell>
          <cell r="E72">
            <v>0.49382716049382713</v>
          </cell>
          <cell r="F72">
            <v>0.49382716049382713</v>
          </cell>
          <cell r="G72">
            <v>0.50793650793650791</v>
          </cell>
          <cell r="H72">
            <v>0.47254150702426556</v>
          </cell>
          <cell r="I72">
            <v>0.47789725209080047</v>
          </cell>
          <cell r="J72">
            <v>0.49673202614379081</v>
          </cell>
          <cell r="K72">
            <v>0.4853128991060025</v>
          </cell>
          <cell r="L72">
            <v>0.50179211469534046</v>
          </cell>
          <cell r="M72">
            <v>0.48353909465020573</v>
          </cell>
          <cell r="N72">
            <v>0.47789725209080047</v>
          </cell>
          <cell r="O72">
            <v>0.5</v>
          </cell>
          <cell r="P72">
            <v>0.50370370370370365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0.49197762056688393</v>
          </cell>
          <cell r="V72">
            <v>0.42882370290204963</v>
          </cell>
          <cell r="W72">
            <v>0</v>
          </cell>
          <cell r="X72">
            <v>6.3153917664834303E-2</v>
          </cell>
          <cell r="Y72">
            <v>0.49197762056688393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>
            <v>0</v>
          </cell>
          <cell r="R73">
            <v>5.1360000000000001</v>
          </cell>
          <cell r="S73">
            <v>5.1360000000000001</v>
          </cell>
          <cell r="T73">
            <v>5.1360000000000001</v>
          </cell>
          <cell r="U73">
            <v>73.013999999999996</v>
          </cell>
          <cell r="V73">
            <v>67.687999999999988</v>
          </cell>
          <cell r="W73">
            <v>0</v>
          </cell>
          <cell r="X73">
            <v>5.3260000000000076</v>
          </cell>
          <cell r="Y73">
            <v>73.013999999999996</v>
          </cell>
        </row>
        <row r="74">
          <cell r="B74" t="str">
            <v>Admissions/labour hour paid</v>
          </cell>
          <cell r="E74">
            <v>10.702215546376268</v>
          </cell>
          <cell r="F74">
            <v>10.46207497820401</v>
          </cell>
          <cell r="G74">
            <v>9.5667623342900097</v>
          </cell>
          <cell r="H74">
            <v>11.6</v>
          </cell>
          <cell r="I74">
            <v>10.333333333333334</v>
          </cell>
          <cell r="J74">
            <v>12.142857142857142</v>
          </cell>
          <cell r="K74">
            <v>10.906355772846934</v>
          </cell>
          <cell r="L74">
            <v>10.333333333333334</v>
          </cell>
          <cell r="M74">
            <v>10.285714285714286</v>
          </cell>
          <cell r="N74">
            <v>11.658518239939825</v>
          </cell>
          <cell r="O74">
            <v>11.428571428571429</v>
          </cell>
          <cell r="P74">
            <v>12.5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10.970498808447696</v>
          </cell>
          <cell r="V74">
            <v>12.321238624276093</v>
          </cell>
          <cell r="W74" t="str">
            <v>N.A.</v>
          </cell>
          <cell r="X74">
            <v>-1.3507398158283976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48.62153</v>
          </cell>
          <cell r="W77">
            <v>3.8690000000000002</v>
          </cell>
          <cell r="X77">
            <v>-21.43403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T78">
            <v>0</v>
          </cell>
          <cell r="U78">
            <v>12</v>
          </cell>
          <cell r="V78">
            <v>7.6340000000000021</v>
          </cell>
          <cell r="W78">
            <v>3.923</v>
          </cell>
          <cell r="X78">
            <v>4.3659999999999979</v>
          </cell>
          <cell r="Y78">
            <v>8.077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58.76</v>
          </cell>
          <cell r="W82">
            <v>54.470999999999997</v>
          </cell>
          <cell r="X82">
            <v>-20.695999999999998</v>
          </cell>
          <cell r="Y82">
            <v>-16.406999999999996</v>
          </cell>
        </row>
        <row r="83">
          <cell r="C83">
            <v>0</v>
          </cell>
          <cell r="E83">
            <v>6.4376250000000006</v>
          </cell>
          <cell r="F83">
            <v>6.4376250000000006</v>
          </cell>
          <cell r="G83">
            <v>6.4376250000000006</v>
          </cell>
          <cell r="H83">
            <v>6.4376250000000006</v>
          </cell>
          <cell r="I83">
            <v>6.4376250000000006</v>
          </cell>
          <cell r="J83">
            <v>6.4376250000000006</v>
          </cell>
          <cell r="K83">
            <v>6.4376250000000006</v>
          </cell>
          <cell r="L83">
            <v>6.4376250000000006</v>
          </cell>
          <cell r="M83">
            <v>6.4376250000000006</v>
          </cell>
          <cell r="N83">
            <v>6.4376250000000006</v>
          </cell>
          <cell r="O83">
            <v>6.4376250000000006</v>
          </cell>
          <cell r="P83">
            <v>6.4376250000000006</v>
          </cell>
          <cell r="R83">
            <v>0</v>
          </cell>
          <cell r="S83">
            <v>0</v>
          </cell>
          <cell r="T83">
            <v>0</v>
          </cell>
          <cell r="U83">
            <v>77.251499999999993</v>
          </cell>
          <cell r="V83">
            <v>115.01553</v>
          </cell>
          <cell r="W83">
            <v>62.262999999999998</v>
          </cell>
          <cell r="X83">
            <v>-37.764030000000005</v>
          </cell>
          <cell r="Y83">
            <v>14.988499999999995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0.75468000000000013</v>
          </cell>
          <cell r="F86">
            <v>0.7944</v>
          </cell>
          <cell r="G86">
            <v>0.92680000000000007</v>
          </cell>
          <cell r="H86">
            <v>0.76791999999999994</v>
          </cell>
          <cell r="I86">
            <v>0.82088000000000005</v>
          </cell>
          <cell r="J86">
            <v>1.1254000000000002</v>
          </cell>
          <cell r="K86">
            <v>0.76791999999999994</v>
          </cell>
          <cell r="L86">
            <v>0.82088000000000005</v>
          </cell>
          <cell r="M86">
            <v>0.95328000000000002</v>
          </cell>
          <cell r="N86">
            <v>0.82088000000000005</v>
          </cell>
          <cell r="O86">
            <v>1.0592000000000001</v>
          </cell>
          <cell r="P86">
            <v>0.99299999999999999</v>
          </cell>
          <cell r="U86">
            <v>10.605240000000002</v>
          </cell>
          <cell r="V86">
            <v>11.072921179999998</v>
          </cell>
          <cell r="W86">
            <v>14.762674000000001</v>
          </cell>
          <cell r="X86">
            <v>-0.46768117999999603</v>
          </cell>
          <cell r="Y86">
            <v>-4.1574339999999985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0.75468000000000013</v>
          </cell>
          <cell r="F91">
            <v>0.7944</v>
          </cell>
          <cell r="G91">
            <v>0.92680000000000007</v>
          </cell>
          <cell r="H91">
            <v>0.76791999999999994</v>
          </cell>
          <cell r="I91">
            <v>0.82088000000000005</v>
          </cell>
          <cell r="J91">
            <v>1.1254000000000002</v>
          </cell>
          <cell r="K91">
            <v>0.76791999999999994</v>
          </cell>
          <cell r="L91">
            <v>0.82088000000000005</v>
          </cell>
          <cell r="M91">
            <v>0.95328000000000002</v>
          </cell>
          <cell r="N91">
            <v>0.82088000000000005</v>
          </cell>
          <cell r="O91">
            <v>1.0592000000000001</v>
          </cell>
          <cell r="P91">
            <v>0.99299999999999999</v>
          </cell>
          <cell r="U91">
            <v>10.605240000000002</v>
          </cell>
          <cell r="V91">
            <v>11.072921179999998</v>
          </cell>
          <cell r="W91">
            <v>14.762674000000001</v>
          </cell>
          <cell r="X91">
            <v>-0.46768117999999603</v>
          </cell>
          <cell r="Y91">
            <v>-4.1574339999999985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30.818469663563214</v>
          </cell>
          <cell r="F94">
            <v>30.818469663563214</v>
          </cell>
          <cell r="G94">
            <v>31.918469663563215</v>
          </cell>
          <cell r="H94">
            <v>30.818469663563214</v>
          </cell>
          <cell r="I94">
            <v>30.818469663563214</v>
          </cell>
          <cell r="J94">
            <v>31.918469663563215</v>
          </cell>
          <cell r="K94">
            <v>31.471262427263216</v>
          </cell>
          <cell r="L94">
            <v>31.471262427263216</v>
          </cell>
          <cell r="M94">
            <v>32.571262427263214</v>
          </cell>
          <cell r="N94">
            <v>31.471262427263216</v>
          </cell>
          <cell r="O94">
            <v>32.571262427263214</v>
          </cell>
          <cell r="P94">
            <v>32.571262427263214</v>
          </cell>
          <cell r="T94">
            <v>0</v>
          </cell>
          <cell r="U94">
            <v>379.23839254495857</v>
          </cell>
          <cell r="V94">
            <v>474.64974999999987</v>
          </cell>
          <cell r="W94">
            <v>588.10900000000004</v>
          </cell>
          <cell r="X94">
            <v>-95.411357455041298</v>
          </cell>
          <cell r="Y94">
            <v>-208.87060745504147</v>
          </cell>
        </row>
        <row r="95">
          <cell r="A95">
            <v>67</v>
          </cell>
          <cell r="B95" t="str">
            <v>Bonus/Commission</v>
          </cell>
          <cell r="E95">
            <v>1.6555266666666666</v>
          </cell>
          <cell r="F95">
            <v>1.6555266666666666</v>
          </cell>
          <cell r="G95">
            <v>1.6555266666666666</v>
          </cell>
          <cell r="H95">
            <v>1.6555266666666666</v>
          </cell>
          <cell r="I95">
            <v>1.6555266666666666</v>
          </cell>
          <cell r="J95">
            <v>1.6555266666666666</v>
          </cell>
          <cell r="K95">
            <v>1.6555266666666666</v>
          </cell>
          <cell r="L95">
            <v>1.6555266666666666</v>
          </cell>
          <cell r="M95">
            <v>1.6555266666666666</v>
          </cell>
          <cell r="N95">
            <v>1.6555266666666666</v>
          </cell>
          <cell r="O95">
            <v>1.6555266666666666</v>
          </cell>
          <cell r="P95">
            <v>1.6555266666666666</v>
          </cell>
          <cell r="T95">
            <v>0</v>
          </cell>
          <cell r="U95">
            <v>19.866319999999998</v>
          </cell>
          <cell r="V95">
            <v>25.927974999999996</v>
          </cell>
          <cell r="W95">
            <v>50.03</v>
          </cell>
          <cell r="X95">
            <v>-6.0616549999999982</v>
          </cell>
          <cell r="Y95">
            <v>-30.163680000000003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11.432999999999998</v>
          </cell>
          <cell r="W97">
            <v>22.122</v>
          </cell>
          <cell r="X97">
            <v>-4.7969999999999979</v>
          </cell>
          <cell r="Y97">
            <v>-15.486000000000001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6.2537400000000014</v>
          </cell>
          <cell r="W98">
            <v>10.64</v>
          </cell>
          <cell r="X98">
            <v>-0.60174000000000127</v>
          </cell>
          <cell r="Y98">
            <v>-4.9880000000000004</v>
          </cell>
        </row>
        <row r="99">
          <cell r="C99">
            <v>0</v>
          </cell>
          <cell r="E99">
            <v>33.497996330229874</v>
          </cell>
          <cell r="F99">
            <v>33.497996330229874</v>
          </cell>
          <cell r="G99">
            <v>34.597996330229876</v>
          </cell>
          <cell r="H99">
            <v>33.497996330229874</v>
          </cell>
          <cell r="I99">
            <v>33.497996330229874</v>
          </cell>
          <cell r="J99">
            <v>34.597996330229876</v>
          </cell>
          <cell r="K99">
            <v>34.150789093929873</v>
          </cell>
          <cell r="L99">
            <v>34.150789093929873</v>
          </cell>
          <cell r="M99">
            <v>35.250789093929875</v>
          </cell>
          <cell r="N99">
            <v>34.150789093929873</v>
          </cell>
          <cell r="O99">
            <v>35.250789093929875</v>
          </cell>
          <cell r="P99">
            <v>35.250789093929875</v>
          </cell>
          <cell r="R99">
            <v>0</v>
          </cell>
          <cell r="S99">
            <v>0</v>
          </cell>
          <cell r="T99">
            <v>0</v>
          </cell>
          <cell r="U99">
            <v>411.39271254495856</v>
          </cell>
          <cell r="V99">
            <v>518.26446499999986</v>
          </cell>
          <cell r="W99">
            <v>670.90099999999995</v>
          </cell>
          <cell r="X99">
            <v>-106.8717524550413</v>
          </cell>
          <cell r="Y99">
            <v>-259.5082874550414</v>
          </cell>
        </row>
        <row r="100"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13.756609999999998</v>
          </cell>
          <cell r="W102">
            <v>15.471</v>
          </cell>
          <cell r="X102">
            <v>1.8433900000000047</v>
          </cell>
          <cell r="Y102">
            <v>0.12900000000000311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23.907093333333329</v>
          </cell>
          <cell r="W104">
            <v>24.76</v>
          </cell>
          <cell r="X104">
            <v>9.2906666666671356E-2</v>
          </cell>
          <cell r="Y104">
            <v>-0.76000000000000156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9.5634599999999992</v>
          </cell>
          <cell r="W105">
            <v>11.818</v>
          </cell>
          <cell r="X105">
            <v>2.4365400000000008</v>
          </cell>
          <cell r="Y105">
            <v>0.18200000000000038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3.0898899999999991</v>
          </cell>
          <cell r="W106">
            <v>0</v>
          </cell>
          <cell r="X106">
            <v>2.9101100000000009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0.35499999999999998</v>
          </cell>
          <cell r="F108">
            <v>0.35499999999999998</v>
          </cell>
          <cell r="G108">
            <v>0.35499999999999998</v>
          </cell>
          <cell r="H108">
            <v>0.35499999999999998</v>
          </cell>
          <cell r="I108">
            <v>0.35499999999999998</v>
          </cell>
          <cell r="J108">
            <v>0.35499999999999998</v>
          </cell>
          <cell r="K108">
            <v>0.35499999999999998</v>
          </cell>
          <cell r="L108">
            <v>0.35499999999999998</v>
          </cell>
          <cell r="M108">
            <v>0.35499999999999998</v>
          </cell>
          <cell r="N108">
            <v>0.35499999999999998</v>
          </cell>
          <cell r="O108">
            <v>0.35499999999999998</v>
          </cell>
          <cell r="P108">
            <v>0.35499999999999998</v>
          </cell>
          <cell r="T108">
            <v>0</v>
          </cell>
          <cell r="U108">
            <v>4.26</v>
          </cell>
          <cell r="V108">
            <v>6.9903329400000018</v>
          </cell>
          <cell r="W108">
            <v>13.173325999999999</v>
          </cell>
          <cell r="X108">
            <v>-2.730332940000002</v>
          </cell>
          <cell r="Y108">
            <v>-8.9133259999999996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4.9004799999999999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6.1924000000000001</v>
          </cell>
          <cell r="J111">
            <v>4.9004799999999999</v>
          </cell>
          <cell r="K111">
            <v>4.9004799999999999</v>
          </cell>
          <cell r="L111">
            <v>6.92624</v>
          </cell>
          <cell r="M111">
            <v>4.9004799999999999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61.649200000000008</v>
          </cell>
          <cell r="V111">
            <v>87.973470000000006</v>
          </cell>
          <cell r="W111">
            <v>118.69</v>
          </cell>
          <cell r="X111">
            <v>-26.324269999999999</v>
          </cell>
          <cell r="Y111">
            <v>-57.04079999999999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53.609690000000001</v>
          </cell>
          <cell r="W112">
            <v>40.445</v>
          </cell>
          <cell r="X112">
            <v>-5.6096900000000005</v>
          </cell>
          <cell r="Y112">
            <v>7.5549999999999997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6.8279599999999991</v>
          </cell>
          <cell r="W113">
            <v>8.1020000000000003</v>
          </cell>
          <cell r="X113">
            <v>0.37203999999999926</v>
          </cell>
          <cell r="Y113">
            <v>-0.90200000000000191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1.075</v>
          </cell>
          <cell r="W114">
            <v>1.8140000000000001</v>
          </cell>
          <cell r="X114">
            <v>1.325</v>
          </cell>
          <cell r="Y114">
            <v>0.58599999999999985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4.5141099999999996</v>
          </cell>
          <cell r="W115">
            <v>5.0839999999999996</v>
          </cell>
          <cell r="X115">
            <v>1.4858900000000004</v>
          </cell>
          <cell r="Y115">
            <v>0.91600000000000037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0.25</v>
          </cell>
          <cell r="F117">
            <v>0.25</v>
          </cell>
          <cell r="G117">
            <v>0.25</v>
          </cell>
          <cell r="H117">
            <v>0.25</v>
          </cell>
          <cell r="I117">
            <v>0.25</v>
          </cell>
          <cell r="J117">
            <v>0.25</v>
          </cell>
          <cell r="K117">
            <v>0.25</v>
          </cell>
          <cell r="L117">
            <v>0.25</v>
          </cell>
          <cell r="M117">
            <v>0.25</v>
          </cell>
          <cell r="N117">
            <v>0.25</v>
          </cell>
          <cell r="O117">
            <v>0.25</v>
          </cell>
          <cell r="P117">
            <v>0.25</v>
          </cell>
          <cell r="T117">
            <v>0</v>
          </cell>
          <cell r="U117">
            <v>3</v>
          </cell>
          <cell r="V117">
            <v>2.2673299999999994</v>
          </cell>
          <cell r="W117">
            <v>5.5659999999999998</v>
          </cell>
          <cell r="X117">
            <v>0.7326700000000006</v>
          </cell>
          <cell r="Y117">
            <v>-2.5659999999999998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0.45997996330229879</v>
          </cell>
          <cell r="F119">
            <v>0.45997996330229879</v>
          </cell>
          <cell r="G119">
            <v>0.4709799633022988</v>
          </cell>
          <cell r="H119">
            <v>0.45997996330229879</v>
          </cell>
          <cell r="I119">
            <v>0.45997996330229879</v>
          </cell>
          <cell r="J119">
            <v>0.4709799633022988</v>
          </cell>
          <cell r="K119">
            <v>0.46650789093929884</v>
          </cell>
          <cell r="L119">
            <v>0.46650789093929884</v>
          </cell>
          <cell r="M119">
            <v>0.4775078909392988</v>
          </cell>
          <cell r="N119">
            <v>0.46650789093929884</v>
          </cell>
          <cell r="O119">
            <v>0.4775078909392988</v>
          </cell>
          <cell r="P119">
            <v>0.4775078909392988</v>
          </cell>
          <cell r="T119">
            <v>0</v>
          </cell>
          <cell r="U119">
            <v>5.6139271254495853</v>
          </cell>
          <cell r="V119">
            <v>5.7906599999999999</v>
          </cell>
          <cell r="W119">
            <v>9.5779999999999994</v>
          </cell>
          <cell r="X119">
            <v>-0.17673287455041464</v>
          </cell>
          <cell r="Y119">
            <v>-3.9640728745504141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2.5874699999999997</v>
          </cell>
          <cell r="W124">
            <v>4.9189999999999969</v>
          </cell>
          <cell r="X124">
            <v>1.0125299999999995</v>
          </cell>
          <cell r="Y124">
            <v>-1.3189999999999977</v>
          </cell>
        </row>
        <row r="125">
          <cell r="C125">
            <v>0</v>
          </cell>
          <cell r="E125">
            <v>17.665459963302297</v>
          </cell>
          <cell r="F125">
            <v>17.665459963302297</v>
          </cell>
          <cell r="G125">
            <v>17.518379963302298</v>
          </cell>
          <cell r="H125">
            <v>17.665459963302297</v>
          </cell>
          <cell r="I125">
            <v>18.957379963302301</v>
          </cell>
          <cell r="J125">
            <v>17.6764599633023</v>
          </cell>
          <cell r="K125">
            <v>17.671987890939299</v>
          </cell>
          <cell r="L125">
            <v>19.697747890939301</v>
          </cell>
          <cell r="M125">
            <v>17.682987890939298</v>
          </cell>
          <cell r="N125">
            <v>17.513907890939297</v>
          </cell>
          <cell r="O125">
            <v>17.682987890939298</v>
          </cell>
          <cell r="P125">
            <v>17.524907890939296</v>
          </cell>
          <cell r="R125">
            <v>0</v>
          </cell>
          <cell r="S125">
            <v>0</v>
          </cell>
          <cell r="T125">
            <v>0</v>
          </cell>
          <cell r="U125">
            <v>214.92312712544958</v>
          </cell>
          <cell r="V125">
            <v>237.55307627333329</v>
          </cell>
          <cell r="W125">
            <v>275.02032600000001</v>
          </cell>
          <cell r="X125">
            <v>-22.629949147883707</v>
          </cell>
          <cell r="Y125">
            <v>-60.097198874550429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2" refreshError="1">
        <row r="11">
          <cell r="A11">
            <v>1</v>
          </cell>
          <cell r="B11" t="str">
            <v>Net Film Revenue</v>
          </cell>
          <cell r="E11">
            <v>317.76</v>
          </cell>
          <cell r="F11">
            <v>331</v>
          </cell>
          <cell r="G11">
            <v>423.68</v>
          </cell>
          <cell r="H11">
            <v>297.89999999999998</v>
          </cell>
          <cell r="I11">
            <v>344.24</v>
          </cell>
          <cell r="J11">
            <v>496.5</v>
          </cell>
          <cell r="K11">
            <v>344.24</v>
          </cell>
          <cell r="L11">
            <v>357.48</v>
          </cell>
          <cell r="M11">
            <v>397.2</v>
          </cell>
          <cell r="N11">
            <v>337.62</v>
          </cell>
          <cell r="O11">
            <v>390.58</v>
          </cell>
          <cell r="P11">
            <v>430.3</v>
          </cell>
          <cell r="Q11">
            <v>0</v>
          </cell>
          <cell r="T11">
            <v>0</v>
          </cell>
          <cell r="U11">
            <v>4468.5</v>
          </cell>
          <cell r="V11">
            <v>4654.9493000000002</v>
          </cell>
          <cell r="W11">
            <v>6780.2759999999998</v>
          </cell>
          <cell r="X11">
            <v>-186.44930000000113</v>
          </cell>
          <cell r="Y11">
            <v>-2311.7760000000007</v>
          </cell>
        </row>
        <row r="12">
          <cell r="A12">
            <v>2</v>
          </cell>
          <cell r="B12" t="str">
            <v>Concession Sales</v>
          </cell>
          <cell r="E12">
            <v>57.6</v>
          </cell>
          <cell r="F12">
            <v>60</v>
          </cell>
          <cell r="G12">
            <v>76.8</v>
          </cell>
          <cell r="H12">
            <v>54</v>
          </cell>
          <cell r="I12">
            <v>62.4</v>
          </cell>
          <cell r="J12">
            <v>90</v>
          </cell>
          <cell r="K12">
            <v>62.4</v>
          </cell>
          <cell r="L12">
            <v>64.8</v>
          </cell>
          <cell r="M12">
            <v>72</v>
          </cell>
          <cell r="N12">
            <v>61.2</v>
          </cell>
          <cell r="O12">
            <v>70.8</v>
          </cell>
          <cell r="P12">
            <v>78</v>
          </cell>
          <cell r="T12">
            <v>0</v>
          </cell>
          <cell r="U12">
            <v>810</v>
          </cell>
          <cell r="V12">
            <v>791.82263</v>
          </cell>
          <cell r="W12">
            <v>1057.2180000000001</v>
          </cell>
          <cell r="X12">
            <v>18.177369999999883</v>
          </cell>
          <cell r="Y12">
            <v>-247.21800000000019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12</v>
          </cell>
          <cell r="F14">
            <v>12</v>
          </cell>
          <cell r="G14">
            <v>16</v>
          </cell>
          <cell r="H14">
            <v>10</v>
          </cell>
          <cell r="I14">
            <v>12</v>
          </cell>
          <cell r="J14">
            <v>15</v>
          </cell>
          <cell r="K14">
            <v>10</v>
          </cell>
          <cell r="L14">
            <v>15</v>
          </cell>
          <cell r="M14">
            <v>12</v>
          </cell>
          <cell r="N14">
            <v>10</v>
          </cell>
          <cell r="O14">
            <v>12</v>
          </cell>
          <cell r="P14">
            <v>15</v>
          </cell>
          <cell r="T14">
            <v>0</v>
          </cell>
          <cell r="U14">
            <v>151</v>
          </cell>
          <cell r="V14">
            <v>168.21816999999999</v>
          </cell>
          <cell r="W14">
            <v>200.64500000000001</v>
          </cell>
          <cell r="X14">
            <v>-17.218169999999986</v>
          </cell>
          <cell r="Y14">
            <v>-49.645000000000003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288.80450999999999</v>
          </cell>
          <cell r="W15">
            <v>260.94299999999998</v>
          </cell>
          <cell r="X15">
            <v>-54.804509999999993</v>
          </cell>
          <cell r="Y15">
            <v>-26.942999999999984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6.4376250000000006</v>
          </cell>
          <cell r="F16">
            <v>6.4376250000000006</v>
          </cell>
          <cell r="G16">
            <v>6.4376250000000006</v>
          </cell>
          <cell r="H16">
            <v>6.4376250000000006</v>
          </cell>
          <cell r="I16">
            <v>6.4376250000000006</v>
          </cell>
          <cell r="J16">
            <v>6.4376250000000006</v>
          </cell>
          <cell r="K16">
            <v>6.4376250000000006</v>
          </cell>
          <cell r="L16">
            <v>6.4376250000000006</v>
          </cell>
          <cell r="M16">
            <v>6.4376250000000006</v>
          </cell>
          <cell r="N16">
            <v>6.4376250000000006</v>
          </cell>
          <cell r="O16">
            <v>6.4376250000000006</v>
          </cell>
          <cell r="P16">
            <v>6.4376250000000006</v>
          </cell>
          <cell r="R16">
            <v>0</v>
          </cell>
          <cell r="S16">
            <v>0</v>
          </cell>
          <cell r="T16">
            <v>0</v>
          </cell>
          <cell r="U16">
            <v>77.251499999999979</v>
          </cell>
          <cell r="V16">
            <v>121.23273</v>
          </cell>
          <cell r="W16">
            <v>86.550999999999988</v>
          </cell>
          <cell r="X16">
            <v>-43.981230000000025</v>
          </cell>
          <cell r="Y16">
            <v>-9.299500000000009</v>
          </cell>
        </row>
        <row r="17">
          <cell r="B17" t="str">
            <v>TOTAL REVENUE</v>
          </cell>
          <cell r="C17">
            <v>0</v>
          </cell>
          <cell r="E17">
            <v>413.29762500000004</v>
          </cell>
          <cell r="F17">
            <v>428.93762500000003</v>
          </cell>
          <cell r="G17">
            <v>542.41762500000004</v>
          </cell>
          <cell r="H17">
            <v>387.837625</v>
          </cell>
          <cell r="I17">
            <v>444.57762500000001</v>
          </cell>
          <cell r="J17">
            <v>627.43762500000003</v>
          </cell>
          <cell r="K17">
            <v>442.57762500000001</v>
          </cell>
          <cell r="L17">
            <v>463.21762500000006</v>
          </cell>
          <cell r="M17">
            <v>507.13762500000001</v>
          </cell>
          <cell r="N17">
            <v>434.75762500000002</v>
          </cell>
          <cell r="O17">
            <v>499.31762500000002</v>
          </cell>
          <cell r="P17">
            <v>549.23762499999998</v>
          </cell>
          <cell r="R17">
            <v>0</v>
          </cell>
          <cell r="S17">
            <v>0</v>
          </cell>
          <cell r="T17">
            <v>0</v>
          </cell>
          <cell r="U17">
            <v>5740.7515000000003</v>
          </cell>
          <cell r="V17">
            <v>6025.0273399999996</v>
          </cell>
          <cell r="W17">
            <v>8385.6329999999998</v>
          </cell>
          <cell r="X17">
            <v>-284.27583999999933</v>
          </cell>
          <cell r="Y17">
            <v>-2644.8814999999995</v>
          </cell>
        </row>
        <row r="19">
          <cell r="A19">
            <v>7</v>
          </cell>
          <cell r="B19" t="str">
            <v>Film Hire</v>
          </cell>
          <cell r="E19">
            <v>147.75839999999999</v>
          </cell>
          <cell r="F19">
            <v>153.91499999999999</v>
          </cell>
          <cell r="G19">
            <v>197.0112</v>
          </cell>
          <cell r="H19">
            <v>138.52349999999998</v>
          </cell>
          <cell r="I19">
            <v>160.07160000000002</v>
          </cell>
          <cell r="J19">
            <v>230.8725</v>
          </cell>
          <cell r="K19">
            <v>160.07160000000002</v>
          </cell>
          <cell r="L19">
            <v>166.22820000000002</v>
          </cell>
          <cell r="M19">
            <v>184.69800000000001</v>
          </cell>
          <cell r="N19">
            <v>156.9933</v>
          </cell>
          <cell r="O19">
            <v>181.61969999999999</v>
          </cell>
          <cell r="P19">
            <v>200.08950000000002</v>
          </cell>
          <cell r="U19">
            <v>2077.8525</v>
          </cell>
          <cell r="V19">
            <v>2163.2345749999999</v>
          </cell>
          <cell r="W19">
            <v>3170.377</v>
          </cell>
          <cell r="X19">
            <v>-85.382074999999986</v>
          </cell>
          <cell r="Y19">
            <v>-1092.5245</v>
          </cell>
        </row>
        <row r="20">
          <cell r="A20">
            <v>8</v>
          </cell>
          <cell r="B20" t="str">
            <v>Concession Cost</v>
          </cell>
          <cell r="E20">
            <v>12.671999999999999</v>
          </cell>
          <cell r="F20">
            <v>13.2</v>
          </cell>
          <cell r="G20">
            <v>16.896000000000001</v>
          </cell>
          <cell r="H20">
            <v>11.88</v>
          </cell>
          <cell r="I20">
            <v>13.728</v>
          </cell>
          <cell r="J20">
            <v>19.8</v>
          </cell>
          <cell r="K20">
            <v>13.728</v>
          </cell>
          <cell r="L20">
            <v>14.256</v>
          </cell>
          <cell r="M20">
            <v>15.84</v>
          </cell>
          <cell r="N20">
            <v>13.463999999999999</v>
          </cell>
          <cell r="O20">
            <v>15.575999999999999</v>
          </cell>
          <cell r="P20">
            <v>17.16</v>
          </cell>
          <cell r="T20">
            <v>0</v>
          </cell>
          <cell r="U20">
            <v>178.2</v>
          </cell>
          <cell r="V20">
            <v>166.74259999999998</v>
          </cell>
          <cell r="W20">
            <v>267.28199999999998</v>
          </cell>
          <cell r="X20">
            <v>11.457400000000007</v>
          </cell>
          <cell r="Y20">
            <v>-89.081999999999994</v>
          </cell>
        </row>
        <row r="21">
          <cell r="A21">
            <v>9</v>
          </cell>
          <cell r="B21" t="str">
            <v>Less Concession Rebates</v>
          </cell>
          <cell r="E21">
            <v>-1.44</v>
          </cell>
          <cell r="F21">
            <v>-1.5</v>
          </cell>
          <cell r="G21">
            <v>-1.92</v>
          </cell>
          <cell r="H21">
            <v>-1.35</v>
          </cell>
          <cell r="I21">
            <v>-1.56</v>
          </cell>
          <cell r="J21">
            <v>-2.25</v>
          </cell>
          <cell r="K21">
            <v>-1.56</v>
          </cell>
          <cell r="L21">
            <v>-1.62</v>
          </cell>
          <cell r="M21">
            <v>-1.8</v>
          </cell>
          <cell r="N21">
            <v>-1.53</v>
          </cell>
          <cell r="O21">
            <v>-1.77</v>
          </cell>
          <cell r="P21">
            <v>-1.95</v>
          </cell>
          <cell r="U21">
            <v>-20.25</v>
          </cell>
          <cell r="V21">
            <v>-25.43</v>
          </cell>
          <cell r="W21">
            <v>-48.585000000000001</v>
          </cell>
          <cell r="X21">
            <v>5.18</v>
          </cell>
          <cell r="Y21">
            <v>28.335000000000001</v>
          </cell>
        </row>
        <row r="22">
          <cell r="A22">
            <v>10</v>
          </cell>
          <cell r="B22" t="str">
            <v>Advertising Cost</v>
          </cell>
          <cell r="E22">
            <v>7.3084799999999994</v>
          </cell>
          <cell r="F22">
            <v>7.6129999999999995</v>
          </cell>
          <cell r="G22">
            <v>9.7446400000000004</v>
          </cell>
          <cell r="H22">
            <v>6.8516999999999992</v>
          </cell>
          <cell r="I22">
            <v>7.9175199999999997</v>
          </cell>
          <cell r="J22">
            <v>11.419499999999999</v>
          </cell>
          <cell r="K22">
            <v>7.9175199999999997</v>
          </cell>
          <cell r="L22">
            <v>8.2220399999999998</v>
          </cell>
          <cell r="M22">
            <v>9.1356000000000002</v>
          </cell>
          <cell r="N22">
            <v>7.7652599999999996</v>
          </cell>
          <cell r="O22">
            <v>8.9833400000000001</v>
          </cell>
          <cell r="P22">
            <v>9.8969000000000005</v>
          </cell>
          <cell r="T22">
            <v>0</v>
          </cell>
          <cell r="U22">
            <v>102.77549999999998</v>
          </cell>
          <cell r="V22">
            <v>114.00804500000001</v>
          </cell>
          <cell r="W22">
            <v>147.23500000000001</v>
          </cell>
          <cell r="X22">
            <v>-11.23254500000003</v>
          </cell>
          <cell r="Y22">
            <v>-44.459500000000034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0.63551999999999997</v>
          </cell>
          <cell r="F23">
            <v>0.66200000000000003</v>
          </cell>
          <cell r="G23">
            <v>0.84736</v>
          </cell>
          <cell r="H23">
            <v>0.5958</v>
          </cell>
          <cell r="I23">
            <v>0.68847999999999998</v>
          </cell>
          <cell r="J23">
            <v>0.99299999999999999</v>
          </cell>
          <cell r="K23">
            <v>0.68847999999999998</v>
          </cell>
          <cell r="L23">
            <v>0.71496000000000004</v>
          </cell>
          <cell r="M23">
            <v>0.7944</v>
          </cell>
          <cell r="N23">
            <v>0.67524000000000006</v>
          </cell>
          <cell r="O23">
            <v>0.78115999999999997</v>
          </cell>
          <cell r="P23">
            <v>0.86060000000000003</v>
          </cell>
          <cell r="R23">
            <v>0</v>
          </cell>
          <cell r="S23">
            <v>0</v>
          </cell>
          <cell r="T23">
            <v>0</v>
          </cell>
          <cell r="U23">
            <v>8.9370000000000012</v>
          </cell>
          <cell r="V23">
            <v>9.3098986000000004</v>
          </cell>
          <cell r="W23">
            <v>13.560551999999999</v>
          </cell>
          <cell r="X23">
            <v>-0.37289859999999919</v>
          </cell>
          <cell r="Y23">
            <v>-4.6235519999999983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31.82965695689655</v>
          </cell>
          <cell r="F24">
            <v>31.82965695689655</v>
          </cell>
          <cell r="G24">
            <v>31.82965695689655</v>
          </cell>
          <cell r="H24">
            <v>31.82965695689655</v>
          </cell>
          <cell r="I24">
            <v>31.82965695689655</v>
          </cell>
          <cell r="J24">
            <v>31.82965695689655</v>
          </cell>
          <cell r="K24">
            <v>32.483311881896547</v>
          </cell>
          <cell r="L24">
            <v>32.483311881896547</v>
          </cell>
          <cell r="M24">
            <v>32.483311881896547</v>
          </cell>
          <cell r="N24">
            <v>32.483311881896547</v>
          </cell>
          <cell r="O24">
            <v>32.483311881896547</v>
          </cell>
          <cell r="P24">
            <v>32.483311881896547</v>
          </cell>
          <cell r="R24">
            <v>0</v>
          </cell>
          <cell r="S24">
            <v>0</v>
          </cell>
          <cell r="T24">
            <v>0</v>
          </cell>
          <cell r="U24">
            <v>385.87781303275858</v>
          </cell>
          <cell r="V24">
            <v>467.71003666666684</v>
          </cell>
          <cell r="W24">
            <v>659.72299999999996</v>
          </cell>
          <cell r="X24">
            <v>-81.832223633908256</v>
          </cell>
          <cell r="Y24">
            <v>-273.84518696724137</v>
          </cell>
        </row>
        <row r="25">
          <cell r="B25" t="str">
            <v>TOTAL COST</v>
          </cell>
          <cell r="C25">
            <v>0</v>
          </cell>
          <cell r="E25">
            <v>198.76405695689655</v>
          </cell>
          <cell r="F25">
            <v>205.71965695689656</v>
          </cell>
          <cell r="G25">
            <v>254.40885695689656</v>
          </cell>
          <cell r="H25">
            <v>188.33065695689652</v>
          </cell>
          <cell r="I25">
            <v>212.67525695689656</v>
          </cell>
          <cell r="J25">
            <v>292.66465695689652</v>
          </cell>
          <cell r="K25">
            <v>213.32891188189657</v>
          </cell>
          <cell r="L25">
            <v>220.28451188189655</v>
          </cell>
          <cell r="M25">
            <v>241.15131188189656</v>
          </cell>
          <cell r="N25">
            <v>209.85111188189657</v>
          </cell>
          <cell r="O25">
            <v>237.67351188189653</v>
          </cell>
          <cell r="P25">
            <v>258.54031188189657</v>
          </cell>
          <cell r="R25">
            <v>0</v>
          </cell>
          <cell r="S25">
            <v>0</v>
          </cell>
          <cell r="T25">
            <v>0</v>
          </cell>
          <cell r="U25">
            <v>2733.392813032759</v>
          </cell>
          <cell r="V25">
            <v>2895.575155266667</v>
          </cell>
          <cell r="W25">
            <v>4209.5925520000001</v>
          </cell>
          <cell r="X25">
            <v>-162.182342233908</v>
          </cell>
          <cell r="Y25">
            <v>-1476.199738967241</v>
          </cell>
        </row>
        <row r="27">
          <cell r="B27" t="str">
            <v>GROSS MARGIN</v>
          </cell>
          <cell r="C27">
            <v>0</v>
          </cell>
          <cell r="E27">
            <v>214.53356804310349</v>
          </cell>
          <cell r="F27">
            <v>223.21796804310347</v>
          </cell>
          <cell r="G27">
            <v>288.00876804310349</v>
          </cell>
          <cell r="H27">
            <v>199.50696804310348</v>
          </cell>
          <cell r="I27">
            <v>231.90236804310345</v>
          </cell>
          <cell r="J27">
            <v>334.7729680431035</v>
          </cell>
          <cell r="K27">
            <v>229.24871311810344</v>
          </cell>
          <cell r="L27">
            <v>242.93311311810351</v>
          </cell>
          <cell r="M27">
            <v>265.98631311810345</v>
          </cell>
          <cell r="N27">
            <v>224.90651311810345</v>
          </cell>
          <cell r="O27">
            <v>261.64411311810352</v>
          </cell>
          <cell r="P27">
            <v>290.69731311810341</v>
          </cell>
          <cell r="R27">
            <v>0</v>
          </cell>
          <cell r="S27">
            <v>0</v>
          </cell>
          <cell r="T27">
            <v>0</v>
          </cell>
          <cell r="U27">
            <v>3007.3586869672413</v>
          </cell>
          <cell r="V27">
            <v>3129.4521847333326</v>
          </cell>
          <cell r="W27">
            <v>4176.0404479999997</v>
          </cell>
          <cell r="X27">
            <v>-122.09349776609133</v>
          </cell>
          <cell r="Y27">
            <v>-1168.6817610327585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95.525500000000008</v>
          </cell>
          <cell r="F29">
            <v>95.525500000000008</v>
          </cell>
          <cell r="G29">
            <v>95.525500000000008</v>
          </cell>
          <cell r="H29">
            <v>95.525500000000008</v>
          </cell>
          <cell r="I29">
            <v>95.525500000000008</v>
          </cell>
          <cell r="J29">
            <v>95.525500000000008</v>
          </cell>
          <cell r="K29">
            <v>95.525500000000008</v>
          </cell>
          <cell r="L29">
            <v>95.525500000000008</v>
          </cell>
          <cell r="M29">
            <v>95.525500000000008</v>
          </cell>
          <cell r="N29">
            <v>95.525500000000008</v>
          </cell>
          <cell r="O29">
            <v>95.525500000000008</v>
          </cell>
          <cell r="P29">
            <v>95.525500000000008</v>
          </cell>
          <cell r="T29">
            <v>0</v>
          </cell>
          <cell r="U29">
            <v>1146.3059999999998</v>
          </cell>
          <cell r="V29">
            <v>1146.59656</v>
          </cell>
          <cell r="W29">
            <v>1157.9059999999999</v>
          </cell>
          <cell r="X29">
            <v>-0.29056000000014137</v>
          </cell>
          <cell r="Y29">
            <v>-11.600000000000136</v>
          </cell>
        </row>
        <row r="30">
          <cell r="A30">
            <v>14</v>
          </cell>
          <cell r="B30" t="str">
            <v>Light, Heat and Power</v>
          </cell>
          <cell r="E30">
            <v>13.4</v>
          </cell>
          <cell r="F30">
            <v>13.4</v>
          </cell>
          <cell r="G30">
            <v>13.4</v>
          </cell>
          <cell r="H30">
            <v>13.4</v>
          </cell>
          <cell r="I30">
            <v>13.4</v>
          </cell>
          <cell r="J30">
            <v>13.4</v>
          </cell>
          <cell r="K30">
            <v>13.4</v>
          </cell>
          <cell r="L30">
            <v>13.4</v>
          </cell>
          <cell r="M30">
            <v>13.4</v>
          </cell>
          <cell r="N30">
            <v>13.4</v>
          </cell>
          <cell r="O30">
            <v>13.4</v>
          </cell>
          <cell r="P30">
            <v>13.4</v>
          </cell>
          <cell r="T30">
            <v>0</v>
          </cell>
          <cell r="U30">
            <v>160.80000000000001</v>
          </cell>
          <cell r="V30">
            <v>162.47427999999999</v>
          </cell>
          <cell r="W30">
            <v>187.61699999999999</v>
          </cell>
          <cell r="X30">
            <v>-1.6742799999999534</v>
          </cell>
          <cell r="Y30">
            <v>-26.81699999999995</v>
          </cell>
        </row>
        <row r="31">
          <cell r="A31">
            <v>15</v>
          </cell>
          <cell r="B31" t="str">
            <v>Repair &amp; Maintenance</v>
          </cell>
          <cell r="E31">
            <v>10.536</v>
          </cell>
          <cell r="F31">
            <v>10.536</v>
          </cell>
          <cell r="G31">
            <v>15.536</v>
          </cell>
          <cell r="H31">
            <v>15.536</v>
          </cell>
          <cell r="I31">
            <v>10.536</v>
          </cell>
          <cell r="J31">
            <v>10.536</v>
          </cell>
          <cell r="K31">
            <v>10.536</v>
          </cell>
          <cell r="L31">
            <v>10.536</v>
          </cell>
          <cell r="M31">
            <v>52.536000000000001</v>
          </cell>
          <cell r="N31">
            <v>10.536</v>
          </cell>
          <cell r="O31">
            <v>10.536</v>
          </cell>
          <cell r="P31">
            <v>10.536</v>
          </cell>
          <cell r="T31">
            <v>0</v>
          </cell>
          <cell r="U31">
            <v>178.43200000000002</v>
          </cell>
          <cell r="V31">
            <v>146.07933666666668</v>
          </cell>
          <cell r="W31">
            <v>222.77800000000002</v>
          </cell>
          <cell r="X31">
            <v>32.352663333333339</v>
          </cell>
          <cell r="Y31">
            <v>-44.346000000000004</v>
          </cell>
        </row>
        <row r="32">
          <cell r="A32">
            <v>16</v>
          </cell>
          <cell r="B32" t="str">
            <v>Common Area Maintenance</v>
          </cell>
          <cell r="E32">
            <v>23.380500000000001</v>
          </cell>
          <cell r="F32">
            <v>23.380500000000001</v>
          </cell>
          <cell r="G32">
            <v>23.380500000000001</v>
          </cell>
          <cell r="H32">
            <v>23.380500000000001</v>
          </cell>
          <cell r="I32">
            <v>23.380500000000001</v>
          </cell>
          <cell r="J32">
            <v>23.380500000000001</v>
          </cell>
          <cell r="K32">
            <v>23.380500000000001</v>
          </cell>
          <cell r="L32">
            <v>23.380500000000001</v>
          </cell>
          <cell r="M32">
            <v>23.380500000000001</v>
          </cell>
          <cell r="N32">
            <v>23.380500000000001</v>
          </cell>
          <cell r="O32">
            <v>23.380500000000001</v>
          </cell>
          <cell r="P32">
            <v>23.380500000000001</v>
          </cell>
          <cell r="T32">
            <v>0</v>
          </cell>
          <cell r="U32">
            <v>280.56600000000003</v>
          </cell>
          <cell r="V32">
            <v>280.56414000000007</v>
          </cell>
          <cell r="W32">
            <v>276.94799999999998</v>
          </cell>
          <cell r="X32">
            <v>1.8599999999651118E-3</v>
          </cell>
          <cell r="Y32">
            <v>3.6180000000000518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17.224726569568965</v>
          </cell>
          <cell r="F33">
            <v>17.413206569568967</v>
          </cell>
          <cell r="G33">
            <v>17.255126569568965</v>
          </cell>
          <cell r="H33">
            <v>17.413206569568967</v>
          </cell>
          <cell r="I33">
            <v>20.255126569568969</v>
          </cell>
          <cell r="J33">
            <v>17.413206569568967</v>
          </cell>
          <cell r="K33">
            <v>17.419743118818968</v>
          </cell>
          <cell r="L33">
            <v>19.445503118818966</v>
          </cell>
          <cell r="M33">
            <v>17.419743118818968</v>
          </cell>
          <cell r="N33">
            <v>17.261663118818966</v>
          </cell>
          <cell r="O33">
            <v>17.419743118818968</v>
          </cell>
          <cell r="P33">
            <v>17.261663118818966</v>
          </cell>
          <cell r="R33">
            <v>0</v>
          </cell>
          <cell r="S33">
            <v>0</v>
          </cell>
          <cell r="T33">
            <v>0</v>
          </cell>
          <cell r="U33">
            <v>213.20265813032759</v>
          </cell>
          <cell r="V33">
            <v>253.71766661333336</v>
          </cell>
          <cell r="W33">
            <v>305.630448</v>
          </cell>
          <cell r="X33">
            <v>-40.515008483005772</v>
          </cell>
          <cell r="Y33">
            <v>-92.427789869672409</v>
          </cell>
        </row>
        <row r="35">
          <cell r="B35" t="str">
            <v>Total Overhead Expenses</v>
          </cell>
          <cell r="C35">
            <v>0</v>
          </cell>
          <cell r="E35">
            <v>160.06672656956897</v>
          </cell>
          <cell r="F35">
            <v>160.25520656956897</v>
          </cell>
          <cell r="G35">
            <v>165.09712656956899</v>
          </cell>
          <cell r="H35">
            <v>165.25520656956897</v>
          </cell>
          <cell r="I35">
            <v>163.09712656956899</v>
          </cell>
          <cell r="J35">
            <v>160.25520656956897</v>
          </cell>
          <cell r="K35">
            <v>160.26174311881897</v>
          </cell>
          <cell r="L35">
            <v>162.28750311881899</v>
          </cell>
          <cell r="M35">
            <v>202.26174311881897</v>
          </cell>
          <cell r="N35">
            <v>160.10366311881899</v>
          </cell>
          <cell r="O35">
            <v>160.26174311881897</v>
          </cell>
          <cell r="P35">
            <v>160.10366311881899</v>
          </cell>
          <cell r="R35">
            <v>0</v>
          </cell>
          <cell r="S35">
            <v>0</v>
          </cell>
          <cell r="T35">
            <v>0</v>
          </cell>
          <cell r="U35">
            <v>1979.3066581303276</v>
          </cell>
          <cell r="V35">
            <v>1989.4319832799999</v>
          </cell>
          <cell r="W35">
            <v>2150.8794479999997</v>
          </cell>
          <cell r="X35">
            <v>-10.125325149672335</v>
          </cell>
          <cell r="Y35">
            <v>-171.57278986967208</v>
          </cell>
        </row>
        <row r="37">
          <cell r="B37" t="str">
            <v>E.B.I.T.D.</v>
          </cell>
          <cell r="C37">
            <v>0</v>
          </cell>
          <cell r="E37">
            <v>54.466841473534515</v>
          </cell>
          <cell r="F37">
            <v>62.962761473534499</v>
          </cell>
          <cell r="G37">
            <v>122.9116414735345</v>
          </cell>
          <cell r="H37">
            <v>34.251761473534515</v>
          </cell>
          <cell r="I37">
            <v>68.805241473534466</v>
          </cell>
          <cell r="J37">
            <v>174.51776147353453</v>
          </cell>
          <cell r="K37">
            <v>68.986969999284469</v>
          </cell>
          <cell r="L37">
            <v>80.645609999284517</v>
          </cell>
          <cell r="M37">
            <v>63.724569999284483</v>
          </cell>
          <cell r="N37">
            <v>64.802849999284462</v>
          </cell>
          <cell r="O37">
            <v>101.38236999928455</v>
          </cell>
          <cell r="P37">
            <v>130.59364999928442</v>
          </cell>
          <cell r="R37">
            <v>0</v>
          </cell>
          <cell r="S37">
            <v>0</v>
          </cell>
          <cell r="T37">
            <v>0</v>
          </cell>
          <cell r="U37">
            <v>1028.0520288369137</v>
          </cell>
          <cell r="V37">
            <v>1140.0202014533327</v>
          </cell>
          <cell r="W37">
            <v>2025.1610000000001</v>
          </cell>
          <cell r="X37">
            <v>-111.968172616419</v>
          </cell>
          <cell r="Y37">
            <v>-997.10897116308638</v>
          </cell>
        </row>
        <row r="39">
          <cell r="A39">
            <v>18</v>
          </cell>
          <cell r="B39" t="str">
            <v>Depreciation</v>
          </cell>
          <cell r="E39">
            <v>32.664836111111114</v>
          </cell>
          <cell r="F39">
            <v>32.664836111111114</v>
          </cell>
          <cell r="G39">
            <v>32.664836111111114</v>
          </cell>
          <cell r="H39">
            <v>32.664836111111114</v>
          </cell>
          <cell r="I39">
            <v>32.664836111111114</v>
          </cell>
          <cell r="J39">
            <v>32.664836111111114</v>
          </cell>
          <cell r="K39">
            <v>33.641502777777781</v>
          </cell>
          <cell r="L39">
            <v>33.641502777777781</v>
          </cell>
          <cell r="M39">
            <v>33.641502777777781</v>
          </cell>
          <cell r="N39">
            <v>33.641502777777781</v>
          </cell>
          <cell r="O39">
            <v>33.641502777777781</v>
          </cell>
          <cell r="P39">
            <v>33.641502777777781</v>
          </cell>
          <cell r="T39">
            <v>0</v>
          </cell>
          <cell r="U39">
            <v>397.83803333333333</v>
          </cell>
          <cell r="V39">
            <v>392.34369657407404</v>
          </cell>
          <cell r="W39">
            <v>383.59</v>
          </cell>
          <cell r="X39">
            <v>5.4943367592592836</v>
          </cell>
          <cell r="Y39">
            <v>14.248033333333296</v>
          </cell>
        </row>
        <row r="40">
          <cell r="A40">
            <v>19</v>
          </cell>
          <cell r="B40" t="str">
            <v>Fixed Assets Written Off</v>
          </cell>
          <cell r="E40">
            <v>5.8293400000000002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5.8293400000000002</v>
          </cell>
          <cell r="V40">
            <v>22.727</v>
          </cell>
          <cell r="W40">
            <v>183.446</v>
          </cell>
          <cell r="X40">
            <v>-16.897660000000002</v>
          </cell>
          <cell r="Y40">
            <v>-177.61666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175.00614948356167</v>
          </cell>
          <cell r="W41">
            <v>197.39400000000001</v>
          </cell>
          <cell r="X41">
            <v>-175.00614948356167</v>
          </cell>
          <cell r="Y41">
            <v>-197.39400000000001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2.7230799999999999</v>
          </cell>
          <cell r="W43">
            <v>0.90700000000000003</v>
          </cell>
          <cell r="X43">
            <v>-2.7230799999999999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15.972665362423401</v>
          </cell>
          <cell r="F44">
            <v>30.297925362423385</v>
          </cell>
          <cell r="G44">
            <v>90.246805362423387</v>
          </cell>
          <cell r="H44">
            <v>1.5869253624234005</v>
          </cell>
          <cell r="I44">
            <v>36.140405362423351</v>
          </cell>
          <cell r="J44">
            <v>141.85292536242343</v>
          </cell>
          <cell r="K44">
            <v>35.345467221506688</v>
          </cell>
          <cell r="L44">
            <v>47.004107221506736</v>
          </cell>
          <cell r="M44">
            <v>30.083067221506703</v>
          </cell>
          <cell r="N44">
            <v>31.161347221506681</v>
          </cell>
          <cell r="O44">
            <v>67.740867221506761</v>
          </cell>
          <cell r="P44">
            <v>96.952147221506635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624.38465550358035</v>
          </cell>
          <cell r="V44">
            <v>552.66643539569691</v>
          </cell>
          <cell r="W44">
            <v>1261.6379999999999</v>
          </cell>
          <cell r="X44">
            <v>71.71822010788344</v>
          </cell>
          <cell r="Y44">
            <v>-637.25334449641957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15.972665362423401</v>
          </cell>
          <cell r="F50">
            <v>30.297925362423385</v>
          </cell>
          <cell r="G50">
            <v>90.246805362423387</v>
          </cell>
          <cell r="H50">
            <v>1.5869253624234005</v>
          </cell>
          <cell r="I50">
            <v>36.140405362423351</v>
          </cell>
          <cell r="J50">
            <v>141.85292536242343</v>
          </cell>
          <cell r="K50">
            <v>35.345467221506688</v>
          </cell>
          <cell r="L50">
            <v>47.004107221506736</v>
          </cell>
          <cell r="M50">
            <v>30.083067221506703</v>
          </cell>
          <cell r="N50">
            <v>31.161347221506681</v>
          </cell>
          <cell r="O50">
            <v>67.740867221506761</v>
          </cell>
          <cell r="P50">
            <v>96.952147221506635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624.38465550358035</v>
          </cell>
          <cell r="V50">
            <v>552.66643539569691</v>
          </cell>
          <cell r="W50">
            <v>1261.6379999999999</v>
          </cell>
          <cell r="X50">
            <v>71.71822010788344</v>
          </cell>
          <cell r="Y50">
            <v>-637.25334449641957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47.04</v>
          </cell>
          <cell r="F54">
            <v>49</v>
          </cell>
          <cell r="G54">
            <v>62.72</v>
          </cell>
          <cell r="H54">
            <v>44.1</v>
          </cell>
          <cell r="I54">
            <v>50.96</v>
          </cell>
          <cell r="J54">
            <v>73.5</v>
          </cell>
          <cell r="K54">
            <v>50.96</v>
          </cell>
          <cell r="L54">
            <v>52.92</v>
          </cell>
          <cell r="M54">
            <v>58.8</v>
          </cell>
          <cell r="N54">
            <v>49.98</v>
          </cell>
          <cell r="O54">
            <v>57.82</v>
          </cell>
          <cell r="P54">
            <v>63.7</v>
          </cell>
          <cell r="T54">
            <v>0</v>
          </cell>
          <cell r="U54">
            <v>661.5</v>
          </cell>
          <cell r="V54">
            <v>701</v>
          </cell>
          <cell r="W54">
            <v>1003.141</v>
          </cell>
          <cell r="X54">
            <v>-39.499999999999886</v>
          </cell>
          <cell r="Y54">
            <v>-341.64099999999985</v>
          </cell>
        </row>
        <row r="55">
          <cell r="A55">
            <v>28</v>
          </cell>
          <cell r="B55" t="str">
            <v>Admissions</v>
          </cell>
          <cell r="E55">
            <v>48</v>
          </cell>
          <cell r="F55">
            <v>50</v>
          </cell>
          <cell r="G55">
            <v>64</v>
          </cell>
          <cell r="H55">
            <v>45</v>
          </cell>
          <cell r="I55">
            <v>52</v>
          </cell>
          <cell r="J55">
            <v>75</v>
          </cell>
          <cell r="K55">
            <v>52</v>
          </cell>
          <cell r="L55">
            <v>54</v>
          </cell>
          <cell r="M55">
            <v>60</v>
          </cell>
          <cell r="N55">
            <v>51</v>
          </cell>
          <cell r="O55">
            <v>59</v>
          </cell>
          <cell r="P55">
            <v>65</v>
          </cell>
          <cell r="T55">
            <v>0</v>
          </cell>
          <cell r="U55">
            <v>675</v>
          </cell>
          <cell r="V55">
            <v>701</v>
          </cell>
          <cell r="W55">
            <v>1003.141</v>
          </cell>
          <cell r="X55">
            <v>-26</v>
          </cell>
          <cell r="Y55">
            <v>-328.14099999999996</v>
          </cell>
        </row>
        <row r="56">
          <cell r="B56" t="str">
            <v>Utilisation Rate</v>
          </cell>
          <cell r="E56">
            <v>0.20748322843903452</v>
          </cell>
          <cell r="F56">
            <v>0.21612836295732762</v>
          </cell>
          <cell r="G56">
            <v>0.22131544366830347</v>
          </cell>
          <cell r="H56">
            <v>0.19451552666159486</v>
          </cell>
          <cell r="I56">
            <v>0.22477349747562073</v>
          </cell>
          <cell r="J56">
            <v>0.25935403554879316</v>
          </cell>
          <cell r="K56">
            <v>0.22477349747562073</v>
          </cell>
          <cell r="L56">
            <v>0.23341863199391383</v>
          </cell>
          <cell r="M56">
            <v>0.20748322843903452</v>
          </cell>
          <cell r="N56">
            <v>0.22045093021647416</v>
          </cell>
          <cell r="O56">
            <v>0.20402517463171727</v>
          </cell>
          <cell r="P56">
            <v>0.2809668718445259</v>
          </cell>
          <cell r="U56">
            <v>0.22444099230184023</v>
          </cell>
          <cell r="V56">
            <v>0.23308612682013333</v>
          </cell>
          <cell r="W56">
            <v>0.31687209390478116</v>
          </cell>
          <cell r="X56">
            <v>-8.6451345182931016E-3</v>
          </cell>
          <cell r="Y56">
            <v>-9.2431101602940935E-2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Q57">
            <v>0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6.6404412268188304</v>
          </cell>
          <cell r="W57">
            <v>6.7590458370259014</v>
          </cell>
          <cell r="X57">
            <v>-2.0441226818832092E-2</v>
          </cell>
          <cell r="Y57">
            <v>-0.13904583702590312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2.3E-2</v>
          </cell>
          <cell r="V58">
            <v>2.4491790920257713E-2</v>
          </cell>
          <cell r="W58">
            <v>2.1715192714868835E-2</v>
          </cell>
          <cell r="X58">
            <v>-1.4917909202577136E-3</v>
          </cell>
          <cell r="Y58">
            <v>1.2848072851311641E-3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0.17846496759002703</v>
          </cell>
          <cell r="W59">
            <v>0.20686083664863819</v>
          </cell>
          <cell r="X59">
            <v>1.6535032409972977E-2</v>
          </cell>
          <cell r="Y59">
            <v>-1.1860836648638184E-2</v>
          </cell>
        </row>
        <row r="60">
          <cell r="B60" t="str">
            <v>Concess. Rev per Patron (S$)</v>
          </cell>
          <cell r="C60" t="str">
            <v>N.A.</v>
          </cell>
          <cell r="E60">
            <v>1.2</v>
          </cell>
          <cell r="F60">
            <v>1.2</v>
          </cell>
          <cell r="G60">
            <v>1.2</v>
          </cell>
          <cell r="H60">
            <v>1.2</v>
          </cell>
          <cell r="I60">
            <v>1.2</v>
          </cell>
          <cell r="J60">
            <v>1.2</v>
          </cell>
          <cell r="K60">
            <v>1.2</v>
          </cell>
          <cell r="L60">
            <v>1.2</v>
          </cell>
          <cell r="M60">
            <v>1.2</v>
          </cell>
          <cell r="N60">
            <v>1.2</v>
          </cell>
          <cell r="O60">
            <v>1.2</v>
          </cell>
          <cell r="P60">
            <v>1.2</v>
          </cell>
          <cell r="R60" t="str">
            <v>N.A.</v>
          </cell>
          <cell r="S60" t="str">
            <v>N.A.</v>
          </cell>
          <cell r="U60">
            <v>1.2</v>
          </cell>
          <cell r="V60">
            <v>1.1295615263908703</v>
          </cell>
          <cell r="W60">
            <v>1.0539076759897164</v>
          </cell>
          <cell r="X60">
            <v>7.0438473609129471E-2</v>
          </cell>
          <cell r="Y60">
            <v>0.14609232401028338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0.46471710766001251</v>
          </cell>
          <cell r="W61">
            <v>0.46758819257505152</v>
          </cell>
          <cell r="X61">
            <v>2.8289233998757268E-4</v>
          </cell>
          <cell r="Y61">
            <v>-2.5881925750514401E-3</v>
          </cell>
        </row>
        <row r="62">
          <cell r="B62" t="str">
            <v>Direct Payroll : Net Box</v>
          </cell>
          <cell r="C62" t="str">
            <v>N.A.</v>
          </cell>
          <cell r="E62">
            <v>0.10016886001037434</v>
          </cell>
          <cell r="F62">
            <v>9.6162105609959359E-2</v>
          </cell>
          <cell r="G62">
            <v>7.5126645007780754E-2</v>
          </cell>
          <cell r="H62">
            <v>0.10684678401106597</v>
          </cell>
          <cell r="I62">
            <v>9.246356308649939E-2</v>
          </cell>
          <cell r="J62">
            <v>6.4108070406639572E-2</v>
          </cell>
          <cell r="K62">
            <v>9.4362397983664151E-2</v>
          </cell>
          <cell r="L62">
            <v>9.0867494354639547E-2</v>
          </cell>
          <cell r="M62">
            <v>8.1780744919175599E-2</v>
          </cell>
          <cell r="N62">
            <v>9.6212641081383055E-2</v>
          </cell>
          <cell r="O62">
            <v>8.3166859239839588E-2</v>
          </cell>
          <cell r="P62">
            <v>7.5489918386931323E-2</v>
          </cell>
          <cell r="R62" t="str">
            <v>N.A.</v>
          </cell>
          <cell r="S62" t="str">
            <v>N.A.</v>
          </cell>
          <cell r="U62">
            <v>8.6355110894653392E-2</v>
          </cell>
          <cell r="V62">
            <v>0.10047586053550933</v>
          </cell>
          <cell r="W62">
            <v>9.7300316388300417E-2</v>
          </cell>
          <cell r="X62">
            <v>-1.412074964085594E-2</v>
          </cell>
          <cell r="Y62">
            <v>-1.0945205493647026E-2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8.4797679446122515E-2</v>
          </cell>
          <cell r="F63">
            <v>8.1405772268277624E-2</v>
          </cell>
          <cell r="G63">
            <v>6.3598259584591893E-2</v>
          </cell>
          <cell r="H63">
            <v>9.0450858075864032E-2</v>
          </cell>
          <cell r="I63">
            <v>7.8274781027190016E-2</v>
          </cell>
          <cell r="J63">
            <v>5.4270514845518411E-2</v>
          </cell>
          <cell r="K63">
            <v>7.988223461021185E-2</v>
          </cell>
          <cell r="L63">
            <v>7.6923633328352142E-2</v>
          </cell>
          <cell r="M63">
            <v>6.9231269995516945E-2</v>
          </cell>
          <cell r="N63">
            <v>8.144855293590228E-2</v>
          </cell>
          <cell r="O63">
            <v>7.0404681351373163E-2</v>
          </cell>
          <cell r="P63">
            <v>6.3905787688169485E-2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7.3103687227954656E-2</v>
          </cell>
          <cell r="V63">
            <v>8.5869216239914573E-2</v>
          </cell>
          <cell r="W63">
            <v>8.4175247853459284E-2</v>
          </cell>
          <cell r="X63">
            <v>-1.2765529011959917E-2</v>
          </cell>
          <cell r="Y63">
            <v>-1.1071560625504628E-2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0.66311785326867811</v>
          </cell>
          <cell r="F64">
            <v>0.63659313913793103</v>
          </cell>
          <cell r="G64">
            <v>0.49733838995150859</v>
          </cell>
          <cell r="H64">
            <v>0.70732571015325663</v>
          </cell>
          <cell r="I64">
            <v>0.61210878763262599</v>
          </cell>
          <cell r="J64">
            <v>0.42439542609195402</v>
          </cell>
          <cell r="K64">
            <v>0.62467907465185668</v>
          </cell>
          <cell r="L64">
            <v>0.60154281262771381</v>
          </cell>
          <cell r="M64">
            <v>0.54138853136494247</v>
          </cell>
          <cell r="N64">
            <v>0.63692768395875587</v>
          </cell>
          <cell r="O64">
            <v>0.55056460816773811</v>
          </cell>
          <cell r="P64">
            <v>0.49974325972148537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0.57167083412260533</v>
          </cell>
          <cell r="V64">
            <v>0.66720404660009536</v>
          </cell>
          <cell r="W64">
            <v>0.65765729842564502</v>
          </cell>
          <cell r="X64">
            <v>-9.5533212477490026E-2</v>
          </cell>
          <cell r="Y64">
            <v>-8.5986464303039689E-2</v>
          </cell>
        </row>
        <row r="65">
          <cell r="B65" t="str">
            <v>Gross Margin :Total Rev</v>
          </cell>
          <cell r="C65" t="str">
            <v>N.A.</v>
          </cell>
          <cell r="E65">
            <v>0.51907766961666779</v>
          </cell>
          <cell r="F65">
            <v>0.52039726765191896</v>
          </cell>
          <cell r="G65">
            <v>0.53097236293364081</v>
          </cell>
          <cell r="H65">
            <v>0.51440849258269739</v>
          </cell>
          <cell r="I65">
            <v>0.52162402019917997</v>
          </cell>
          <cell r="J65">
            <v>0.53355577463672743</v>
          </cell>
          <cell r="K65">
            <v>0.5179853209210552</v>
          </cell>
          <cell r="L65">
            <v>0.52444704175084766</v>
          </cell>
          <cell r="M65">
            <v>0.52448546510053051</v>
          </cell>
          <cell r="N65">
            <v>0.51731470636795263</v>
          </cell>
          <cell r="O65">
            <v>0.52400335982152346</v>
          </cell>
          <cell r="P65">
            <v>0.5292742155421406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0.52386149913774205</v>
          </cell>
          <cell r="V65">
            <v>0.51940879404097984</v>
          </cell>
          <cell r="W65">
            <v>0.49799942926192931</v>
          </cell>
          <cell r="X65">
            <v>4.4527050967622106E-3</v>
          </cell>
          <cell r="Y65">
            <v>2.5862069875812743E-2</v>
          </cell>
        </row>
        <row r="66">
          <cell r="B66" t="str">
            <v>G&amp;A % of total revenue</v>
          </cell>
          <cell r="C66" t="str">
            <v>N.A.</v>
          </cell>
          <cell r="E66">
            <v>4.1676326036398016E-2</v>
          </cell>
          <cell r="F66">
            <v>4.0596127629440218E-2</v>
          </cell>
          <cell r="G66">
            <v>3.1811515286895339E-2</v>
          </cell>
          <cell r="H66">
            <v>4.4898187919671192E-2</v>
          </cell>
          <cell r="I66">
            <v>4.5560382328213141E-2</v>
          </cell>
          <cell r="J66">
            <v>2.7752888694822796E-2</v>
          </cell>
          <cell r="K66">
            <v>3.9359746482481951E-2</v>
          </cell>
          <cell r="L66">
            <v>4.1979195240722897E-2</v>
          </cell>
          <cell r="M66">
            <v>3.4349143625103676E-2</v>
          </cell>
          <cell r="N66">
            <v>3.9704106670513176E-2</v>
          </cell>
          <cell r="O66">
            <v>3.4887098405186411E-2</v>
          </cell>
          <cell r="P66">
            <v>3.1428406090749823E-2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3.7138457940624599E-2</v>
          </cell>
          <cell r="V66">
            <v>4.2110624947526522E-2</v>
          </cell>
          <cell r="W66">
            <v>3.6446914383207567E-2</v>
          </cell>
          <cell r="X66">
            <v>-4.972167006901923E-3</v>
          </cell>
          <cell r="Y66">
            <v>6.91543557417032E-4</v>
          </cell>
        </row>
        <row r="67">
          <cell r="B67" t="str">
            <v>E.B.I.T.D. : Total Rev</v>
          </cell>
          <cell r="C67" t="str">
            <v>N.A.</v>
          </cell>
          <cell r="E67">
            <v>0.13178600160969836</v>
          </cell>
          <cell r="F67">
            <v>0.14678768614325799</v>
          </cell>
          <cell r="G67">
            <v>0.22659964538124014</v>
          </cell>
          <cell r="H67">
            <v>8.8314694773449359E-2</v>
          </cell>
          <cell r="I67">
            <v>0.15476541689099729</v>
          </cell>
          <cell r="J67">
            <v>0.27814360267848859</v>
          </cell>
          <cell r="K67">
            <v>0.15587541281438361</v>
          </cell>
          <cell r="L67">
            <v>0.17409875109843781</v>
          </cell>
          <cell r="M67">
            <v>0.12565537806287688</v>
          </cell>
          <cell r="N67">
            <v>0.14905512007819174</v>
          </cell>
          <cell r="O67">
            <v>0.20304184135155362</v>
          </cell>
          <cell r="P67">
            <v>0.23777258522535566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0.17907969519964653</v>
          </cell>
          <cell r="V67">
            <v>0.18921411258746798</v>
          </cell>
          <cell r="W67">
            <v>0.24150365273557764</v>
          </cell>
          <cell r="X67">
            <v>-1.0134417387821448E-2</v>
          </cell>
          <cell r="Y67">
            <v>-6.2423957535931107E-2</v>
          </cell>
        </row>
        <row r="68">
          <cell r="B68" t="str">
            <v>No of Concession Transactions</v>
          </cell>
          <cell r="E68">
            <v>15</v>
          </cell>
          <cell r="F68">
            <v>12</v>
          </cell>
          <cell r="G68">
            <v>18</v>
          </cell>
          <cell r="H68">
            <v>12</v>
          </cell>
          <cell r="I68">
            <v>14</v>
          </cell>
          <cell r="J68">
            <v>17.253</v>
          </cell>
          <cell r="K68">
            <v>13</v>
          </cell>
          <cell r="L68">
            <v>15</v>
          </cell>
          <cell r="M68">
            <v>16</v>
          </cell>
          <cell r="N68">
            <v>15</v>
          </cell>
          <cell r="O68">
            <v>13</v>
          </cell>
          <cell r="P68">
            <v>17</v>
          </cell>
          <cell r="U68">
            <v>177.25299999999999</v>
          </cell>
          <cell r="V68">
            <v>188</v>
          </cell>
          <cell r="W68">
            <v>0</v>
          </cell>
          <cell r="X68">
            <v>-10.747000000000014</v>
          </cell>
          <cell r="Y68">
            <v>177.25299999999999</v>
          </cell>
        </row>
        <row r="69">
          <cell r="B69" t="str">
            <v>Strike Rate %(No of Trans/Adm)</v>
          </cell>
          <cell r="E69">
            <v>0.3125</v>
          </cell>
          <cell r="F69">
            <v>0.24</v>
          </cell>
          <cell r="G69">
            <v>0.28125</v>
          </cell>
          <cell r="H69">
            <v>0.26666666666666666</v>
          </cell>
          <cell r="I69">
            <v>0.26923076923076922</v>
          </cell>
          <cell r="J69">
            <v>0.23003999999999999</v>
          </cell>
          <cell r="K69">
            <v>0.25</v>
          </cell>
          <cell r="L69">
            <v>0.27777777777777779</v>
          </cell>
          <cell r="M69">
            <v>0.26666666666666666</v>
          </cell>
          <cell r="N69">
            <v>0.29411764705882354</v>
          </cell>
          <cell r="O69">
            <v>0.22033898305084745</v>
          </cell>
          <cell r="P69">
            <v>0.26153846153846155</v>
          </cell>
          <cell r="U69">
            <v>0.26259703703703702</v>
          </cell>
          <cell r="V69">
            <v>0.26818830242510699</v>
          </cell>
          <cell r="W69">
            <v>0</v>
          </cell>
          <cell r="X69">
            <v>-5.591265388069977E-3</v>
          </cell>
          <cell r="Y69">
            <v>0.26259703703703702</v>
          </cell>
        </row>
        <row r="70">
          <cell r="B70" t="str">
            <v>Ave Sales (Total Sale/No of Trans) (S$)</v>
          </cell>
          <cell r="E70">
            <v>3.84</v>
          </cell>
          <cell r="F70">
            <v>5</v>
          </cell>
          <cell r="G70">
            <v>4.2666666666666666</v>
          </cell>
          <cell r="H70">
            <v>4.5</v>
          </cell>
          <cell r="I70">
            <v>4.4571428571428573</v>
          </cell>
          <cell r="J70">
            <v>5.2164840897235267</v>
          </cell>
          <cell r="K70">
            <v>4.8</v>
          </cell>
          <cell r="L70">
            <v>4.32</v>
          </cell>
          <cell r="M70">
            <v>4.5</v>
          </cell>
          <cell r="N70">
            <v>4.08</v>
          </cell>
          <cell r="O70">
            <v>5.4461538461538463</v>
          </cell>
          <cell r="P70">
            <v>4.5882352941176467</v>
          </cell>
          <cell r="U70">
            <v>4.5697392991938077</v>
          </cell>
          <cell r="V70">
            <v>4.2118225000000002</v>
          </cell>
          <cell r="W70" t="str">
            <v>N.A.</v>
          </cell>
          <cell r="X70">
            <v>0.35791679919380748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26</v>
          </cell>
          <cell r="F71">
            <v>28</v>
          </cell>
          <cell r="G71">
            <v>32</v>
          </cell>
          <cell r="H71">
            <v>27</v>
          </cell>
          <cell r="I71">
            <v>26</v>
          </cell>
          <cell r="J71">
            <v>38</v>
          </cell>
          <cell r="K71">
            <v>28</v>
          </cell>
          <cell r="L71">
            <v>30</v>
          </cell>
          <cell r="M71">
            <v>37</v>
          </cell>
          <cell r="N71">
            <v>28</v>
          </cell>
          <cell r="O71">
            <v>35</v>
          </cell>
          <cell r="P71">
            <v>31</v>
          </cell>
          <cell r="U71">
            <v>366</v>
          </cell>
          <cell r="V71">
            <v>381</v>
          </cell>
          <cell r="W71">
            <v>0</v>
          </cell>
          <cell r="X71">
            <v>-15</v>
          </cell>
          <cell r="Y71">
            <v>366</v>
          </cell>
        </row>
        <row r="72">
          <cell r="B72" t="str">
            <v>Combo Sales as % of Total Sales</v>
          </cell>
          <cell r="E72">
            <v>0.45138888888888895</v>
          </cell>
          <cell r="F72">
            <v>0.46666666666666667</v>
          </cell>
          <cell r="G72">
            <v>0.41666666666666669</v>
          </cell>
          <cell r="H72">
            <v>0.5</v>
          </cell>
          <cell r="I72">
            <v>0.41666666666666669</v>
          </cell>
          <cell r="J72">
            <v>0.42222222222222222</v>
          </cell>
          <cell r="K72">
            <v>0.44871794871794873</v>
          </cell>
          <cell r="L72">
            <v>0.46296296296296297</v>
          </cell>
          <cell r="M72">
            <v>0.51388888888888884</v>
          </cell>
          <cell r="N72">
            <v>0.45751633986928109</v>
          </cell>
          <cell r="O72">
            <v>0.4943502824858757</v>
          </cell>
          <cell r="P72">
            <v>0.39743589743589741</v>
          </cell>
          <cell r="U72">
            <v>0.45185185185185189</v>
          </cell>
          <cell r="V72">
            <v>0.48116836468793522</v>
          </cell>
          <cell r="W72">
            <v>0</v>
          </cell>
          <cell r="X72">
            <v>-2.931651283608333E-2</v>
          </cell>
          <cell r="Y72">
            <v>0.45185185185185189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U73">
            <v>76.131</v>
          </cell>
          <cell r="V73">
            <v>58</v>
          </cell>
          <cell r="W73">
            <v>0</v>
          </cell>
          <cell r="X73">
            <v>18.131</v>
          </cell>
          <cell r="Y73">
            <v>76.131</v>
          </cell>
        </row>
        <row r="74">
          <cell r="B74" t="str">
            <v>Admissions/labour hour paid</v>
          </cell>
          <cell r="E74">
            <v>9.9979171006040399</v>
          </cell>
          <cell r="F74">
            <v>7.1428571428571432</v>
          </cell>
          <cell r="G74">
            <v>9.0014064697608998</v>
          </cell>
          <cell r="H74">
            <v>9</v>
          </cell>
          <cell r="I74">
            <v>8.6666666666666661</v>
          </cell>
          <cell r="J74">
            <v>10.548523206751055</v>
          </cell>
          <cell r="K74">
            <v>8.6666666666666661</v>
          </cell>
          <cell r="L74">
            <v>9</v>
          </cell>
          <cell r="M74">
            <v>8.4388185654008439</v>
          </cell>
          <cell r="N74">
            <v>8.5</v>
          </cell>
          <cell r="O74">
            <v>8.4285714285714288</v>
          </cell>
          <cell r="P74">
            <v>9.2857142857142865</v>
          </cell>
          <cell r="U74">
            <v>8.8662962525121181</v>
          </cell>
          <cell r="V74">
            <v>12.086206896551724</v>
          </cell>
          <cell r="W74" t="str">
            <v>N.A.</v>
          </cell>
          <cell r="X74">
            <v>-3.2199106440396061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47.228229999999996</v>
          </cell>
          <cell r="W77">
            <v>3.8690000000000002</v>
          </cell>
          <cell r="X77">
            <v>-20.040729999999996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T78">
            <v>0</v>
          </cell>
          <cell r="U78">
            <v>12</v>
          </cell>
          <cell r="V78">
            <v>23.534500000000001</v>
          </cell>
          <cell r="W78">
            <v>29.521999999999998</v>
          </cell>
          <cell r="X78">
            <v>-11.534500000000001</v>
          </cell>
          <cell r="Y78">
            <v>-17.521999999999998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50.47</v>
          </cell>
          <cell r="W82">
            <v>53.16</v>
          </cell>
          <cell r="X82">
            <v>-12.405999999999999</v>
          </cell>
          <cell r="Y82">
            <v>-15.095999999999997</v>
          </cell>
        </row>
        <row r="83">
          <cell r="C83">
            <v>0</v>
          </cell>
          <cell r="E83">
            <v>6.4376250000000006</v>
          </cell>
          <cell r="F83">
            <v>6.4376250000000006</v>
          </cell>
          <cell r="G83">
            <v>6.4376250000000006</v>
          </cell>
          <cell r="H83">
            <v>6.4376250000000006</v>
          </cell>
          <cell r="I83">
            <v>6.4376250000000006</v>
          </cell>
          <cell r="J83">
            <v>6.4376250000000006</v>
          </cell>
          <cell r="K83">
            <v>6.4376250000000006</v>
          </cell>
          <cell r="L83">
            <v>6.4376250000000006</v>
          </cell>
          <cell r="M83">
            <v>6.4376250000000006</v>
          </cell>
          <cell r="N83">
            <v>6.4376250000000006</v>
          </cell>
          <cell r="O83">
            <v>6.4376250000000006</v>
          </cell>
          <cell r="P83">
            <v>6.4376250000000006</v>
          </cell>
          <cell r="R83">
            <v>0</v>
          </cell>
          <cell r="S83">
            <v>0</v>
          </cell>
          <cell r="T83">
            <v>0</v>
          </cell>
          <cell r="U83">
            <v>77.251499999999993</v>
          </cell>
          <cell r="V83">
            <v>121.23273</v>
          </cell>
          <cell r="W83">
            <v>86.550999999999988</v>
          </cell>
          <cell r="X83">
            <v>-43.981230000000011</v>
          </cell>
          <cell r="Y83">
            <v>-9.2994999999999948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0.63551999999999997</v>
          </cell>
          <cell r="F86">
            <v>0.66200000000000003</v>
          </cell>
          <cell r="G86">
            <v>0.84736</v>
          </cell>
          <cell r="H86">
            <v>0.5958</v>
          </cell>
          <cell r="I86">
            <v>0.68847999999999998</v>
          </cell>
          <cell r="J86">
            <v>0.99299999999999999</v>
          </cell>
          <cell r="K86">
            <v>0.68847999999999998</v>
          </cell>
          <cell r="L86">
            <v>0.71496000000000004</v>
          </cell>
          <cell r="M86">
            <v>0.7944</v>
          </cell>
          <cell r="N86">
            <v>0.67524000000000006</v>
          </cell>
          <cell r="O86">
            <v>0.78115999999999997</v>
          </cell>
          <cell r="P86">
            <v>0.86060000000000003</v>
          </cell>
          <cell r="U86">
            <v>8.9370000000000012</v>
          </cell>
          <cell r="V86">
            <v>9.3098986000000004</v>
          </cell>
          <cell r="W86">
            <v>13.560551999999999</v>
          </cell>
          <cell r="X86">
            <v>-0.37289859999999919</v>
          </cell>
          <cell r="Y86">
            <v>-4.6235519999999983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0.63551999999999997</v>
          </cell>
          <cell r="F91">
            <v>0.66200000000000003</v>
          </cell>
          <cell r="G91">
            <v>0.84736</v>
          </cell>
          <cell r="H91">
            <v>0.5958</v>
          </cell>
          <cell r="I91">
            <v>0.68847999999999998</v>
          </cell>
          <cell r="J91">
            <v>0.99299999999999999</v>
          </cell>
          <cell r="K91">
            <v>0.68847999999999998</v>
          </cell>
          <cell r="L91">
            <v>0.71496000000000004</v>
          </cell>
          <cell r="M91">
            <v>0.7944</v>
          </cell>
          <cell r="N91">
            <v>0.67524000000000006</v>
          </cell>
          <cell r="O91">
            <v>0.78115999999999997</v>
          </cell>
          <cell r="P91">
            <v>0.86060000000000003</v>
          </cell>
          <cell r="U91">
            <v>8.9370000000000012</v>
          </cell>
          <cell r="V91">
            <v>9.3098986000000004</v>
          </cell>
          <cell r="W91">
            <v>13.560551999999999</v>
          </cell>
          <cell r="X91">
            <v>-0.37289859999999919</v>
          </cell>
          <cell r="Y91">
            <v>-4.6235519999999983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29.346519456896548</v>
          </cell>
          <cell r="F94">
            <v>29.346519456896548</v>
          </cell>
          <cell r="G94">
            <v>29.346519456896548</v>
          </cell>
          <cell r="H94">
            <v>29.346519456896548</v>
          </cell>
          <cell r="I94">
            <v>29.346519456896548</v>
          </cell>
          <cell r="J94">
            <v>29.346519456896548</v>
          </cell>
          <cell r="K94">
            <v>30.000174381896549</v>
          </cell>
          <cell r="L94">
            <v>30.000174381896549</v>
          </cell>
          <cell r="M94">
            <v>30.000174381896549</v>
          </cell>
          <cell r="N94">
            <v>30.000174381896549</v>
          </cell>
          <cell r="O94">
            <v>30.000174381896549</v>
          </cell>
          <cell r="P94">
            <v>30.000174381896549</v>
          </cell>
          <cell r="T94">
            <v>0</v>
          </cell>
          <cell r="U94">
            <v>356.08016303275861</v>
          </cell>
          <cell r="V94">
            <v>423.9189550000001</v>
          </cell>
          <cell r="W94">
            <v>579.53499999999997</v>
          </cell>
          <cell r="X94">
            <v>-67.838791967241491</v>
          </cell>
          <cell r="Y94">
            <v>-223.45483696724136</v>
          </cell>
        </row>
        <row r="95">
          <cell r="A95">
            <v>67</v>
          </cell>
          <cell r="B95" t="str">
            <v>Bonus/Commission</v>
          </cell>
          <cell r="E95">
            <v>1.3021374999999997</v>
          </cell>
          <cell r="F95">
            <v>1.3021374999999997</v>
          </cell>
          <cell r="G95">
            <v>1.3021374999999997</v>
          </cell>
          <cell r="H95">
            <v>1.3021374999999997</v>
          </cell>
          <cell r="I95">
            <v>1.3021374999999997</v>
          </cell>
          <cell r="J95">
            <v>1.3021374999999997</v>
          </cell>
          <cell r="K95">
            <v>1.3021374999999997</v>
          </cell>
          <cell r="L95">
            <v>1.3021374999999997</v>
          </cell>
          <cell r="M95">
            <v>1.3021374999999997</v>
          </cell>
          <cell r="N95">
            <v>1.3021374999999997</v>
          </cell>
          <cell r="O95">
            <v>1.3021374999999997</v>
          </cell>
          <cell r="P95">
            <v>1.3021374999999997</v>
          </cell>
          <cell r="T95">
            <v>0</v>
          </cell>
          <cell r="U95">
            <v>15.62565</v>
          </cell>
          <cell r="V95">
            <v>20.073341666666664</v>
          </cell>
          <cell r="W95">
            <v>44.957999999999998</v>
          </cell>
          <cell r="X95">
            <v>-4.4476916666666639</v>
          </cell>
          <cell r="Y95">
            <v>-29.332349999999998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11.695999999999998</v>
          </cell>
          <cell r="W97">
            <v>24.59</v>
          </cell>
          <cell r="X97">
            <v>-5.0599999999999996</v>
          </cell>
          <cell r="Y97">
            <v>-17.954000000000001</v>
          </cell>
        </row>
        <row r="98">
          <cell r="A98">
            <v>70</v>
          </cell>
          <cell r="B98" t="str">
            <v>Miscellaneous</v>
          </cell>
          <cell r="E98">
            <v>0.628</v>
          </cell>
          <cell r="F98">
            <v>0.628</v>
          </cell>
          <cell r="G98">
            <v>0.628</v>
          </cell>
          <cell r="H98">
            <v>0.628</v>
          </cell>
          <cell r="I98">
            <v>0.628</v>
          </cell>
          <cell r="J98">
            <v>0.628</v>
          </cell>
          <cell r="K98">
            <v>0.628</v>
          </cell>
          <cell r="L98">
            <v>0.628</v>
          </cell>
          <cell r="M98">
            <v>0.628</v>
          </cell>
          <cell r="N98">
            <v>0.628</v>
          </cell>
          <cell r="O98">
            <v>0.628</v>
          </cell>
          <cell r="P98">
            <v>0.628</v>
          </cell>
          <cell r="T98">
            <v>0</v>
          </cell>
          <cell r="U98">
            <v>7.5360000000000005</v>
          </cell>
          <cell r="V98">
            <v>12.021739999999998</v>
          </cell>
          <cell r="W98">
            <v>10.64</v>
          </cell>
          <cell r="X98">
            <v>-4.4857399999999972</v>
          </cell>
          <cell r="Y98">
            <v>-3.1040000000000001</v>
          </cell>
        </row>
        <row r="99">
          <cell r="C99">
            <v>0</v>
          </cell>
          <cell r="E99">
            <v>31.82965695689655</v>
          </cell>
          <cell r="F99">
            <v>31.82965695689655</v>
          </cell>
          <cell r="G99">
            <v>31.82965695689655</v>
          </cell>
          <cell r="H99">
            <v>31.82965695689655</v>
          </cell>
          <cell r="I99">
            <v>31.82965695689655</v>
          </cell>
          <cell r="J99">
            <v>31.82965695689655</v>
          </cell>
          <cell r="K99">
            <v>32.483311881896547</v>
          </cell>
          <cell r="L99">
            <v>32.483311881896547</v>
          </cell>
          <cell r="M99">
            <v>32.483311881896547</v>
          </cell>
          <cell r="N99">
            <v>32.483311881896547</v>
          </cell>
          <cell r="O99">
            <v>32.483311881896547</v>
          </cell>
          <cell r="P99">
            <v>32.483311881896547</v>
          </cell>
          <cell r="R99">
            <v>0</v>
          </cell>
          <cell r="S99">
            <v>0</v>
          </cell>
          <cell r="T99">
            <v>0</v>
          </cell>
          <cell r="U99">
            <v>385.87781303275864</v>
          </cell>
          <cell r="V99">
            <v>467.71003666666684</v>
          </cell>
          <cell r="W99">
            <v>659.72299999999996</v>
          </cell>
          <cell r="X99">
            <v>-81.8322236339082</v>
          </cell>
          <cell r="Y99">
            <v>-273.84518696724132</v>
          </cell>
        </row>
        <row r="100"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13.375180000000002</v>
          </cell>
          <cell r="W102">
            <v>15.44</v>
          </cell>
          <cell r="X102">
            <v>2.2248200000000011</v>
          </cell>
          <cell r="Y102">
            <v>0.16000000000000369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27.455693333333336</v>
          </cell>
          <cell r="W104">
            <v>29.145</v>
          </cell>
          <cell r="X104">
            <v>-3.4556933333333362</v>
          </cell>
          <cell r="Y104">
            <v>-5.1449999999999996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9.746789999999999</v>
          </cell>
          <cell r="W105">
            <v>11.818</v>
          </cell>
          <cell r="X105">
            <v>2.253210000000001</v>
          </cell>
          <cell r="Y105">
            <v>0.18200000000000038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3.2664300000000011</v>
          </cell>
          <cell r="W106">
            <v>0</v>
          </cell>
          <cell r="X106">
            <v>2.7335699999999989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0.57099999999999995</v>
          </cell>
          <cell r="F108">
            <v>0.57099999999999995</v>
          </cell>
          <cell r="G108">
            <v>0.57099999999999995</v>
          </cell>
          <cell r="H108">
            <v>0.57099999999999995</v>
          </cell>
          <cell r="I108">
            <v>0.57099999999999995</v>
          </cell>
          <cell r="J108">
            <v>0.57099999999999995</v>
          </cell>
          <cell r="K108">
            <v>0.57099999999999995</v>
          </cell>
          <cell r="L108">
            <v>0.57099999999999995</v>
          </cell>
          <cell r="M108">
            <v>0.57099999999999995</v>
          </cell>
          <cell r="N108">
            <v>0.57099999999999995</v>
          </cell>
          <cell r="O108">
            <v>0.57099999999999995</v>
          </cell>
          <cell r="P108">
            <v>0.57099999999999995</v>
          </cell>
          <cell r="T108">
            <v>0</v>
          </cell>
          <cell r="U108">
            <v>6.8519999999999976</v>
          </cell>
          <cell r="V108">
            <v>8.6278332800000008</v>
          </cell>
          <cell r="W108">
            <v>18.860448000000002</v>
          </cell>
          <cell r="X108">
            <v>-1.7758332800000032</v>
          </cell>
          <cell r="Y108">
            <v>-12.008448000000005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4.7119999999999997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7.7423999999999999</v>
          </cell>
          <cell r="J111">
            <v>4.9004799999999999</v>
          </cell>
          <cell r="K111">
            <v>4.9004799999999999</v>
          </cell>
          <cell r="L111">
            <v>6.92624</v>
          </cell>
          <cell r="M111">
            <v>4.9004799999999999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63.010720000000006</v>
          </cell>
          <cell r="V111">
            <v>96.328870000000009</v>
          </cell>
          <cell r="W111">
            <v>133.678</v>
          </cell>
          <cell r="X111">
            <v>-33.318150000000003</v>
          </cell>
          <cell r="Y111">
            <v>-70.667279999999991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53.842350000000003</v>
          </cell>
          <cell r="W112">
            <v>39.466000000000001</v>
          </cell>
          <cell r="X112">
            <v>-5.8423500000000033</v>
          </cell>
          <cell r="Y112">
            <v>8.5339999999999989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8.3141499999999979</v>
          </cell>
          <cell r="W113">
            <v>8.1039999999999992</v>
          </cell>
          <cell r="X113">
            <v>-1.1141499999999995</v>
          </cell>
          <cell r="Y113">
            <v>-0.9040000000000008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0.96699999999999919</v>
          </cell>
          <cell r="W114">
            <v>6.101</v>
          </cell>
          <cell r="X114">
            <v>1.4330000000000007</v>
          </cell>
          <cell r="Y114">
            <v>-3.7010000000000001</v>
          </cell>
        </row>
        <row r="115">
          <cell r="A115">
            <v>84</v>
          </cell>
          <cell r="B115" t="str">
            <v>Freight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T115">
            <v>0</v>
          </cell>
          <cell r="U115">
            <v>0</v>
          </cell>
          <cell r="V115">
            <v>5.4541099999999982</v>
          </cell>
          <cell r="W115">
            <v>4.351</v>
          </cell>
          <cell r="X115">
            <v>-5.4541099999999982</v>
          </cell>
          <cell r="Y115">
            <v>-4.351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0.3</v>
          </cell>
          <cell r="F117">
            <v>0.3</v>
          </cell>
          <cell r="G117">
            <v>0.3</v>
          </cell>
          <cell r="H117">
            <v>0.3</v>
          </cell>
          <cell r="I117">
            <v>0.3</v>
          </cell>
          <cell r="J117">
            <v>0.3</v>
          </cell>
          <cell r="K117">
            <v>0.3</v>
          </cell>
          <cell r="L117">
            <v>0.3</v>
          </cell>
          <cell r="M117">
            <v>0.3</v>
          </cell>
          <cell r="N117">
            <v>0.3</v>
          </cell>
          <cell r="O117">
            <v>0.3</v>
          </cell>
          <cell r="P117">
            <v>0.3</v>
          </cell>
          <cell r="T117">
            <v>0</v>
          </cell>
          <cell r="U117">
            <v>3.6</v>
          </cell>
          <cell r="V117">
            <v>1.7220299999999997</v>
          </cell>
          <cell r="W117">
            <v>6.7359999999999998</v>
          </cell>
          <cell r="X117">
            <v>1.8779699999999995</v>
          </cell>
          <cell r="Y117">
            <v>-3.1360000000000006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0.4417265695689655</v>
          </cell>
          <cell r="F119">
            <v>0.4417265695689655</v>
          </cell>
          <cell r="G119">
            <v>0.4417265695689655</v>
          </cell>
          <cell r="H119">
            <v>0.4417265695689655</v>
          </cell>
          <cell r="I119">
            <v>0.4417265695689655</v>
          </cell>
          <cell r="J119">
            <v>0.4417265695689655</v>
          </cell>
          <cell r="K119">
            <v>0.44826311881896552</v>
          </cell>
          <cell r="L119">
            <v>0.44826311881896552</v>
          </cell>
          <cell r="M119">
            <v>0.44826311881896552</v>
          </cell>
          <cell r="N119">
            <v>0.44826311881896552</v>
          </cell>
          <cell r="O119">
            <v>0.44826311881896552</v>
          </cell>
          <cell r="P119">
            <v>0.44826311881896552</v>
          </cell>
          <cell r="T119">
            <v>0</v>
          </cell>
          <cell r="U119">
            <v>5.3399381303275852</v>
          </cell>
          <cell r="V119">
            <v>6.2772299999999994</v>
          </cell>
          <cell r="W119">
            <v>9.3019999999999996</v>
          </cell>
          <cell r="X119">
            <v>-0.93729186967241418</v>
          </cell>
          <cell r="Y119">
            <v>-3.9620618696724144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2.74</v>
          </cell>
          <cell r="W124">
            <v>7.0289999999999981</v>
          </cell>
          <cell r="X124">
            <v>0.86000000000000076</v>
          </cell>
          <cell r="Y124">
            <v>-3.4289999999999989</v>
          </cell>
        </row>
        <row r="125">
          <cell r="C125">
            <v>0</v>
          </cell>
          <cell r="E125">
            <v>17.224726569568965</v>
          </cell>
          <cell r="F125">
            <v>17.413206569568967</v>
          </cell>
          <cell r="G125">
            <v>17.255126569568965</v>
          </cell>
          <cell r="H125">
            <v>17.413206569568967</v>
          </cell>
          <cell r="I125">
            <v>20.255126569568969</v>
          </cell>
          <cell r="J125">
            <v>17.413206569568967</v>
          </cell>
          <cell r="K125">
            <v>17.419743118818968</v>
          </cell>
          <cell r="L125">
            <v>19.445503118818966</v>
          </cell>
          <cell r="M125">
            <v>17.419743118818968</v>
          </cell>
          <cell r="N125">
            <v>17.261663118818966</v>
          </cell>
          <cell r="O125">
            <v>17.419743118818968</v>
          </cell>
          <cell r="P125">
            <v>17.261663118818966</v>
          </cell>
          <cell r="R125">
            <v>0</v>
          </cell>
          <cell r="S125">
            <v>0</v>
          </cell>
          <cell r="T125">
            <v>0</v>
          </cell>
          <cell r="U125">
            <v>213.20265813032756</v>
          </cell>
          <cell r="V125">
            <v>253.71766661333336</v>
          </cell>
          <cell r="W125">
            <v>305.630448</v>
          </cell>
          <cell r="X125">
            <v>-40.515008483005801</v>
          </cell>
          <cell r="Y125">
            <v>-92.427789869672438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3" refreshError="1">
        <row r="11">
          <cell r="A11">
            <v>1</v>
          </cell>
          <cell r="B11" t="str">
            <v>Net Film Revenue</v>
          </cell>
          <cell r="E11">
            <v>291.27999999999997</v>
          </cell>
          <cell r="F11">
            <v>297.89999999999998</v>
          </cell>
          <cell r="G11">
            <v>397.2</v>
          </cell>
          <cell r="H11">
            <v>317.76</v>
          </cell>
          <cell r="I11">
            <v>344.24</v>
          </cell>
          <cell r="J11">
            <v>470.02</v>
          </cell>
          <cell r="K11">
            <v>317.76</v>
          </cell>
          <cell r="L11">
            <v>364.1</v>
          </cell>
          <cell r="M11">
            <v>430.3</v>
          </cell>
          <cell r="N11">
            <v>331</v>
          </cell>
          <cell r="O11">
            <v>436.92</v>
          </cell>
          <cell r="P11">
            <v>430.3</v>
          </cell>
          <cell r="Q11">
            <v>0</v>
          </cell>
          <cell r="T11">
            <v>0</v>
          </cell>
          <cell r="U11">
            <v>4428.78</v>
          </cell>
          <cell r="V11">
            <v>4165.1659399999999</v>
          </cell>
          <cell r="W11">
            <v>5826.2250000000004</v>
          </cell>
          <cell r="X11">
            <v>263.61405999999988</v>
          </cell>
          <cell r="Y11">
            <v>-1397.4449999999999</v>
          </cell>
        </row>
        <row r="12">
          <cell r="A12">
            <v>2</v>
          </cell>
          <cell r="B12" t="str">
            <v>Concession Sales</v>
          </cell>
          <cell r="E12">
            <v>47.08</v>
          </cell>
          <cell r="F12">
            <v>48.15</v>
          </cell>
          <cell r="G12">
            <v>64.2</v>
          </cell>
          <cell r="H12">
            <v>51.36</v>
          </cell>
          <cell r="I12">
            <v>55.64</v>
          </cell>
          <cell r="J12">
            <v>75.97</v>
          </cell>
          <cell r="K12">
            <v>51.36</v>
          </cell>
          <cell r="L12">
            <v>58.85</v>
          </cell>
          <cell r="M12">
            <v>69.55</v>
          </cell>
          <cell r="N12">
            <v>53.5</v>
          </cell>
          <cell r="O12">
            <v>70.62</v>
          </cell>
          <cell r="P12">
            <v>69.55</v>
          </cell>
          <cell r="T12">
            <v>0</v>
          </cell>
          <cell r="U12">
            <v>715.83</v>
          </cell>
          <cell r="V12">
            <v>655.6629999999999</v>
          </cell>
          <cell r="W12">
            <v>781</v>
          </cell>
          <cell r="X12">
            <v>60.16700000000003</v>
          </cell>
          <cell r="Y12">
            <v>-65.170000000000073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11</v>
          </cell>
          <cell r="F14">
            <v>11</v>
          </cell>
          <cell r="G14">
            <v>13</v>
          </cell>
          <cell r="H14">
            <v>11</v>
          </cell>
          <cell r="I14">
            <v>11</v>
          </cell>
          <cell r="J14">
            <v>14</v>
          </cell>
          <cell r="K14">
            <v>11</v>
          </cell>
          <cell r="L14">
            <v>13</v>
          </cell>
          <cell r="M14">
            <v>13</v>
          </cell>
          <cell r="N14">
            <v>11</v>
          </cell>
          <cell r="O14">
            <v>12</v>
          </cell>
          <cell r="P14">
            <v>13</v>
          </cell>
          <cell r="T14">
            <v>0</v>
          </cell>
          <cell r="U14">
            <v>144</v>
          </cell>
          <cell r="V14">
            <v>131.45067</v>
          </cell>
          <cell r="W14">
            <v>209.11</v>
          </cell>
          <cell r="X14">
            <v>12.549329999999998</v>
          </cell>
          <cell r="Y14">
            <v>-65.11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242.03953999999999</v>
          </cell>
          <cell r="W15">
            <v>135.60499999999999</v>
          </cell>
          <cell r="X15">
            <v>-8.0395399999999881</v>
          </cell>
          <cell r="Y15">
            <v>98.394999999999996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9.4376250000000006</v>
          </cell>
          <cell r="F16">
            <v>9.4376250000000006</v>
          </cell>
          <cell r="G16">
            <v>9.4376250000000006</v>
          </cell>
          <cell r="H16">
            <v>9.4376250000000006</v>
          </cell>
          <cell r="I16">
            <v>9.4376250000000006</v>
          </cell>
          <cell r="J16">
            <v>9.4376250000000006</v>
          </cell>
          <cell r="K16">
            <v>9.4376250000000006</v>
          </cell>
          <cell r="L16">
            <v>9.4376250000000006</v>
          </cell>
          <cell r="M16">
            <v>9.4376250000000006</v>
          </cell>
          <cell r="N16">
            <v>9.4376250000000006</v>
          </cell>
          <cell r="O16">
            <v>9.4376250000000006</v>
          </cell>
          <cell r="P16">
            <v>9.4376250000000006</v>
          </cell>
          <cell r="R16">
            <v>0</v>
          </cell>
          <cell r="S16">
            <v>0</v>
          </cell>
          <cell r="T16">
            <v>0</v>
          </cell>
          <cell r="U16">
            <v>113.25149999999998</v>
          </cell>
          <cell r="V16">
            <v>129.18393</v>
          </cell>
          <cell r="W16">
            <v>57.073</v>
          </cell>
          <cell r="X16">
            <v>-15.932430000000025</v>
          </cell>
          <cell r="Y16">
            <v>56.178499999999978</v>
          </cell>
        </row>
        <row r="17">
          <cell r="B17" t="str">
            <v>TOTAL REVENUE</v>
          </cell>
          <cell r="C17">
            <v>0</v>
          </cell>
          <cell r="E17">
            <v>378.29762500000004</v>
          </cell>
          <cell r="F17">
            <v>385.98762499999998</v>
          </cell>
          <cell r="G17">
            <v>503.337625</v>
          </cell>
          <cell r="H17">
            <v>409.05762500000003</v>
          </cell>
          <cell r="I17">
            <v>439.81762500000002</v>
          </cell>
          <cell r="J17">
            <v>588.92762500000003</v>
          </cell>
          <cell r="K17">
            <v>409.05762500000003</v>
          </cell>
          <cell r="L17">
            <v>464.88762500000007</v>
          </cell>
          <cell r="M17">
            <v>541.78762500000005</v>
          </cell>
          <cell r="N17">
            <v>424.43762500000003</v>
          </cell>
          <cell r="O17">
            <v>548.47762499999999</v>
          </cell>
          <cell r="P17">
            <v>541.78762500000005</v>
          </cell>
          <cell r="R17">
            <v>0</v>
          </cell>
          <cell r="S17">
            <v>0</v>
          </cell>
          <cell r="T17">
            <v>0</v>
          </cell>
          <cell r="U17">
            <v>5635.8615</v>
          </cell>
          <cell r="V17">
            <v>5323.5030799999995</v>
          </cell>
          <cell r="W17">
            <v>7009.0129999999999</v>
          </cell>
          <cell r="X17">
            <v>312.35842000000048</v>
          </cell>
          <cell r="Y17">
            <v>-1373.1514999999999</v>
          </cell>
        </row>
        <row r="19">
          <cell r="A19">
            <v>7</v>
          </cell>
          <cell r="B19" t="str">
            <v>Film Hire</v>
          </cell>
          <cell r="E19">
            <v>135.44520000000003</v>
          </cell>
          <cell r="F19">
            <v>138.52349999999998</v>
          </cell>
          <cell r="G19">
            <v>184.69800000000001</v>
          </cell>
          <cell r="H19">
            <v>147.75839999999999</v>
          </cell>
          <cell r="I19">
            <v>160.07160000000002</v>
          </cell>
          <cell r="J19">
            <v>218.55930000000001</v>
          </cell>
          <cell r="K19">
            <v>147.75839999999999</v>
          </cell>
          <cell r="L19">
            <v>169.30650000000003</v>
          </cell>
          <cell r="M19">
            <v>200.08950000000002</v>
          </cell>
          <cell r="N19">
            <v>153.91499999999999</v>
          </cell>
          <cell r="O19">
            <v>203.16780000000003</v>
          </cell>
          <cell r="P19">
            <v>200.08950000000002</v>
          </cell>
          <cell r="U19">
            <v>2059.3826999999997</v>
          </cell>
          <cell r="V19">
            <v>1947.7115999999999</v>
          </cell>
          <cell r="W19">
            <v>2722.3969999999999</v>
          </cell>
          <cell r="X19">
            <v>111.6710999999998</v>
          </cell>
          <cell r="Y19">
            <v>-663.01430000000028</v>
          </cell>
        </row>
        <row r="20">
          <cell r="A20">
            <v>8</v>
          </cell>
          <cell r="B20" t="str">
            <v>Concession Cost</v>
          </cell>
          <cell r="E20">
            <v>10.357600000000001</v>
          </cell>
          <cell r="F20">
            <v>10.593000000000002</v>
          </cell>
          <cell r="G20">
            <v>14.124000000000001</v>
          </cell>
          <cell r="H20">
            <v>11.299200000000001</v>
          </cell>
          <cell r="I20">
            <v>12.2408</v>
          </cell>
          <cell r="J20">
            <v>16.7134</v>
          </cell>
          <cell r="K20">
            <v>11.299200000000001</v>
          </cell>
          <cell r="L20">
            <v>12.947000000000001</v>
          </cell>
          <cell r="M20">
            <v>15.301</v>
          </cell>
          <cell r="N20">
            <v>11.77</v>
          </cell>
          <cell r="O20">
            <v>15.5364</v>
          </cell>
          <cell r="P20">
            <v>15.301</v>
          </cell>
          <cell r="T20">
            <v>0</v>
          </cell>
          <cell r="U20">
            <v>157.48259999999999</v>
          </cell>
          <cell r="V20">
            <v>138.25742000000002</v>
          </cell>
          <cell r="W20">
            <v>207.95099999999999</v>
          </cell>
          <cell r="X20">
            <v>19.225179999999966</v>
          </cell>
          <cell r="Y20">
            <v>-50.468400000000003</v>
          </cell>
        </row>
        <row r="21">
          <cell r="A21">
            <v>9</v>
          </cell>
          <cell r="B21" t="str">
            <v>Less Concession Rebates</v>
          </cell>
          <cell r="E21">
            <v>-1.1770000000000003</v>
          </cell>
          <cell r="F21">
            <v>-1.2037500000000001</v>
          </cell>
          <cell r="G21">
            <v>-1.605</v>
          </cell>
          <cell r="H21">
            <v>-1.284</v>
          </cell>
          <cell r="I21">
            <v>-1.391</v>
          </cell>
          <cell r="J21">
            <v>-1.8992500000000001</v>
          </cell>
          <cell r="K21">
            <v>-1.284</v>
          </cell>
          <cell r="L21">
            <v>-1.4712499999999999</v>
          </cell>
          <cell r="M21">
            <v>-1.73875</v>
          </cell>
          <cell r="N21">
            <v>-1.3374999999999999</v>
          </cell>
          <cell r="O21">
            <v>-1.7655000000000003</v>
          </cell>
          <cell r="P21">
            <v>-1.73875</v>
          </cell>
          <cell r="U21">
            <v>-17.89575</v>
          </cell>
          <cell r="V21">
            <v>-22.54</v>
          </cell>
          <cell r="W21">
            <v>-37.252000000000002</v>
          </cell>
          <cell r="X21">
            <v>4.6442499999999995</v>
          </cell>
          <cell r="Y21">
            <v>19.356249999999999</v>
          </cell>
        </row>
        <row r="22">
          <cell r="A22">
            <v>10</v>
          </cell>
          <cell r="B22" t="str">
            <v>Advertising Cost</v>
          </cell>
          <cell r="E22">
            <v>6.6994400000000009</v>
          </cell>
          <cell r="F22">
            <v>6.8516999999999992</v>
          </cell>
          <cell r="G22">
            <v>9.1356000000000002</v>
          </cell>
          <cell r="H22">
            <v>7.3084799999999994</v>
          </cell>
          <cell r="I22">
            <v>7.9175199999999997</v>
          </cell>
          <cell r="J22">
            <v>10.810459999999999</v>
          </cell>
          <cell r="K22">
            <v>7.3084799999999994</v>
          </cell>
          <cell r="L22">
            <v>8.3742999999999999</v>
          </cell>
          <cell r="M22">
            <v>9.8969000000000005</v>
          </cell>
          <cell r="N22">
            <v>7.6129999999999995</v>
          </cell>
          <cell r="O22">
            <v>10.049160000000001</v>
          </cell>
          <cell r="P22">
            <v>9.8969000000000005</v>
          </cell>
          <cell r="T22">
            <v>0</v>
          </cell>
          <cell r="U22">
            <v>101.86194</v>
          </cell>
          <cell r="V22">
            <v>105.82353999999998</v>
          </cell>
          <cell r="W22">
            <v>137.756</v>
          </cell>
          <cell r="X22">
            <v>-3.9615999999999758</v>
          </cell>
          <cell r="Y22">
            <v>-35.894059999999996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0.58256000000000008</v>
          </cell>
          <cell r="F23">
            <v>0.5958</v>
          </cell>
          <cell r="G23">
            <v>0.7944</v>
          </cell>
          <cell r="H23">
            <v>0.63551999999999997</v>
          </cell>
          <cell r="I23">
            <v>0.68847999999999998</v>
          </cell>
          <cell r="J23">
            <v>0.94003999999999999</v>
          </cell>
          <cell r="K23">
            <v>0.63551999999999997</v>
          </cell>
          <cell r="L23">
            <v>0.72820000000000007</v>
          </cell>
          <cell r="M23">
            <v>0.86060000000000003</v>
          </cell>
          <cell r="N23">
            <v>0.66200000000000003</v>
          </cell>
          <cell r="O23">
            <v>0.87384000000000006</v>
          </cell>
          <cell r="P23">
            <v>0.86060000000000003</v>
          </cell>
          <cell r="R23">
            <v>0</v>
          </cell>
          <cell r="S23">
            <v>0</v>
          </cell>
          <cell r="T23">
            <v>0</v>
          </cell>
          <cell r="U23">
            <v>8.8575599999999994</v>
          </cell>
          <cell r="V23">
            <v>8.3303318799999992</v>
          </cell>
          <cell r="W23">
            <v>11.652450000000002</v>
          </cell>
          <cell r="X23">
            <v>0.52722812000000019</v>
          </cell>
          <cell r="Y23">
            <v>-2.7948900000000023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28.146414076896551</v>
          </cell>
          <cell r="F24">
            <v>28.146414076896551</v>
          </cell>
          <cell r="G24">
            <v>29.246414076896553</v>
          </cell>
          <cell r="H24">
            <v>28.146414076896551</v>
          </cell>
          <cell r="I24">
            <v>28.146414076896551</v>
          </cell>
          <cell r="J24">
            <v>29.246414076896553</v>
          </cell>
          <cell r="K24">
            <v>28.681991757996553</v>
          </cell>
          <cell r="L24">
            <v>28.681991757996553</v>
          </cell>
          <cell r="M24">
            <v>29.781991757996554</v>
          </cell>
          <cell r="N24">
            <v>28.681991757996553</v>
          </cell>
          <cell r="O24">
            <v>29.781991757996554</v>
          </cell>
          <cell r="P24">
            <v>29.781991757996554</v>
          </cell>
          <cell r="R24">
            <v>0</v>
          </cell>
          <cell r="S24">
            <v>0</v>
          </cell>
          <cell r="T24">
            <v>0</v>
          </cell>
          <cell r="U24">
            <v>346.4704350093586</v>
          </cell>
          <cell r="V24">
            <v>437.46495666666669</v>
          </cell>
          <cell r="W24">
            <v>559.02800000000002</v>
          </cell>
          <cell r="X24">
            <v>-90.994521657308098</v>
          </cell>
          <cell r="Y24">
            <v>-212.55756499064142</v>
          </cell>
        </row>
        <row r="25">
          <cell r="B25" t="str">
            <v>TOTAL COST</v>
          </cell>
          <cell r="C25">
            <v>0</v>
          </cell>
          <cell r="E25">
            <v>180.05421407689659</v>
          </cell>
          <cell r="F25">
            <v>183.5066640768965</v>
          </cell>
          <cell r="G25">
            <v>236.39341407689656</v>
          </cell>
          <cell r="H25">
            <v>193.86401407689658</v>
          </cell>
          <cell r="I25">
            <v>207.67381407689658</v>
          </cell>
          <cell r="J25">
            <v>274.37036407689658</v>
          </cell>
          <cell r="K25">
            <v>194.39959175799657</v>
          </cell>
          <cell r="L25">
            <v>218.56674175799657</v>
          </cell>
          <cell r="M25">
            <v>254.19124175799655</v>
          </cell>
          <cell r="N25">
            <v>201.30449175799657</v>
          </cell>
          <cell r="O25">
            <v>257.64369175799658</v>
          </cell>
          <cell r="P25">
            <v>254.19124175799655</v>
          </cell>
          <cell r="R25">
            <v>0</v>
          </cell>
          <cell r="S25">
            <v>0</v>
          </cell>
          <cell r="T25">
            <v>0</v>
          </cell>
          <cell r="U25">
            <v>2656.1594850093588</v>
          </cell>
          <cell r="V25">
            <v>2615.0478485466665</v>
          </cell>
          <cell r="W25">
            <v>3601.5324499999997</v>
          </cell>
          <cell r="X25">
            <v>41.111636462692331</v>
          </cell>
          <cell r="Y25">
            <v>-945.37296499064087</v>
          </cell>
        </row>
        <row r="27">
          <cell r="B27" t="str">
            <v>GROSS MARGIN</v>
          </cell>
          <cell r="C27">
            <v>0</v>
          </cell>
          <cell r="E27">
            <v>198.24341092310345</v>
          </cell>
          <cell r="F27">
            <v>202.48096092310348</v>
          </cell>
          <cell r="G27">
            <v>266.94421092310347</v>
          </cell>
          <cell r="H27">
            <v>215.19361092310345</v>
          </cell>
          <cell r="I27">
            <v>232.14381092310344</v>
          </cell>
          <cell r="J27">
            <v>314.55726092310346</v>
          </cell>
          <cell r="K27">
            <v>214.65803324200346</v>
          </cell>
          <cell r="L27">
            <v>246.3208832420035</v>
          </cell>
          <cell r="M27">
            <v>287.59638324200353</v>
          </cell>
          <cell r="N27">
            <v>223.13313324200345</v>
          </cell>
          <cell r="O27">
            <v>290.83393324200341</v>
          </cell>
          <cell r="P27">
            <v>287.59638324200353</v>
          </cell>
          <cell r="R27">
            <v>0</v>
          </cell>
          <cell r="S27">
            <v>0</v>
          </cell>
          <cell r="T27">
            <v>0</v>
          </cell>
          <cell r="U27">
            <v>2979.7020149906416</v>
          </cell>
          <cell r="V27">
            <v>2708.455231453333</v>
          </cell>
          <cell r="W27">
            <v>3407.4805500000002</v>
          </cell>
          <cell r="X27">
            <v>271.2467835373086</v>
          </cell>
          <cell r="Y27">
            <v>-427.77853500935862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0.15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T29">
            <v>0</v>
          </cell>
          <cell r="U29">
            <v>0.15</v>
          </cell>
          <cell r="V29">
            <v>0.15</v>
          </cell>
          <cell r="W29">
            <v>1.8</v>
          </cell>
          <cell r="X29">
            <v>0</v>
          </cell>
          <cell r="Y29">
            <v>-1.65</v>
          </cell>
        </row>
        <row r="30">
          <cell r="A30">
            <v>14</v>
          </cell>
          <cell r="B30" t="str">
            <v>Light, Heat and Power</v>
          </cell>
          <cell r="E30">
            <v>15.3</v>
          </cell>
          <cell r="F30">
            <v>15.3</v>
          </cell>
          <cell r="G30">
            <v>15.3</v>
          </cell>
          <cell r="H30">
            <v>15.3</v>
          </cell>
          <cell r="I30">
            <v>15.3</v>
          </cell>
          <cell r="J30">
            <v>15.3</v>
          </cell>
          <cell r="K30">
            <v>15.3</v>
          </cell>
          <cell r="L30">
            <v>15.3</v>
          </cell>
          <cell r="M30">
            <v>15.3</v>
          </cell>
          <cell r="N30">
            <v>15.3</v>
          </cell>
          <cell r="O30">
            <v>15.3</v>
          </cell>
          <cell r="P30">
            <v>15.3</v>
          </cell>
          <cell r="Q30">
            <v>0</v>
          </cell>
          <cell r="R30">
            <v>19</v>
          </cell>
          <cell r="S30">
            <v>19</v>
          </cell>
          <cell r="T30">
            <v>0</v>
          </cell>
          <cell r="U30">
            <v>183.6</v>
          </cell>
          <cell r="V30">
            <v>195.09496000000001</v>
          </cell>
          <cell r="W30">
            <v>238.048</v>
          </cell>
          <cell r="X30">
            <v>-11.494959999999992</v>
          </cell>
          <cell r="Y30">
            <v>-54.447999999999979</v>
          </cell>
        </row>
        <row r="31">
          <cell r="A31">
            <v>15</v>
          </cell>
          <cell r="B31" t="str">
            <v>Repair &amp; Maintenance</v>
          </cell>
          <cell r="E31">
            <v>13.007</v>
          </cell>
          <cell r="F31">
            <v>13.007</v>
          </cell>
          <cell r="G31">
            <v>13.007</v>
          </cell>
          <cell r="H31">
            <v>18.006999999999998</v>
          </cell>
          <cell r="I31">
            <v>13.007</v>
          </cell>
          <cell r="J31">
            <v>13.007</v>
          </cell>
          <cell r="K31">
            <v>13.007</v>
          </cell>
          <cell r="L31">
            <v>13.007</v>
          </cell>
          <cell r="M31">
            <v>13.007</v>
          </cell>
          <cell r="N31">
            <v>13.007</v>
          </cell>
          <cell r="O31">
            <v>13.007</v>
          </cell>
          <cell r="P31">
            <v>13.007</v>
          </cell>
          <cell r="Q31">
            <v>0</v>
          </cell>
          <cell r="R31">
            <v>10.95</v>
          </cell>
          <cell r="S31">
            <v>10.95</v>
          </cell>
          <cell r="T31">
            <v>0</v>
          </cell>
          <cell r="U31">
            <v>161.08400000000003</v>
          </cell>
          <cell r="V31">
            <v>167.58857666666665</v>
          </cell>
          <cell r="W31">
            <v>234.62100000000001</v>
          </cell>
          <cell r="X31">
            <v>-6.5045766666666225</v>
          </cell>
          <cell r="Y31">
            <v>-73.536999999999978</v>
          </cell>
        </row>
        <row r="32">
          <cell r="A32">
            <v>16</v>
          </cell>
          <cell r="B32" t="str">
            <v>Common Area Maintenance</v>
          </cell>
          <cell r="E32">
            <v>18.853999999999999</v>
          </cell>
          <cell r="F32">
            <v>18.853999999999999</v>
          </cell>
          <cell r="G32">
            <v>18.853999999999999</v>
          </cell>
          <cell r="H32">
            <v>18.853999999999999</v>
          </cell>
          <cell r="I32">
            <v>18.853999999999999</v>
          </cell>
          <cell r="J32">
            <v>18.853999999999999</v>
          </cell>
          <cell r="K32">
            <v>18.853999999999999</v>
          </cell>
          <cell r="L32">
            <v>18.853999999999999</v>
          </cell>
          <cell r="M32">
            <v>18.853999999999999</v>
          </cell>
          <cell r="N32">
            <v>18.853999999999999</v>
          </cell>
          <cell r="O32">
            <v>18.853999999999999</v>
          </cell>
          <cell r="P32">
            <v>18.853999999999999</v>
          </cell>
          <cell r="T32">
            <v>0</v>
          </cell>
          <cell r="U32">
            <v>226.24799999999993</v>
          </cell>
          <cell r="V32">
            <v>228.36</v>
          </cell>
          <cell r="W32">
            <v>226.24799999999999</v>
          </cell>
          <cell r="X32">
            <v>-2.11200000000008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21.498704140768968</v>
          </cell>
          <cell r="F33">
            <v>21.687184140768967</v>
          </cell>
          <cell r="G33">
            <v>21.540104140768971</v>
          </cell>
          <cell r="H33">
            <v>21.687184140768967</v>
          </cell>
          <cell r="I33">
            <v>21.529104140768968</v>
          </cell>
          <cell r="J33">
            <v>21.698184140768969</v>
          </cell>
          <cell r="K33">
            <v>21.692539917579968</v>
          </cell>
          <cell r="L33">
            <v>44.319299917579961</v>
          </cell>
          <cell r="M33">
            <v>23.203539917579967</v>
          </cell>
          <cell r="N33">
            <v>21.534459917579969</v>
          </cell>
          <cell r="O33">
            <v>21.703539917579967</v>
          </cell>
          <cell r="P33">
            <v>21.545459917579969</v>
          </cell>
          <cell r="R33">
            <v>0</v>
          </cell>
          <cell r="S33">
            <v>0</v>
          </cell>
          <cell r="T33">
            <v>0</v>
          </cell>
          <cell r="U33">
            <v>283.63930435009365</v>
          </cell>
          <cell r="V33">
            <v>303.58615905333329</v>
          </cell>
          <cell r="W33">
            <v>397.10354999999998</v>
          </cell>
          <cell r="X33">
            <v>-19.946854703239637</v>
          </cell>
          <cell r="Y33">
            <v>-113.46424564990633</v>
          </cell>
        </row>
        <row r="35">
          <cell r="B35" t="str">
            <v>Total Overhead Expenses</v>
          </cell>
          <cell r="C35">
            <v>0</v>
          </cell>
          <cell r="E35">
            <v>68.809704140768972</v>
          </cell>
          <cell r="F35">
            <v>68.848184140768964</v>
          </cell>
          <cell r="G35">
            <v>68.701104140768976</v>
          </cell>
          <cell r="H35">
            <v>73.848184140768964</v>
          </cell>
          <cell r="I35">
            <v>68.690104140768966</v>
          </cell>
          <cell r="J35">
            <v>68.859184140768974</v>
          </cell>
          <cell r="K35">
            <v>68.853539917579965</v>
          </cell>
          <cell r="L35">
            <v>91.48029991757997</v>
          </cell>
          <cell r="M35">
            <v>70.364539917579975</v>
          </cell>
          <cell r="N35">
            <v>68.695459917579967</v>
          </cell>
          <cell r="O35">
            <v>68.864539917579975</v>
          </cell>
          <cell r="P35">
            <v>68.706459917579963</v>
          </cell>
          <cell r="R35">
            <v>0</v>
          </cell>
          <cell r="S35">
            <v>0</v>
          </cell>
          <cell r="T35">
            <v>0</v>
          </cell>
          <cell r="U35">
            <v>854.72130435009365</v>
          </cell>
          <cell r="V35">
            <v>894.77969571999995</v>
          </cell>
          <cell r="W35">
            <v>1097.8205500000001</v>
          </cell>
          <cell r="X35">
            <v>-40.058391369906303</v>
          </cell>
          <cell r="Y35">
            <v>-243.09924564990649</v>
          </cell>
        </row>
        <row r="37">
          <cell r="B37" t="str">
            <v>E.B.I.T.D.</v>
          </cell>
          <cell r="C37">
            <v>0</v>
          </cell>
          <cell r="E37">
            <v>129.43370678233447</v>
          </cell>
          <cell r="F37">
            <v>133.63277678233453</v>
          </cell>
          <cell r="G37">
            <v>198.24310678233451</v>
          </cell>
          <cell r="H37">
            <v>141.34542678233447</v>
          </cell>
          <cell r="I37">
            <v>163.45370678233448</v>
          </cell>
          <cell r="J37">
            <v>245.69807678233448</v>
          </cell>
          <cell r="K37">
            <v>145.8044933244235</v>
          </cell>
          <cell r="L37">
            <v>154.84058332442353</v>
          </cell>
          <cell r="M37">
            <v>217.23184332442355</v>
          </cell>
          <cell r="N37">
            <v>154.43767332442349</v>
          </cell>
          <cell r="O37">
            <v>221.96939332442344</v>
          </cell>
          <cell r="P37">
            <v>218.88992332442356</v>
          </cell>
          <cell r="R37">
            <v>0</v>
          </cell>
          <cell r="S37">
            <v>0</v>
          </cell>
          <cell r="T37">
            <v>0</v>
          </cell>
          <cell r="U37">
            <v>2124.9807106405478</v>
          </cell>
          <cell r="V37">
            <v>1813.6755357333332</v>
          </cell>
          <cell r="W37">
            <v>2309.66</v>
          </cell>
          <cell r="X37">
            <v>311.30517490721491</v>
          </cell>
          <cell r="Y37">
            <v>-184.67928935945213</v>
          </cell>
        </row>
        <row r="39">
          <cell r="A39">
            <v>18</v>
          </cell>
          <cell r="B39" t="str">
            <v>Depreciation</v>
          </cell>
          <cell r="E39">
            <v>28.535173611111112</v>
          </cell>
          <cell r="F39">
            <v>28.535173611111112</v>
          </cell>
          <cell r="G39">
            <v>28.535173611111112</v>
          </cell>
          <cell r="H39">
            <v>32.851840277777775</v>
          </cell>
          <cell r="I39">
            <v>32.851840277777775</v>
          </cell>
          <cell r="J39">
            <v>32.851840277777775</v>
          </cell>
          <cell r="K39">
            <v>32.851840277777775</v>
          </cell>
          <cell r="L39">
            <v>32.851840277777775</v>
          </cell>
          <cell r="M39">
            <v>32.851840277777775</v>
          </cell>
          <cell r="N39">
            <v>32.851840277777775</v>
          </cell>
          <cell r="O39">
            <v>32.851840277777775</v>
          </cell>
          <cell r="P39">
            <v>32.851840277777775</v>
          </cell>
          <cell r="Q39">
            <v>0</v>
          </cell>
          <cell r="R39" t="e">
            <v>#REF!</v>
          </cell>
          <cell r="S39" t="e">
            <v>#REF!</v>
          </cell>
          <cell r="T39">
            <v>0</v>
          </cell>
          <cell r="U39">
            <v>381.27208333333334</v>
          </cell>
          <cell r="V39">
            <v>336.86984990740746</v>
          </cell>
          <cell r="W39">
            <v>304.35500000000002</v>
          </cell>
          <cell r="X39">
            <v>44.402233425925886</v>
          </cell>
          <cell r="Y39">
            <v>76.917083333333323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2.63</v>
          </cell>
          <cell r="W40">
            <v>25.629000000000001</v>
          </cell>
          <cell r="X40">
            <v>-2.63</v>
          </cell>
          <cell r="Y40">
            <v>-25.629000000000001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691.80187095890415</v>
          </cell>
          <cell r="W41">
            <v>828.08799999999997</v>
          </cell>
          <cell r="X41">
            <v>-691.80187095890415</v>
          </cell>
          <cell r="Y41">
            <v>-828.08799999999997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10.766209999999997</v>
          </cell>
          <cell r="W43">
            <v>19.210999999999999</v>
          </cell>
          <cell r="X43">
            <v>-10.766209999999997</v>
          </cell>
          <cell r="Y43">
            <v>-19.210999999999999</v>
          </cell>
        </row>
        <row r="44">
          <cell r="B44" t="str">
            <v>E.B.T.</v>
          </cell>
          <cell r="C44">
            <v>0</v>
          </cell>
          <cell r="E44">
            <v>100.89853317122336</v>
          </cell>
          <cell r="F44">
            <v>105.09760317122343</v>
          </cell>
          <cell r="G44">
            <v>169.7079331712234</v>
          </cell>
          <cell r="H44">
            <v>108.4935865045567</v>
          </cell>
          <cell r="I44">
            <v>130.60186650455671</v>
          </cell>
          <cell r="J44">
            <v>212.84623650455671</v>
          </cell>
          <cell r="K44">
            <v>112.95265304664574</v>
          </cell>
          <cell r="L44">
            <v>121.98874304664577</v>
          </cell>
          <cell r="M44">
            <v>184.38000304664578</v>
          </cell>
          <cell r="N44">
            <v>121.58583304664572</v>
          </cell>
          <cell r="O44">
            <v>189.11755304664567</v>
          </cell>
          <cell r="P44">
            <v>186.0380830466458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1743.7086273072146</v>
          </cell>
          <cell r="V44">
            <v>793.14002486702134</v>
          </cell>
          <cell r="W44">
            <v>1170.799</v>
          </cell>
          <cell r="X44">
            <v>950.56860244019322</v>
          </cell>
          <cell r="Y44">
            <v>572.90962730721458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100.89853317122336</v>
          </cell>
          <cell r="F50">
            <v>105.09760317122343</v>
          </cell>
          <cell r="G50">
            <v>169.7079331712234</v>
          </cell>
          <cell r="H50">
            <v>108.4935865045567</v>
          </cell>
          <cell r="I50">
            <v>130.60186650455671</v>
          </cell>
          <cell r="J50">
            <v>212.84623650455671</v>
          </cell>
          <cell r="K50">
            <v>112.95265304664574</v>
          </cell>
          <cell r="L50">
            <v>121.98874304664577</v>
          </cell>
          <cell r="M50">
            <v>184.38000304664578</v>
          </cell>
          <cell r="N50">
            <v>121.58583304664572</v>
          </cell>
          <cell r="O50">
            <v>189.11755304664567</v>
          </cell>
          <cell r="P50">
            <v>186.0380830466458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1743.7086273072146</v>
          </cell>
          <cell r="V50">
            <v>793.14002486702134</v>
          </cell>
          <cell r="W50">
            <v>1170.799</v>
          </cell>
          <cell r="X50">
            <v>950.56860244019322</v>
          </cell>
          <cell r="Y50">
            <v>572.90962730721458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43.12</v>
          </cell>
          <cell r="F54">
            <v>44.1</v>
          </cell>
          <cell r="G54">
            <v>58.8</v>
          </cell>
          <cell r="H54">
            <v>47.04</v>
          </cell>
          <cell r="I54">
            <v>50.96</v>
          </cell>
          <cell r="J54">
            <v>69.58</v>
          </cell>
          <cell r="K54">
            <v>47.04</v>
          </cell>
          <cell r="L54">
            <v>53.9</v>
          </cell>
          <cell r="M54">
            <v>63.7</v>
          </cell>
          <cell r="N54">
            <v>49</v>
          </cell>
          <cell r="O54">
            <v>64.680000000000007</v>
          </cell>
          <cell r="P54">
            <v>63.7</v>
          </cell>
          <cell r="T54">
            <v>0</v>
          </cell>
          <cell r="U54">
            <v>655.62</v>
          </cell>
          <cell r="V54">
            <v>627.029</v>
          </cell>
          <cell r="W54">
            <v>859.61300000000006</v>
          </cell>
          <cell r="X54">
            <v>28.591000000000008</v>
          </cell>
          <cell r="Y54">
            <v>-203.99300000000005</v>
          </cell>
        </row>
        <row r="55">
          <cell r="A55">
            <v>28</v>
          </cell>
          <cell r="B55" t="str">
            <v>Admissions</v>
          </cell>
          <cell r="E55">
            <v>44</v>
          </cell>
          <cell r="F55">
            <v>45</v>
          </cell>
          <cell r="G55">
            <v>60</v>
          </cell>
          <cell r="H55">
            <v>48</v>
          </cell>
          <cell r="I55">
            <v>52</v>
          </cell>
          <cell r="J55">
            <v>71</v>
          </cell>
          <cell r="K55">
            <v>48</v>
          </cell>
          <cell r="L55">
            <v>55</v>
          </cell>
          <cell r="M55">
            <v>65</v>
          </cell>
          <cell r="N55">
            <v>50</v>
          </cell>
          <cell r="O55">
            <v>66</v>
          </cell>
          <cell r="P55">
            <v>65</v>
          </cell>
          <cell r="T55">
            <v>0</v>
          </cell>
          <cell r="U55">
            <v>669</v>
          </cell>
          <cell r="V55">
            <v>627.029</v>
          </cell>
          <cell r="W55">
            <v>859.61300000000006</v>
          </cell>
          <cell r="X55">
            <v>41.971000000000004</v>
          </cell>
          <cell r="Y55">
            <v>-190.61300000000006</v>
          </cell>
        </row>
        <row r="56">
          <cell r="B56" t="str">
            <v>Utilisation Rate</v>
          </cell>
          <cell r="E56">
            <v>0.20299697349966783</v>
          </cell>
          <cell r="F56">
            <v>0.20761054107920573</v>
          </cell>
          <cell r="G56">
            <v>0.22145124381781944</v>
          </cell>
          <cell r="H56">
            <v>0.22145124381781944</v>
          </cell>
          <cell r="I56">
            <v>0.23990551413597105</v>
          </cell>
          <cell r="J56">
            <v>0.26205063851775301</v>
          </cell>
          <cell r="K56">
            <v>0.22145124381781944</v>
          </cell>
          <cell r="L56">
            <v>0.25374621687458476</v>
          </cell>
          <cell r="M56">
            <v>0.23990551413597105</v>
          </cell>
          <cell r="N56">
            <v>0.23067837897689525</v>
          </cell>
          <cell r="O56">
            <v>0.2435963681996014</v>
          </cell>
          <cell r="P56">
            <v>0.29988189266996385</v>
          </cell>
          <cell r="Q56">
            <v>0</v>
          </cell>
          <cell r="R56" t="e">
            <v>#DIV/0!</v>
          </cell>
          <cell r="S56" t="e">
            <v>#DIV/0!</v>
          </cell>
          <cell r="T56" t="e">
            <v>#DIV/0!</v>
          </cell>
          <cell r="U56">
            <v>0.2374212854392968</v>
          </cell>
          <cell r="V56">
            <v>0.22252620506385176</v>
          </cell>
          <cell r="W56">
            <v>0.28884243675030963</v>
          </cell>
          <cell r="X56">
            <v>1.4895080375445041E-2</v>
          </cell>
          <cell r="Y56">
            <v>-5.1421151311012825E-2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6.6427006406402258</v>
          </cell>
          <cell r="W57">
            <v>6.7777302111531581</v>
          </cell>
          <cell r="X57">
            <v>-2.2700640640226588E-2</v>
          </cell>
          <cell r="Y57">
            <v>-0.15773021115315888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2.5406800479118481E-2</v>
          </cell>
          <cell r="W58">
            <v>2.3644126342528823E-2</v>
          </cell>
          <cell r="X58">
            <v>-2.4068004791184781E-3</v>
          </cell>
          <cell r="Y58">
            <v>-6.4412634252881962E-4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Q59">
            <v>0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0.17648917202892347</v>
          </cell>
          <cell r="W59">
            <v>0.21856466069142125</v>
          </cell>
          <cell r="X59">
            <v>1.8510827971076532E-2</v>
          </cell>
          <cell r="Y59">
            <v>-2.3564660691421241E-2</v>
          </cell>
        </row>
        <row r="60">
          <cell r="B60" t="str">
            <v>Concess. Rev per Patron (S$)</v>
          </cell>
          <cell r="C60" t="str">
            <v>N.A.</v>
          </cell>
          <cell r="E60">
            <v>1.07</v>
          </cell>
          <cell r="F60">
            <v>1.07</v>
          </cell>
          <cell r="G60">
            <v>1.07</v>
          </cell>
          <cell r="H60">
            <v>1.07</v>
          </cell>
          <cell r="I60">
            <v>1.07</v>
          </cell>
          <cell r="J60">
            <v>1.07</v>
          </cell>
          <cell r="K60">
            <v>1.07</v>
          </cell>
          <cell r="L60">
            <v>1.07</v>
          </cell>
          <cell r="M60">
            <v>1.07</v>
          </cell>
          <cell r="N60">
            <v>1.07</v>
          </cell>
          <cell r="O60">
            <v>1.07</v>
          </cell>
          <cell r="P60">
            <v>1.07</v>
          </cell>
          <cell r="R60" t="str">
            <v>N.A.</v>
          </cell>
          <cell r="S60" t="str">
            <v>N.A.</v>
          </cell>
          <cell r="U60">
            <v>1.07</v>
          </cell>
          <cell r="V60">
            <v>1.045666149412547</v>
          </cell>
          <cell r="W60">
            <v>0.90854838165546581</v>
          </cell>
          <cell r="X60">
            <v>2.4333850587452854E-2</v>
          </cell>
          <cell r="Y60">
            <v>0.16145161834453403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0.46761920846783839</v>
          </cell>
          <cell r="W61">
            <v>0.46726602559976654</v>
          </cell>
          <cell r="X61">
            <v>-2.6192084678384187E-3</v>
          </cell>
          <cell r="Y61">
            <v>-2.2660255997665746E-3</v>
          </cell>
        </row>
        <row r="62">
          <cell r="B62" t="str">
            <v>Direct Payroll : Net Box</v>
          </cell>
          <cell r="C62" t="str">
            <v>N.A.</v>
          </cell>
          <cell r="E62">
            <v>9.6630095018183704E-2</v>
          </cell>
          <cell r="F62">
            <v>9.4482759573335198E-2</v>
          </cell>
          <cell r="G62">
            <v>7.3631455379900693E-2</v>
          </cell>
          <cell r="H62">
            <v>8.8577587100001742E-2</v>
          </cell>
          <cell r="I62">
            <v>8.176392655384776E-2</v>
          </cell>
          <cell r="J62">
            <v>6.2223765109775231E-2</v>
          </cell>
          <cell r="K62">
            <v>9.026306570366488E-2</v>
          </cell>
          <cell r="L62">
            <v>7.8775039159562077E-2</v>
          </cell>
          <cell r="M62">
            <v>6.9212158396459569E-2</v>
          </cell>
          <cell r="N62">
            <v>8.6652543075518285E-2</v>
          </cell>
          <cell r="O62">
            <v>6.8163489329846547E-2</v>
          </cell>
          <cell r="P62">
            <v>6.9212158396459569E-2</v>
          </cell>
          <cell r="Q62">
            <v>0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7.82315750634167E-2</v>
          </cell>
          <cell r="V62">
            <v>0.1050294185077934</v>
          </cell>
          <cell r="W62">
            <v>9.5950293715055632E-2</v>
          </cell>
          <cell r="X62">
            <v>-2.6797843444376704E-2</v>
          </cell>
          <cell r="Y62">
            <v>-1.7718718651638932E-2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8.3184815217214061E-2</v>
          </cell>
          <cell r="F63">
            <v>8.133626376794266E-2</v>
          </cell>
          <cell r="G63">
            <v>6.3386246373854691E-2</v>
          </cell>
          <cell r="H63">
            <v>7.6252747282446229E-2</v>
          </cell>
          <cell r="I63">
            <v>7.0387151337642673E-2</v>
          </cell>
          <cell r="J63">
            <v>5.356584200607438E-2</v>
          </cell>
          <cell r="K63">
            <v>7.7703705456210859E-2</v>
          </cell>
          <cell r="L63">
            <v>6.7814142943602204E-2</v>
          </cell>
          <cell r="M63">
            <v>5.958185807341513E-2</v>
          </cell>
          <cell r="N63">
            <v>7.459555723796242E-2</v>
          </cell>
          <cell r="O63">
            <v>5.8679102648060352E-2</v>
          </cell>
          <cell r="P63">
            <v>5.958185807341513E-2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6.7346297388793053E-2</v>
          </cell>
          <cell r="V63">
            <v>9.0744758237919707E-2</v>
          </cell>
          <cell r="W63">
            <v>8.4608591352648047E-2</v>
          </cell>
          <cell r="X63">
            <v>-2.3398460849126654E-2</v>
          </cell>
          <cell r="Y63">
            <v>-1.7262293963854994E-2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0.63969122902037612</v>
          </cell>
          <cell r="F64">
            <v>0.62547586837547897</v>
          </cell>
          <cell r="G64">
            <v>0.48744023461494257</v>
          </cell>
          <cell r="H64">
            <v>0.58638362660201149</v>
          </cell>
          <cell r="I64">
            <v>0.5412771937864721</v>
          </cell>
          <cell r="J64">
            <v>0.41192132502671203</v>
          </cell>
          <cell r="K64">
            <v>0.59754149495826148</v>
          </cell>
          <cell r="L64">
            <v>0.52149075923630095</v>
          </cell>
          <cell r="M64">
            <v>0.45818448858456234</v>
          </cell>
          <cell r="N64">
            <v>0.573639835159931</v>
          </cell>
          <cell r="O64">
            <v>0.45124229936358418</v>
          </cell>
          <cell r="P64">
            <v>0.45818448858456234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0.51789302691981853</v>
          </cell>
          <cell r="V64">
            <v>0.69767898560778963</v>
          </cell>
          <cell r="W64">
            <v>0.65032520448155151</v>
          </cell>
          <cell r="X64">
            <v>-0.17978595868797109</v>
          </cell>
          <cell r="Y64">
            <v>-0.13243217756173298</v>
          </cell>
        </row>
        <row r="65">
          <cell r="B65" t="str">
            <v>Gross Margin :Total Rev</v>
          </cell>
          <cell r="C65" t="str">
            <v>N.A.</v>
          </cell>
          <cell r="E65">
            <v>0.52404085519464583</v>
          </cell>
          <cell r="F65">
            <v>0.52457889271217828</v>
          </cell>
          <cell r="G65">
            <v>0.53034821492453199</v>
          </cell>
          <cell r="H65">
            <v>0.52607162847313615</v>
          </cell>
          <cell r="I65">
            <v>0.52781834498584146</v>
          </cell>
          <cell r="J65">
            <v>0.53411870588190435</v>
          </cell>
          <cell r="K65">
            <v>0.52476233206019185</v>
          </cell>
          <cell r="L65">
            <v>0.52985037672707136</v>
          </cell>
          <cell r="M65">
            <v>0.53082863094557298</v>
          </cell>
          <cell r="N65">
            <v>0.52571478139338712</v>
          </cell>
          <cell r="O65">
            <v>0.53025669596276315</v>
          </cell>
          <cell r="P65">
            <v>0.53082863094557298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0.52870391066044498</v>
          </cell>
          <cell r="V65">
            <v>0.50877311250721269</v>
          </cell>
          <cell r="W65">
            <v>0.4861569738849108</v>
          </cell>
          <cell r="X65">
            <v>1.9930798153232288E-2</v>
          </cell>
          <cell r="Y65">
            <v>4.2546936775534172E-2</v>
          </cell>
        </row>
        <row r="66">
          <cell r="B66" t="str">
            <v>G&amp;A % of total revenue</v>
          </cell>
          <cell r="C66" t="str">
            <v>N.A.</v>
          </cell>
          <cell r="E66">
            <v>5.6830132467178364E-2</v>
          </cell>
          <cell r="F66">
            <v>5.6186216179259549E-2</v>
          </cell>
          <cell r="G66">
            <v>4.2794544001690658E-2</v>
          </cell>
          <cell r="H66">
            <v>5.3017430345587528E-2</v>
          </cell>
          <cell r="I66">
            <v>4.8950071386450161E-2</v>
          </cell>
          <cell r="J66">
            <v>3.684354956310458E-2</v>
          </cell>
          <cell r="K66">
            <v>5.3030523309716977E-2</v>
          </cell>
          <cell r="L66">
            <v>9.5333361299045016E-2</v>
          </cell>
          <cell r="M66">
            <v>4.2827740699282239E-2</v>
          </cell>
          <cell r="N66">
            <v>5.0736453719389202E-2</v>
          </cell>
          <cell r="O66">
            <v>3.9570511044238074E-2</v>
          </cell>
          <cell r="P66">
            <v>3.9767353338090672E-2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5.0327586004392348E-2</v>
          </cell>
          <cell r="V66">
            <v>5.7027516372420942E-2</v>
          </cell>
          <cell r="W66">
            <v>5.6656129757499375E-2</v>
          </cell>
          <cell r="X66">
            <v>-6.6999303680285935E-3</v>
          </cell>
          <cell r="Y66">
            <v>-6.3285437531070271E-3</v>
          </cell>
        </row>
        <row r="67">
          <cell r="B67" t="str">
            <v>E.B.I.T.D. : Total Rev</v>
          </cell>
          <cell r="C67" t="str">
            <v>N.A.</v>
          </cell>
          <cell r="E67">
            <v>0.34214781756119789</v>
          </cell>
          <cell r="F67">
            <v>0.34621000293036475</v>
          </cell>
          <cell r="G67">
            <v>0.39385711883218449</v>
          </cell>
          <cell r="H67">
            <v>0.34553915669542762</v>
          </cell>
          <cell r="I67">
            <v>0.37163973768066816</v>
          </cell>
          <cell r="J67">
            <v>0.41719570682787122</v>
          </cell>
          <cell r="K67">
            <v>0.3564399840350696</v>
          </cell>
          <cell r="L67">
            <v>0.33307099392982015</v>
          </cell>
          <cell r="M67">
            <v>0.40095386697771757</v>
          </cell>
          <cell r="N67">
            <v>0.36386423876635227</v>
          </cell>
          <cell r="O67">
            <v>0.40470090885553162</v>
          </cell>
          <cell r="P67">
            <v>0.4040142543389092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0.37704629729466344</v>
          </cell>
          <cell r="V67">
            <v>0.34069211729155857</v>
          </cell>
          <cell r="W67">
            <v>0.32952713884251605</v>
          </cell>
          <cell r="X67">
            <v>3.6354180003104863E-2</v>
          </cell>
          <cell r="Y67">
            <v>4.7519158452147381E-2</v>
          </cell>
        </row>
        <row r="68">
          <cell r="B68" t="str">
            <v>No of Concession Transactions</v>
          </cell>
          <cell r="E68">
            <v>10</v>
          </cell>
          <cell r="F68">
            <v>12</v>
          </cell>
          <cell r="G68">
            <v>13</v>
          </cell>
          <cell r="H68">
            <v>11</v>
          </cell>
          <cell r="I68">
            <v>13</v>
          </cell>
          <cell r="J68">
            <v>18</v>
          </cell>
          <cell r="K68">
            <v>10</v>
          </cell>
          <cell r="L68">
            <v>13</v>
          </cell>
          <cell r="M68">
            <v>15.744</v>
          </cell>
          <cell r="N68">
            <v>13</v>
          </cell>
          <cell r="O68">
            <v>16</v>
          </cell>
          <cell r="P68">
            <v>15</v>
          </cell>
          <cell r="Q68">
            <v>0</v>
          </cell>
          <cell r="R68">
            <v>20.744</v>
          </cell>
          <cell r="S68">
            <v>21.744</v>
          </cell>
          <cell r="T68">
            <v>22.744</v>
          </cell>
          <cell r="U68">
            <v>159.744</v>
          </cell>
          <cell r="V68">
            <v>149.744</v>
          </cell>
          <cell r="W68">
            <v>0</v>
          </cell>
          <cell r="X68">
            <v>10</v>
          </cell>
          <cell r="Y68">
            <v>159.744</v>
          </cell>
        </row>
        <row r="69">
          <cell r="B69" t="str">
            <v>Strike Rate %(No of Trans/Adm)</v>
          </cell>
          <cell r="E69">
            <v>0.22727272727272727</v>
          </cell>
          <cell r="F69">
            <v>0.26666666666666666</v>
          </cell>
          <cell r="G69">
            <v>0.21666666666666667</v>
          </cell>
          <cell r="H69">
            <v>0.22916666666666666</v>
          </cell>
          <cell r="I69">
            <v>0.25</v>
          </cell>
          <cell r="J69">
            <v>0.25352112676056338</v>
          </cell>
          <cell r="K69">
            <v>0.20833333333333334</v>
          </cell>
          <cell r="L69">
            <v>0.23636363636363636</v>
          </cell>
          <cell r="M69">
            <v>0.24221538461538461</v>
          </cell>
          <cell r="N69">
            <v>0.26</v>
          </cell>
          <cell r="O69">
            <v>0.24242424242424243</v>
          </cell>
          <cell r="P69">
            <v>0.23076923076923078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0.23878026905829597</v>
          </cell>
          <cell r="V69">
            <v>0.23881511062486743</v>
          </cell>
          <cell r="W69">
            <v>0</v>
          </cell>
          <cell r="X69">
            <v>-3.4841566571464089E-5</v>
          </cell>
          <cell r="Y69">
            <v>0.23878026905829597</v>
          </cell>
        </row>
        <row r="70">
          <cell r="B70" t="str">
            <v>Ave Sales (Total Sale/No of Trans) (S$)</v>
          </cell>
          <cell r="E70">
            <v>4.7080000000000002</v>
          </cell>
          <cell r="F70">
            <v>4.0125000000000002</v>
          </cell>
          <cell r="G70">
            <v>4.9384615384615387</v>
          </cell>
          <cell r="H70">
            <v>4.669090909090909</v>
          </cell>
          <cell r="I70">
            <v>4.28</v>
          </cell>
          <cell r="J70">
            <v>4.2205555555555554</v>
          </cell>
          <cell r="K70">
            <v>5.1360000000000001</v>
          </cell>
          <cell r="L70">
            <v>4.5269230769230768</v>
          </cell>
          <cell r="M70">
            <v>4.4175558943089426</v>
          </cell>
          <cell r="N70">
            <v>4.115384615384615</v>
          </cell>
          <cell r="O70">
            <v>4.4137500000000003</v>
          </cell>
          <cell r="P70">
            <v>4.6366666666666667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4.481107271634615</v>
          </cell>
          <cell r="V70">
            <v>4.3785594080564154</v>
          </cell>
          <cell r="W70" t="str">
            <v>N.A.</v>
          </cell>
          <cell r="X70">
            <v>0.10254786357819956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21</v>
          </cell>
          <cell r="F71">
            <v>21</v>
          </cell>
          <cell r="G71">
            <v>28</v>
          </cell>
          <cell r="H71">
            <v>23</v>
          </cell>
          <cell r="I71">
            <v>24</v>
          </cell>
          <cell r="J71">
            <v>34</v>
          </cell>
          <cell r="K71">
            <v>20</v>
          </cell>
          <cell r="L71">
            <v>24</v>
          </cell>
          <cell r="M71">
            <v>30</v>
          </cell>
          <cell r="N71">
            <v>22</v>
          </cell>
          <cell r="O71">
            <v>30</v>
          </cell>
          <cell r="P71">
            <v>30</v>
          </cell>
          <cell r="Q71">
            <v>0</v>
          </cell>
          <cell r="R71">
            <v>43.881999999999998</v>
          </cell>
          <cell r="S71">
            <v>44.881999999999998</v>
          </cell>
          <cell r="T71">
            <v>45.881999999999998</v>
          </cell>
          <cell r="U71">
            <v>307</v>
          </cell>
          <cell r="V71">
            <v>286</v>
          </cell>
          <cell r="W71">
            <v>0</v>
          </cell>
          <cell r="X71">
            <v>21</v>
          </cell>
          <cell r="Y71">
            <v>307</v>
          </cell>
        </row>
        <row r="72">
          <cell r="B72" t="str">
            <v>Combo Sales as % of Total Sales</v>
          </cell>
          <cell r="E72">
            <v>0.44604927782497872</v>
          </cell>
          <cell r="F72">
            <v>0.43613707165109028</v>
          </cell>
          <cell r="G72">
            <v>0.43613707165109034</v>
          </cell>
          <cell r="H72">
            <v>0.44781931464174457</v>
          </cell>
          <cell r="I72">
            <v>0.43134435657800141</v>
          </cell>
          <cell r="J72">
            <v>0.44754508358562589</v>
          </cell>
          <cell r="K72">
            <v>0.38940809968847351</v>
          </cell>
          <cell r="L72">
            <v>0.4078164825828377</v>
          </cell>
          <cell r="M72">
            <v>0.43134435657800146</v>
          </cell>
          <cell r="N72">
            <v>0.41121495327102803</v>
          </cell>
          <cell r="O72">
            <v>0.42480883602378927</v>
          </cell>
          <cell r="P72">
            <v>0.43134435657800146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0.42887277705600496</v>
          </cell>
          <cell r="V72">
            <v>0.43619969405014475</v>
          </cell>
          <cell r="W72">
            <v>0</v>
          </cell>
          <cell r="X72">
            <v>-7.3269169941397871E-3</v>
          </cell>
          <cell r="Y72">
            <v>0.42887277705600496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>
            <v>0</v>
          </cell>
          <cell r="R73">
            <v>4.5860000000000003</v>
          </cell>
          <cell r="S73">
            <v>4.5860000000000003</v>
          </cell>
          <cell r="T73">
            <v>4.5860000000000003</v>
          </cell>
          <cell r="U73">
            <v>69.319999999999993</v>
          </cell>
          <cell r="V73">
            <v>64.545000000000002</v>
          </cell>
          <cell r="W73">
            <v>0</v>
          </cell>
          <cell r="X73">
            <v>4.7749999999999915</v>
          </cell>
          <cell r="Y73">
            <v>69.319999999999993</v>
          </cell>
        </row>
        <row r="74">
          <cell r="B74" t="str">
            <v>Admissions/labour hour paid</v>
          </cell>
          <cell r="E74">
            <v>9.2146596858638734</v>
          </cell>
          <cell r="F74">
            <v>9.4260578131545874</v>
          </cell>
          <cell r="G74">
            <v>8.3507306889352826</v>
          </cell>
          <cell r="H74">
            <v>9.6</v>
          </cell>
          <cell r="I74">
            <v>10.4</v>
          </cell>
          <cell r="J74">
            <v>10.142857142857142</v>
          </cell>
          <cell r="K74">
            <v>9.6</v>
          </cell>
          <cell r="L74">
            <v>9.1666666666666661</v>
          </cell>
          <cell r="M74">
            <v>9.2857142857142865</v>
          </cell>
          <cell r="N74">
            <v>10.902747492368077</v>
          </cell>
          <cell r="O74">
            <v>9.4285714285714288</v>
          </cell>
          <cell r="P74">
            <v>10.833333333333334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9.6508944027697652</v>
          </cell>
          <cell r="V74">
            <v>9.7146022155085596</v>
          </cell>
          <cell r="W74" t="str">
            <v>N.A.</v>
          </cell>
          <cell r="X74">
            <v>-6.3707812738794445E-2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45.376930000000002</v>
          </cell>
          <cell r="W77">
            <v>3.8690000000000002</v>
          </cell>
          <cell r="X77">
            <v>-18.189430000000002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4</v>
          </cell>
          <cell r="F78">
            <v>4</v>
          </cell>
          <cell r="G78">
            <v>4</v>
          </cell>
          <cell r="H78">
            <v>4</v>
          </cell>
          <cell r="I78">
            <v>4</v>
          </cell>
          <cell r="J78">
            <v>4</v>
          </cell>
          <cell r="K78">
            <v>4</v>
          </cell>
          <cell r="L78">
            <v>4</v>
          </cell>
          <cell r="M78">
            <v>4</v>
          </cell>
          <cell r="N78">
            <v>4</v>
          </cell>
          <cell r="O78">
            <v>4</v>
          </cell>
          <cell r="P78">
            <v>4</v>
          </cell>
          <cell r="T78">
            <v>0</v>
          </cell>
          <cell r="U78">
            <v>48</v>
          </cell>
          <cell r="V78">
            <v>32.137</v>
          </cell>
          <cell r="W78">
            <v>0</v>
          </cell>
          <cell r="X78">
            <v>15.863</v>
          </cell>
          <cell r="Y78">
            <v>48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51.67</v>
          </cell>
          <cell r="W82">
            <v>53.204000000000001</v>
          </cell>
          <cell r="X82">
            <v>-13.606000000000002</v>
          </cell>
          <cell r="Y82">
            <v>-15.14</v>
          </cell>
        </row>
        <row r="83">
          <cell r="C83">
            <v>0</v>
          </cell>
          <cell r="E83">
            <v>9.4376250000000006</v>
          </cell>
          <cell r="F83">
            <v>9.4376250000000006</v>
          </cell>
          <cell r="G83">
            <v>9.4376250000000006</v>
          </cell>
          <cell r="H83">
            <v>9.4376250000000006</v>
          </cell>
          <cell r="I83">
            <v>9.4376250000000006</v>
          </cell>
          <cell r="J83">
            <v>9.4376250000000006</v>
          </cell>
          <cell r="K83">
            <v>9.4376250000000006</v>
          </cell>
          <cell r="L83">
            <v>9.4376250000000006</v>
          </cell>
          <cell r="M83">
            <v>9.4376250000000006</v>
          </cell>
          <cell r="N83">
            <v>9.4376250000000006</v>
          </cell>
          <cell r="O83">
            <v>9.4376250000000006</v>
          </cell>
          <cell r="P83">
            <v>9.4376250000000006</v>
          </cell>
          <cell r="R83">
            <v>0</v>
          </cell>
          <cell r="S83">
            <v>0</v>
          </cell>
          <cell r="T83">
            <v>0</v>
          </cell>
          <cell r="U83">
            <v>113.25149999999999</v>
          </cell>
          <cell r="V83">
            <v>129.18393</v>
          </cell>
          <cell r="W83">
            <v>57.073</v>
          </cell>
          <cell r="X83">
            <v>-15.932430000000011</v>
          </cell>
          <cell r="Y83">
            <v>56.178499999999993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0.58256000000000008</v>
          </cell>
          <cell r="F86">
            <v>0.5958</v>
          </cell>
          <cell r="G86">
            <v>0.7944</v>
          </cell>
          <cell r="H86">
            <v>0.63551999999999997</v>
          </cell>
          <cell r="I86">
            <v>0.68847999999999998</v>
          </cell>
          <cell r="J86">
            <v>0.94003999999999999</v>
          </cell>
          <cell r="K86">
            <v>0.63551999999999997</v>
          </cell>
          <cell r="L86">
            <v>0.72820000000000007</v>
          </cell>
          <cell r="M86">
            <v>0.86060000000000003</v>
          </cell>
          <cell r="N86">
            <v>0.66200000000000003</v>
          </cell>
          <cell r="O86">
            <v>0.87384000000000006</v>
          </cell>
          <cell r="P86">
            <v>0.86060000000000003</v>
          </cell>
          <cell r="U86">
            <v>8.8575599999999994</v>
          </cell>
          <cell r="V86">
            <v>8.3303318799999992</v>
          </cell>
          <cell r="W86">
            <v>11.652450000000002</v>
          </cell>
          <cell r="X86">
            <v>0.52722812000000019</v>
          </cell>
          <cell r="Y86">
            <v>-2.7948900000000023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0.58256000000000008</v>
          </cell>
          <cell r="F91">
            <v>0.5958</v>
          </cell>
          <cell r="G91">
            <v>0.7944</v>
          </cell>
          <cell r="H91">
            <v>0.63551999999999997</v>
          </cell>
          <cell r="I91">
            <v>0.68847999999999998</v>
          </cell>
          <cell r="J91">
            <v>0.94003999999999999</v>
          </cell>
          <cell r="K91">
            <v>0.63551999999999997</v>
          </cell>
          <cell r="L91">
            <v>0.72820000000000007</v>
          </cell>
          <cell r="M91">
            <v>0.86060000000000003</v>
          </cell>
          <cell r="N91">
            <v>0.66200000000000003</v>
          </cell>
          <cell r="O91">
            <v>0.87384000000000006</v>
          </cell>
          <cell r="P91">
            <v>0.86060000000000003</v>
          </cell>
          <cell r="U91">
            <v>8.8575599999999994</v>
          </cell>
          <cell r="V91">
            <v>8.3303318799999992</v>
          </cell>
          <cell r="W91">
            <v>11.652450000000002</v>
          </cell>
          <cell r="X91">
            <v>0.52722812000000019</v>
          </cell>
          <cell r="Y91">
            <v>-2.7948900000000023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26.039009076896551</v>
          </cell>
          <cell r="F94">
            <v>26.039009076896551</v>
          </cell>
          <cell r="G94">
            <v>27.139009076896553</v>
          </cell>
          <cell r="H94">
            <v>26.039009076896551</v>
          </cell>
          <cell r="I94">
            <v>26.039009076896551</v>
          </cell>
          <cell r="J94">
            <v>27.139009076896553</v>
          </cell>
          <cell r="K94">
            <v>26.574586757996553</v>
          </cell>
          <cell r="L94">
            <v>26.574586757996553</v>
          </cell>
          <cell r="M94">
            <v>27.674586757996554</v>
          </cell>
          <cell r="N94">
            <v>26.574586757996553</v>
          </cell>
          <cell r="O94">
            <v>27.674586757996554</v>
          </cell>
          <cell r="P94">
            <v>27.674586757996554</v>
          </cell>
          <cell r="T94">
            <v>0</v>
          </cell>
          <cell r="U94">
            <v>321.18157500935865</v>
          </cell>
          <cell r="V94">
            <v>402.18689499999999</v>
          </cell>
          <cell r="W94">
            <v>496.024</v>
          </cell>
          <cell r="X94">
            <v>-81.00531999064134</v>
          </cell>
          <cell r="Y94">
            <v>-174.84242499064135</v>
          </cell>
        </row>
        <row r="95">
          <cell r="A95">
            <v>67</v>
          </cell>
          <cell r="B95" t="str">
            <v>Bonus/Commission</v>
          </cell>
          <cell r="E95">
            <v>1.0834049999999997</v>
          </cell>
          <cell r="F95">
            <v>1.0834049999999997</v>
          </cell>
          <cell r="G95">
            <v>1.0834049999999997</v>
          </cell>
          <cell r="H95">
            <v>1.0834049999999997</v>
          </cell>
          <cell r="I95">
            <v>1.0834049999999997</v>
          </cell>
          <cell r="J95">
            <v>1.0834049999999997</v>
          </cell>
          <cell r="K95">
            <v>1.0834049999999997</v>
          </cell>
          <cell r="L95">
            <v>1.0834049999999997</v>
          </cell>
          <cell r="M95">
            <v>1.0834049999999997</v>
          </cell>
          <cell r="N95">
            <v>1.0834049999999997</v>
          </cell>
          <cell r="O95">
            <v>1.0834049999999997</v>
          </cell>
          <cell r="P95">
            <v>1.0834049999999997</v>
          </cell>
          <cell r="T95">
            <v>0</v>
          </cell>
          <cell r="U95">
            <v>13.000859999999994</v>
          </cell>
          <cell r="V95">
            <v>19.007021666666667</v>
          </cell>
          <cell r="W95">
            <v>32.884</v>
          </cell>
          <cell r="X95">
            <v>-6.0061616666666726</v>
          </cell>
          <cell r="Y95">
            <v>-19.883140000000004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10.016299999999998</v>
          </cell>
          <cell r="W97">
            <v>18.571000000000002</v>
          </cell>
          <cell r="X97">
            <v>-3.3802999999999974</v>
          </cell>
          <cell r="Y97">
            <v>-11.935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6.2547400000000017</v>
          </cell>
          <cell r="W98">
            <v>11.548999999999999</v>
          </cell>
          <cell r="X98">
            <v>-0.60274000000000161</v>
          </cell>
          <cell r="Y98">
            <v>-5.8969999999999994</v>
          </cell>
        </row>
        <row r="99">
          <cell r="C99">
            <v>0</v>
          </cell>
          <cell r="E99">
            <v>28.146414076896551</v>
          </cell>
          <cell r="F99">
            <v>28.146414076896551</v>
          </cell>
          <cell r="G99">
            <v>29.246414076896553</v>
          </cell>
          <cell r="H99">
            <v>28.146414076896551</v>
          </cell>
          <cell r="I99">
            <v>28.146414076896551</v>
          </cell>
          <cell r="J99">
            <v>29.246414076896553</v>
          </cell>
          <cell r="K99">
            <v>28.681991757996553</v>
          </cell>
          <cell r="L99">
            <v>28.681991757996553</v>
          </cell>
          <cell r="M99">
            <v>29.781991757996554</v>
          </cell>
          <cell r="N99">
            <v>28.681991757996553</v>
          </cell>
          <cell r="O99">
            <v>29.781991757996554</v>
          </cell>
          <cell r="P99">
            <v>29.781991757996554</v>
          </cell>
          <cell r="R99">
            <v>0</v>
          </cell>
          <cell r="S99">
            <v>0</v>
          </cell>
          <cell r="T99">
            <v>0</v>
          </cell>
          <cell r="U99">
            <v>346.47043500935865</v>
          </cell>
          <cell r="V99">
            <v>437.46495666666669</v>
          </cell>
          <cell r="W99">
            <v>559.02800000000002</v>
          </cell>
          <cell r="X99">
            <v>-90.994521657308042</v>
          </cell>
          <cell r="Y99">
            <v>-212.55756499064137</v>
          </cell>
        </row>
        <row r="100"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1.38124</v>
          </cell>
          <cell r="F102">
            <v>1.38124</v>
          </cell>
          <cell r="G102">
            <v>1.38124</v>
          </cell>
          <cell r="H102">
            <v>1.38124</v>
          </cell>
          <cell r="I102">
            <v>1.38124</v>
          </cell>
          <cell r="J102">
            <v>1.38124</v>
          </cell>
          <cell r="K102">
            <v>1.38124</v>
          </cell>
          <cell r="L102">
            <v>1.38124</v>
          </cell>
          <cell r="M102">
            <v>1.38124</v>
          </cell>
          <cell r="N102">
            <v>1.38124</v>
          </cell>
          <cell r="O102">
            <v>1.38124</v>
          </cell>
          <cell r="P102">
            <v>1.38124</v>
          </cell>
          <cell r="T102">
            <v>0</v>
          </cell>
          <cell r="U102">
            <v>16.57488</v>
          </cell>
          <cell r="V102">
            <v>16.582999999999995</v>
          </cell>
          <cell r="W102">
            <v>18.888000000000002</v>
          </cell>
          <cell r="X102">
            <v>-8.119999999994576E-3</v>
          </cell>
          <cell r="Y102">
            <v>-2.3131200000000014</v>
          </cell>
        </row>
        <row r="103">
          <cell r="A103">
            <v>72</v>
          </cell>
          <cell r="B103" t="str">
            <v>Property Taxes</v>
          </cell>
          <cell r="E103">
            <v>3.8340000000000001</v>
          </cell>
          <cell r="F103">
            <v>3.8340000000000001</v>
          </cell>
          <cell r="G103">
            <v>3.8340000000000001</v>
          </cell>
          <cell r="H103">
            <v>3.8340000000000001</v>
          </cell>
          <cell r="I103">
            <v>3.8340000000000001</v>
          </cell>
          <cell r="J103">
            <v>3.8340000000000001</v>
          </cell>
          <cell r="K103">
            <v>3.8340000000000001</v>
          </cell>
          <cell r="L103">
            <v>3.8340000000000001</v>
          </cell>
          <cell r="M103">
            <v>3.8340000000000001</v>
          </cell>
          <cell r="N103">
            <v>3.8340000000000001</v>
          </cell>
          <cell r="O103">
            <v>3.8340000000000001</v>
          </cell>
          <cell r="P103">
            <v>3.8340000000000001</v>
          </cell>
          <cell r="T103">
            <v>0</v>
          </cell>
          <cell r="U103">
            <v>46.00800000000001</v>
          </cell>
          <cell r="V103">
            <v>45.558000000000014</v>
          </cell>
          <cell r="W103">
            <v>102.239</v>
          </cell>
          <cell r="X103">
            <v>0.44999999999999574</v>
          </cell>
          <cell r="Y103">
            <v>-56.230999999999995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25.35393333333333</v>
          </cell>
          <cell r="W104">
            <v>24.881</v>
          </cell>
          <cell r="X104">
            <v>-1.3539333333333303</v>
          </cell>
          <cell r="Y104">
            <v>-0.88100000000000023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12.682220000000003</v>
          </cell>
          <cell r="W105">
            <v>14.42</v>
          </cell>
          <cell r="X105">
            <v>-0.68222000000000271</v>
          </cell>
          <cell r="Y105">
            <v>-2.42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2.806280000000001</v>
          </cell>
          <cell r="W106">
            <v>0</v>
          </cell>
          <cell r="X106">
            <v>3.193719999999999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0.71499999999999997</v>
          </cell>
          <cell r="F108">
            <v>0.71499999999999997</v>
          </cell>
          <cell r="G108">
            <v>0.71499999999999997</v>
          </cell>
          <cell r="H108">
            <v>0.71499999999999997</v>
          </cell>
          <cell r="I108">
            <v>0.71499999999999997</v>
          </cell>
          <cell r="J108">
            <v>0.71499999999999997</v>
          </cell>
          <cell r="K108">
            <v>0.71499999999999997</v>
          </cell>
          <cell r="L108">
            <v>0.71499999999999997</v>
          </cell>
          <cell r="M108">
            <v>0.71499999999999997</v>
          </cell>
          <cell r="N108">
            <v>0.71499999999999997</v>
          </cell>
          <cell r="O108">
            <v>0.71499999999999997</v>
          </cell>
          <cell r="P108">
            <v>0.71499999999999997</v>
          </cell>
          <cell r="T108">
            <v>0</v>
          </cell>
          <cell r="U108">
            <v>8.58</v>
          </cell>
          <cell r="V108">
            <v>11.235595719999999</v>
          </cell>
          <cell r="W108">
            <v>19.821549999999998</v>
          </cell>
          <cell r="X108">
            <v>-2.6555957199999991</v>
          </cell>
          <cell r="Y108">
            <v>-11.241549999999998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4.7119999999999997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4.7423999999999999</v>
          </cell>
          <cell r="J111">
            <v>4.9004799999999999</v>
          </cell>
          <cell r="K111">
            <v>4.9004799999999999</v>
          </cell>
          <cell r="L111">
            <v>27.527239999999999</v>
          </cell>
          <cell r="M111">
            <v>6.4004799999999999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82.111720000000005</v>
          </cell>
          <cell r="V111">
            <v>98.715360000000004</v>
          </cell>
          <cell r="W111">
            <v>129.697</v>
          </cell>
          <cell r="X111">
            <v>-16.603639999999999</v>
          </cell>
          <cell r="Y111">
            <v>-47.585279999999997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53.321359999999999</v>
          </cell>
          <cell r="W112">
            <v>35.734000000000002</v>
          </cell>
          <cell r="X112">
            <v>-5.3213599999999985</v>
          </cell>
          <cell r="Y112">
            <v>12.265999999999998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7.118990000000001</v>
          </cell>
          <cell r="W113">
            <v>8.7919999999999998</v>
          </cell>
          <cell r="X113">
            <v>8.1009999999997362E-2</v>
          </cell>
          <cell r="Y113">
            <v>-1.5920000000000014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1.02</v>
          </cell>
          <cell r="W114">
            <v>4.26</v>
          </cell>
          <cell r="X114">
            <v>1.38</v>
          </cell>
          <cell r="Y114">
            <v>-1.86</v>
          </cell>
        </row>
        <row r="115">
          <cell r="A115">
            <v>84</v>
          </cell>
          <cell r="B115" t="str">
            <v>Freight</v>
          </cell>
          <cell r="E115">
            <v>0.25</v>
          </cell>
          <cell r="F115">
            <v>0.25</v>
          </cell>
          <cell r="G115">
            <v>0.25</v>
          </cell>
          <cell r="H115">
            <v>0.25</v>
          </cell>
          <cell r="I115">
            <v>0.25</v>
          </cell>
          <cell r="J115">
            <v>0.25</v>
          </cell>
          <cell r="K115">
            <v>0.25</v>
          </cell>
          <cell r="L115">
            <v>0.25</v>
          </cell>
          <cell r="M115">
            <v>0.25</v>
          </cell>
          <cell r="N115">
            <v>0.25</v>
          </cell>
          <cell r="O115">
            <v>0.25</v>
          </cell>
          <cell r="P115">
            <v>0.25</v>
          </cell>
          <cell r="T115">
            <v>0</v>
          </cell>
          <cell r="U115">
            <v>3</v>
          </cell>
          <cell r="V115">
            <v>4.1071099999999996</v>
          </cell>
          <cell r="W115">
            <v>4.5830000000000002</v>
          </cell>
          <cell r="X115">
            <v>-1.1071099999999996</v>
          </cell>
          <cell r="Y115">
            <v>-1.5830000000000002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0.3</v>
          </cell>
          <cell r="F117">
            <v>0.3</v>
          </cell>
          <cell r="G117">
            <v>0.3</v>
          </cell>
          <cell r="H117">
            <v>0.3</v>
          </cell>
          <cell r="I117">
            <v>0.3</v>
          </cell>
          <cell r="J117">
            <v>0.3</v>
          </cell>
          <cell r="K117">
            <v>0.3</v>
          </cell>
          <cell r="L117">
            <v>0.3</v>
          </cell>
          <cell r="M117">
            <v>0.3</v>
          </cell>
          <cell r="N117">
            <v>0.3</v>
          </cell>
          <cell r="O117">
            <v>0.3</v>
          </cell>
          <cell r="P117">
            <v>0.3</v>
          </cell>
          <cell r="T117">
            <v>0</v>
          </cell>
          <cell r="U117">
            <v>3.6</v>
          </cell>
          <cell r="V117">
            <v>1.8329299999999997</v>
          </cell>
          <cell r="W117">
            <v>3.387</v>
          </cell>
          <cell r="X117">
            <v>1.7670699999999995</v>
          </cell>
          <cell r="Y117">
            <v>0.21299999999999919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0.40646414076896553</v>
          </cell>
          <cell r="F119">
            <v>0.40646414076896553</v>
          </cell>
          <cell r="G119">
            <v>0.41746414076896554</v>
          </cell>
          <cell r="H119">
            <v>0.40646414076896553</v>
          </cell>
          <cell r="I119">
            <v>0.40646414076896553</v>
          </cell>
          <cell r="J119">
            <v>0.41746414076896554</v>
          </cell>
          <cell r="K119">
            <v>0.41181991757996556</v>
          </cell>
          <cell r="L119">
            <v>0.41181991757996556</v>
          </cell>
          <cell r="M119">
            <v>0.42281991757996551</v>
          </cell>
          <cell r="N119">
            <v>0.41181991757996556</v>
          </cell>
          <cell r="O119">
            <v>0.42281991757996551</v>
          </cell>
          <cell r="P119">
            <v>0.42281991757996551</v>
          </cell>
          <cell r="T119">
            <v>0</v>
          </cell>
          <cell r="U119">
            <v>4.9647043500935863</v>
          </cell>
          <cell r="V119">
            <v>5.7293799999999999</v>
          </cell>
          <cell r="W119">
            <v>11.51</v>
          </cell>
          <cell r="X119">
            <v>-0.76467564990641357</v>
          </cell>
          <cell r="Y119">
            <v>-6.5452956499064134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1.921999999999997</v>
          </cell>
          <cell r="W124">
            <v>3.2909999999999986</v>
          </cell>
          <cell r="X124">
            <v>1.6780000000000022</v>
          </cell>
          <cell r="Y124">
            <v>0.30900000000000061</v>
          </cell>
        </row>
        <row r="125">
          <cell r="C125">
            <v>0</v>
          </cell>
          <cell r="E125">
            <v>21.498704140768968</v>
          </cell>
          <cell r="F125">
            <v>21.687184140768967</v>
          </cell>
          <cell r="G125">
            <v>21.540104140768971</v>
          </cell>
          <cell r="H125">
            <v>21.687184140768967</v>
          </cell>
          <cell r="I125">
            <v>21.529104140768968</v>
          </cell>
          <cell r="J125">
            <v>21.698184140768969</v>
          </cell>
          <cell r="K125">
            <v>21.692539917579968</v>
          </cell>
          <cell r="L125">
            <v>44.319299917579961</v>
          </cell>
          <cell r="M125">
            <v>23.203539917579967</v>
          </cell>
          <cell r="N125">
            <v>21.534459917579969</v>
          </cell>
          <cell r="O125">
            <v>21.703539917579967</v>
          </cell>
          <cell r="P125">
            <v>21.545459917579969</v>
          </cell>
          <cell r="R125">
            <v>0</v>
          </cell>
          <cell r="S125">
            <v>0</v>
          </cell>
          <cell r="T125">
            <v>0</v>
          </cell>
          <cell r="U125">
            <v>283.63930435009365</v>
          </cell>
          <cell r="V125">
            <v>303.58615905333329</v>
          </cell>
          <cell r="W125">
            <v>397.10354999999998</v>
          </cell>
          <cell r="X125">
            <v>-19.946854703239637</v>
          </cell>
          <cell r="Y125">
            <v>-113.46424564990633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W132">
            <v>0</v>
          </cell>
          <cell r="X132">
            <v>0</v>
          </cell>
          <cell r="Y132" t="e">
            <v>#REF!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4" refreshError="1">
        <row r="11">
          <cell r="A11">
            <v>1</v>
          </cell>
          <cell r="B11" t="str">
            <v>Net Film Revenue</v>
          </cell>
          <cell r="E11">
            <v>410.44</v>
          </cell>
          <cell r="F11">
            <v>423.68</v>
          </cell>
          <cell r="G11">
            <v>542.84</v>
          </cell>
          <cell r="H11">
            <v>410.44</v>
          </cell>
          <cell r="I11">
            <v>436.92</v>
          </cell>
          <cell r="J11">
            <v>622.28</v>
          </cell>
          <cell r="K11">
            <v>410.44</v>
          </cell>
          <cell r="L11">
            <v>503.12</v>
          </cell>
          <cell r="M11">
            <v>556.08000000000004</v>
          </cell>
          <cell r="N11">
            <v>423.68</v>
          </cell>
          <cell r="O11">
            <v>589.17999999999995</v>
          </cell>
          <cell r="P11">
            <v>529.6</v>
          </cell>
          <cell r="Q11">
            <v>0</v>
          </cell>
          <cell r="T11">
            <v>0</v>
          </cell>
          <cell r="U11">
            <v>5858.7</v>
          </cell>
          <cell r="V11">
            <v>5447.2133200000007</v>
          </cell>
          <cell r="W11">
            <v>6875.9660000000003</v>
          </cell>
          <cell r="X11">
            <v>411.48668000000089</v>
          </cell>
          <cell r="Y11">
            <v>-1017.2659999999987</v>
          </cell>
        </row>
        <row r="12">
          <cell r="A12">
            <v>2</v>
          </cell>
          <cell r="B12" t="str">
            <v>Concession Sales</v>
          </cell>
          <cell r="E12">
            <v>77.5</v>
          </cell>
          <cell r="F12">
            <v>80</v>
          </cell>
          <cell r="G12">
            <v>102.5</v>
          </cell>
          <cell r="H12">
            <v>77.5</v>
          </cell>
          <cell r="I12">
            <v>82.5</v>
          </cell>
          <cell r="J12">
            <v>117.5</v>
          </cell>
          <cell r="K12">
            <v>77.5</v>
          </cell>
          <cell r="L12">
            <v>95</v>
          </cell>
          <cell r="M12">
            <v>105</v>
          </cell>
          <cell r="N12">
            <v>80</v>
          </cell>
          <cell r="O12">
            <v>111.25</v>
          </cell>
          <cell r="P12">
            <v>100</v>
          </cell>
          <cell r="T12">
            <v>0</v>
          </cell>
          <cell r="U12">
            <v>1106.25</v>
          </cell>
          <cell r="V12">
            <v>1058.65578</v>
          </cell>
          <cell r="W12">
            <v>1093.7619999999999</v>
          </cell>
          <cell r="X12">
            <v>47.59421999999995</v>
          </cell>
          <cell r="Y12">
            <v>12.488000000000056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26</v>
          </cell>
          <cell r="F15">
            <v>26</v>
          </cell>
          <cell r="G15">
            <v>26</v>
          </cell>
          <cell r="H15">
            <v>26</v>
          </cell>
          <cell r="I15">
            <v>26</v>
          </cell>
          <cell r="J15">
            <v>26</v>
          </cell>
          <cell r="K15">
            <v>26</v>
          </cell>
          <cell r="L15">
            <v>26</v>
          </cell>
          <cell r="M15">
            <v>26</v>
          </cell>
          <cell r="N15">
            <v>26</v>
          </cell>
          <cell r="O15">
            <v>26</v>
          </cell>
          <cell r="P15">
            <v>26</v>
          </cell>
          <cell r="T15">
            <v>0</v>
          </cell>
          <cell r="U15">
            <v>312</v>
          </cell>
          <cell r="V15">
            <v>328.11124000000001</v>
          </cell>
          <cell r="W15">
            <v>250.84800000000001</v>
          </cell>
          <cell r="X15">
            <v>-16.111240000000009</v>
          </cell>
          <cell r="Y15">
            <v>61.151999999999987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7.9376250000000006</v>
          </cell>
          <cell r="F16">
            <v>7.9376250000000006</v>
          </cell>
          <cell r="G16">
            <v>7.9376250000000006</v>
          </cell>
          <cell r="H16">
            <v>7.9376250000000006</v>
          </cell>
          <cell r="I16">
            <v>7.9376250000000006</v>
          </cell>
          <cell r="J16">
            <v>7.9376250000000006</v>
          </cell>
          <cell r="K16">
            <v>7.9376250000000006</v>
          </cell>
          <cell r="L16">
            <v>7.9376250000000006</v>
          </cell>
          <cell r="M16">
            <v>7.9376250000000006</v>
          </cell>
          <cell r="N16">
            <v>7.9376250000000006</v>
          </cell>
          <cell r="O16">
            <v>7.9376250000000006</v>
          </cell>
          <cell r="P16">
            <v>7.9376250000000006</v>
          </cell>
          <cell r="R16">
            <v>0</v>
          </cell>
          <cell r="S16">
            <v>0</v>
          </cell>
          <cell r="T16">
            <v>0</v>
          </cell>
          <cell r="U16">
            <v>95.251499999999979</v>
          </cell>
          <cell r="V16">
            <v>129.14752999999999</v>
          </cell>
          <cell r="W16">
            <v>61.19</v>
          </cell>
          <cell r="X16">
            <v>-33.89603000000001</v>
          </cell>
          <cell r="Y16">
            <v>34.061499999999981</v>
          </cell>
        </row>
        <row r="17">
          <cell r="B17" t="str">
            <v>TOTAL REVENUE</v>
          </cell>
          <cell r="C17">
            <v>0</v>
          </cell>
          <cell r="E17">
            <v>521.87762500000008</v>
          </cell>
          <cell r="F17">
            <v>537.61762500000009</v>
          </cell>
          <cell r="G17">
            <v>679.27762500000006</v>
          </cell>
          <cell r="H17">
            <v>521.87762500000008</v>
          </cell>
          <cell r="I17">
            <v>553.3576250000001</v>
          </cell>
          <cell r="J17">
            <v>773.717625</v>
          </cell>
          <cell r="K17">
            <v>521.87762500000008</v>
          </cell>
          <cell r="L17">
            <v>632.05762500000003</v>
          </cell>
          <cell r="M17">
            <v>695.01762500000007</v>
          </cell>
          <cell r="N17">
            <v>537.61762500000009</v>
          </cell>
          <cell r="O17">
            <v>734.36762500000009</v>
          </cell>
          <cell r="P17">
            <v>663.53762500000005</v>
          </cell>
          <cell r="R17">
            <v>0</v>
          </cell>
          <cell r="S17">
            <v>0</v>
          </cell>
          <cell r="T17">
            <v>0</v>
          </cell>
          <cell r="U17">
            <v>7372.201500000001</v>
          </cell>
          <cell r="V17">
            <v>6963.1278700000012</v>
          </cell>
          <cell r="W17">
            <v>8281.7660000000014</v>
          </cell>
          <cell r="X17">
            <v>409.07362999999987</v>
          </cell>
          <cell r="Y17">
            <v>-909.56450000000041</v>
          </cell>
        </row>
        <row r="19">
          <cell r="A19">
            <v>7</v>
          </cell>
          <cell r="B19" t="str">
            <v>Film Hire</v>
          </cell>
          <cell r="E19">
            <v>190.8546</v>
          </cell>
          <cell r="F19">
            <v>197.0112</v>
          </cell>
          <cell r="G19">
            <v>252.42060000000004</v>
          </cell>
          <cell r="H19">
            <v>190.8546</v>
          </cell>
          <cell r="I19">
            <v>203.16780000000003</v>
          </cell>
          <cell r="J19">
            <v>289.36020000000002</v>
          </cell>
          <cell r="K19">
            <v>190.8546</v>
          </cell>
          <cell r="L19">
            <v>233.95080000000002</v>
          </cell>
          <cell r="M19">
            <v>258.5772</v>
          </cell>
          <cell r="N19">
            <v>197.0112</v>
          </cell>
          <cell r="O19">
            <v>273.96870000000007</v>
          </cell>
          <cell r="P19">
            <v>246.26400000000001</v>
          </cell>
          <cell r="U19">
            <v>2724.2955000000002</v>
          </cell>
          <cell r="V19">
            <v>2526.9412400000006</v>
          </cell>
          <cell r="W19">
            <v>3150.1010000000001</v>
          </cell>
          <cell r="X19">
            <v>197.35425999999961</v>
          </cell>
          <cell r="Y19">
            <v>-425.80549999999994</v>
          </cell>
        </row>
        <row r="20">
          <cell r="A20">
            <v>8</v>
          </cell>
          <cell r="B20" t="str">
            <v>Concession Cost</v>
          </cell>
          <cell r="E20">
            <v>17.05</v>
          </cell>
          <cell r="F20">
            <v>17.600000000000001</v>
          </cell>
          <cell r="G20">
            <v>22.55</v>
          </cell>
          <cell r="H20">
            <v>17.05</v>
          </cell>
          <cell r="I20">
            <v>18.149999999999999</v>
          </cell>
          <cell r="J20">
            <v>25.85</v>
          </cell>
          <cell r="K20">
            <v>17.05</v>
          </cell>
          <cell r="L20">
            <v>20.9</v>
          </cell>
          <cell r="M20">
            <v>23.1</v>
          </cell>
          <cell r="N20">
            <v>17.600000000000001</v>
          </cell>
          <cell r="O20">
            <v>24.475000000000001</v>
          </cell>
          <cell r="P20">
            <v>22</v>
          </cell>
          <cell r="T20">
            <v>0</v>
          </cell>
          <cell r="U20">
            <v>243.375</v>
          </cell>
          <cell r="V20">
            <v>212.72319999999999</v>
          </cell>
          <cell r="W20">
            <v>296.96600000000001</v>
          </cell>
          <cell r="X20">
            <v>30.651800000000009</v>
          </cell>
          <cell r="Y20">
            <v>-53.591000000000008</v>
          </cell>
        </row>
        <row r="21">
          <cell r="A21">
            <v>9</v>
          </cell>
          <cell r="B21" t="str">
            <v>Less Concession Rebates</v>
          </cell>
          <cell r="E21">
            <v>-1.9375</v>
          </cell>
          <cell r="F21">
            <v>-2</v>
          </cell>
          <cell r="G21">
            <v>-2.5625</v>
          </cell>
          <cell r="H21">
            <v>-1.9375</v>
          </cell>
          <cell r="I21">
            <v>-2.0625</v>
          </cell>
          <cell r="J21">
            <v>-2.9375</v>
          </cell>
          <cell r="K21">
            <v>-1.9375</v>
          </cell>
          <cell r="L21">
            <v>-2.375</v>
          </cell>
          <cell r="M21">
            <v>-2.625</v>
          </cell>
          <cell r="N21">
            <v>-2</v>
          </cell>
          <cell r="O21">
            <v>-2.78125</v>
          </cell>
          <cell r="P21">
            <v>-2.5</v>
          </cell>
          <cell r="U21">
            <v>-27.65625</v>
          </cell>
          <cell r="V21">
            <v>-31.79</v>
          </cell>
          <cell r="W21">
            <v>-49.798999999999999</v>
          </cell>
          <cell r="X21">
            <v>4.13375</v>
          </cell>
          <cell r="Y21">
            <v>22.142749999999999</v>
          </cell>
        </row>
        <row r="22">
          <cell r="A22">
            <v>10</v>
          </cell>
          <cell r="B22" t="str">
            <v>Advertising Cost</v>
          </cell>
          <cell r="E22">
            <v>9.4401200000000003</v>
          </cell>
          <cell r="F22">
            <v>9.7446400000000004</v>
          </cell>
          <cell r="G22">
            <v>12.48532</v>
          </cell>
          <cell r="H22">
            <v>9.4401200000000003</v>
          </cell>
          <cell r="I22">
            <v>10.049160000000001</v>
          </cell>
          <cell r="J22">
            <v>14.312439999999999</v>
          </cell>
          <cell r="K22">
            <v>9.4401200000000003</v>
          </cell>
          <cell r="L22">
            <v>11.571759999999999</v>
          </cell>
          <cell r="M22">
            <v>12.78984</v>
          </cell>
          <cell r="N22">
            <v>9.7446400000000004</v>
          </cell>
          <cell r="O22">
            <v>13.551140000000002</v>
          </cell>
          <cell r="P22">
            <v>12.1808</v>
          </cell>
          <cell r="T22">
            <v>0</v>
          </cell>
          <cell r="U22">
            <v>134.7501</v>
          </cell>
          <cell r="V22">
            <v>133.23182499999999</v>
          </cell>
          <cell r="W22">
            <v>170.59299999999999</v>
          </cell>
          <cell r="X22">
            <v>1.5182750000000169</v>
          </cell>
          <cell r="Y22">
            <v>-35.842899999999986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0.82088000000000005</v>
          </cell>
          <cell r="F23">
            <v>0.84736</v>
          </cell>
          <cell r="G23">
            <v>1.08568</v>
          </cell>
          <cell r="H23">
            <v>0.82088000000000005</v>
          </cell>
          <cell r="I23">
            <v>0.87384000000000006</v>
          </cell>
          <cell r="J23">
            <v>1.2445599999999999</v>
          </cell>
          <cell r="K23">
            <v>0.82088000000000005</v>
          </cell>
          <cell r="L23">
            <v>1.00624</v>
          </cell>
          <cell r="M23">
            <v>1.11216</v>
          </cell>
          <cell r="N23">
            <v>0.84736</v>
          </cell>
          <cell r="O23">
            <v>1.1783600000000001</v>
          </cell>
          <cell r="P23">
            <v>1.0592000000000001</v>
          </cell>
          <cell r="R23">
            <v>0</v>
          </cell>
          <cell r="S23">
            <v>0</v>
          </cell>
          <cell r="T23">
            <v>0</v>
          </cell>
          <cell r="U23">
            <v>11.7174</v>
          </cell>
          <cell r="V23">
            <v>10.894426640000002</v>
          </cell>
          <cell r="W23">
            <v>13.751932000000002</v>
          </cell>
          <cell r="X23">
            <v>0.8229733599999971</v>
          </cell>
          <cell r="Y23">
            <v>-2.0345320000000022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38.387453579195395</v>
          </cell>
          <cell r="F24">
            <v>38.387453579195395</v>
          </cell>
          <cell r="G24">
            <v>39.487453579195396</v>
          </cell>
          <cell r="H24">
            <v>38.387453579195395</v>
          </cell>
          <cell r="I24">
            <v>38.387453579195395</v>
          </cell>
          <cell r="J24">
            <v>39.487453579195396</v>
          </cell>
          <cell r="K24">
            <v>39.099739157045398</v>
          </cell>
          <cell r="L24">
            <v>39.099739157045398</v>
          </cell>
          <cell r="M24">
            <v>40.1997391570454</v>
          </cell>
          <cell r="N24">
            <v>39.099739157045398</v>
          </cell>
          <cell r="O24">
            <v>40.1997391570454</v>
          </cell>
          <cell r="P24">
            <v>40.1997391570454</v>
          </cell>
          <cell r="R24">
            <v>0</v>
          </cell>
          <cell r="S24">
            <v>0</v>
          </cell>
          <cell r="T24">
            <v>0</v>
          </cell>
          <cell r="U24">
            <v>470.42315641744483</v>
          </cell>
          <cell r="V24">
            <v>545.15700500000003</v>
          </cell>
          <cell r="W24">
            <v>713.63300000000004</v>
          </cell>
          <cell r="X24">
            <v>-74.733848582555197</v>
          </cell>
          <cell r="Y24">
            <v>-243.20984358255521</v>
          </cell>
        </row>
        <row r="25">
          <cell r="B25" t="str">
            <v>TOTAL COST</v>
          </cell>
          <cell r="C25">
            <v>0</v>
          </cell>
          <cell r="E25">
            <v>254.61555357919542</v>
          </cell>
          <cell r="F25">
            <v>261.59065357919542</v>
          </cell>
          <cell r="G25">
            <v>325.46655357919548</v>
          </cell>
          <cell r="H25">
            <v>254.61555357919542</v>
          </cell>
          <cell r="I25">
            <v>268.56575357919542</v>
          </cell>
          <cell r="J25">
            <v>367.31715357919541</v>
          </cell>
          <cell r="K25">
            <v>255.32783915704542</v>
          </cell>
          <cell r="L25">
            <v>304.15353915704543</v>
          </cell>
          <cell r="M25">
            <v>333.15393915704544</v>
          </cell>
          <cell r="N25">
            <v>262.30293915704539</v>
          </cell>
          <cell r="O25">
            <v>350.59168915704549</v>
          </cell>
          <cell r="P25">
            <v>319.20373915704533</v>
          </cell>
          <cell r="R25">
            <v>0</v>
          </cell>
          <cell r="S25">
            <v>0</v>
          </cell>
          <cell r="T25">
            <v>0</v>
          </cell>
          <cell r="U25">
            <v>3556.9049064174446</v>
          </cell>
          <cell r="V25">
            <v>3397.1576966400003</v>
          </cell>
          <cell r="W25">
            <v>4295.2459319999998</v>
          </cell>
          <cell r="X25">
            <v>159.74720977744437</v>
          </cell>
          <cell r="Y25">
            <v>-738.34102558255518</v>
          </cell>
        </row>
        <row r="27">
          <cell r="B27" t="str">
            <v>GROSS MARGIN</v>
          </cell>
          <cell r="C27">
            <v>0</v>
          </cell>
          <cell r="E27">
            <v>267.26207142080466</v>
          </cell>
          <cell r="F27">
            <v>276.02697142080467</v>
          </cell>
          <cell r="G27">
            <v>353.81107142080458</v>
          </cell>
          <cell r="H27">
            <v>267.26207142080466</v>
          </cell>
          <cell r="I27">
            <v>284.79187142080468</v>
          </cell>
          <cell r="J27">
            <v>406.40047142080459</v>
          </cell>
          <cell r="K27">
            <v>266.54978584295463</v>
          </cell>
          <cell r="L27">
            <v>327.9040858429546</v>
          </cell>
          <cell r="M27">
            <v>361.86368584295462</v>
          </cell>
          <cell r="N27">
            <v>275.3146858429547</v>
          </cell>
          <cell r="O27">
            <v>383.7759358429546</v>
          </cell>
          <cell r="P27">
            <v>344.33388584295471</v>
          </cell>
          <cell r="R27">
            <v>0</v>
          </cell>
          <cell r="S27">
            <v>0</v>
          </cell>
          <cell r="T27">
            <v>0</v>
          </cell>
          <cell r="U27">
            <v>3815.2965935825555</v>
          </cell>
          <cell r="V27">
            <v>3565.9701733600009</v>
          </cell>
          <cell r="W27">
            <v>3986.5200680000016</v>
          </cell>
          <cell r="X27">
            <v>249.32642022255459</v>
          </cell>
          <cell r="Y27">
            <v>-171.22347441744614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158.66038</v>
          </cell>
          <cell r="F29">
            <v>158.66038</v>
          </cell>
          <cell r="G29">
            <v>158.66038</v>
          </cell>
          <cell r="H29">
            <v>158.66038</v>
          </cell>
          <cell r="I29">
            <v>158.66038</v>
          </cell>
          <cell r="J29">
            <v>158.66038</v>
          </cell>
          <cell r="K29">
            <v>158.66038</v>
          </cell>
          <cell r="L29">
            <v>158.66038</v>
          </cell>
          <cell r="M29">
            <v>158.66038</v>
          </cell>
          <cell r="N29">
            <v>158.66038</v>
          </cell>
          <cell r="O29">
            <v>158.66038</v>
          </cell>
          <cell r="P29">
            <v>158.66038</v>
          </cell>
          <cell r="T29">
            <v>0</v>
          </cell>
          <cell r="U29">
            <v>1903.9245600000002</v>
          </cell>
          <cell r="V29">
            <v>1797.2759500000004</v>
          </cell>
          <cell r="W29">
            <v>1848.47</v>
          </cell>
          <cell r="X29">
            <v>106.64860999999974</v>
          </cell>
          <cell r="Y29">
            <v>55.454560000000129</v>
          </cell>
        </row>
        <row r="30">
          <cell r="A30">
            <v>14</v>
          </cell>
          <cell r="B30" t="str">
            <v>Light, Heat and Power</v>
          </cell>
          <cell r="E30">
            <v>15</v>
          </cell>
          <cell r="F30">
            <v>15</v>
          </cell>
          <cell r="G30">
            <v>15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15</v>
          </cell>
          <cell r="M30">
            <v>15</v>
          </cell>
          <cell r="N30">
            <v>15</v>
          </cell>
          <cell r="O30">
            <v>15</v>
          </cell>
          <cell r="P30">
            <v>15</v>
          </cell>
          <cell r="T30">
            <v>0</v>
          </cell>
          <cell r="U30">
            <v>180</v>
          </cell>
          <cell r="V30">
            <v>200.88871</v>
          </cell>
          <cell r="W30">
            <v>233.072</v>
          </cell>
          <cell r="X30">
            <v>-20.888710000000003</v>
          </cell>
          <cell r="Y30">
            <v>-53.072000000000003</v>
          </cell>
        </row>
        <row r="31">
          <cell r="A31">
            <v>15</v>
          </cell>
          <cell r="B31" t="str">
            <v>Repair &amp; Maintenance</v>
          </cell>
          <cell r="E31">
            <v>12.25</v>
          </cell>
          <cell r="F31">
            <v>12.25</v>
          </cell>
          <cell r="G31">
            <v>12.25</v>
          </cell>
          <cell r="H31">
            <v>17.25</v>
          </cell>
          <cell r="I31">
            <v>12.25</v>
          </cell>
          <cell r="J31">
            <v>12.25</v>
          </cell>
          <cell r="K31">
            <v>12.25</v>
          </cell>
          <cell r="L31">
            <v>12.25</v>
          </cell>
          <cell r="M31">
            <v>37.25</v>
          </cell>
          <cell r="N31">
            <v>12.25</v>
          </cell>
          <cell r="O31">
            <v>12.25</v>
          </cell>
          <cell r="P31">
            <v>12.25</v>
          </cell>
          <cell r="T31">
            <v>0</v>
          </cell>
          <cell r="U31">
            <v>177</v>
          </cell>
          <cell r="V31">
            <v>171.74321666666668</v>
          </cell>
          <cell r="W31">
            <v>271.601</v>
          </cell>
          <cell r="X31">
            <v>5.2567833333333169</v>
          </cell>
          <cell r="Y31">
            <v>-94.600999999999999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20.645654535791955</v>
          </cell>
          <cell r="F33">
            <v>20.645654535791955</v>
          </cell>
          <cell r="G33">
            <v>20.441374535791955</v>
          </cell>
          <cell r="H33">
            <v>20.645654535791955</v>
          </cell>
          <cell r="I33">
            <v>20.430374535791955</v>
          </cell>
          <cell r="J33">
            <v>20.656654535791954</v>
          </cell>
          <cell r="K33">
            <v>20.652777391570456</v>
          </cell>
          <cell r="L33">
            <v>22.506937391570457</v>
          </cell>
          <cell r="M33">
            <v>20.663777391570456</v>
          </cell>
          <cell r="N33">
            <v>20.437497391570457</v>
          </cell>
          <cell r="O33">
            <v>20.663777391570456</v>
          </cell>
          <cell r="P33">
            <v>20.448497391570456</v>
          </cell>
          <cell r="R33">
            <v>0</v>
          </cell>
          <cell r="S33">
            <v>0</v>
          </cell>
          <cell r="T33">
            <v>0</v>
          </cell>
          <cell r="U33">
            <v>248.83863156417442</v>
          </cell>
          <cell r="V33">
            <v>288.56553573333338</v>
          </cell>
          <cell r="W33">
            <v>348.07306800000003</v>
          </cell>
          <cell r="X33">
            <v>-39.726904169158956</v>
          </cell>
          <cell r="Y33">
            <v>-99.234436435825614</v>
          </cell>
        </row>
        <row r="35">
          <cell r="B35" t="str">
            <v>Total Overhead Expenses</v>
          </cell>
          <cell r="C35">
            <v>0</v>
          </cell>
          <cell r="E35">
            <v>206.55603453579195</v>
          </cell>
          <cell r="F35">
            <v>206.55603453579195</v>
          </cell>
          <cell r="G35">
            <v>206.35175453579197</v>
          </cell>
          <cell r="H35">
            <v>211.55603453579195</v>
          </cell>
          <cell r="I35">
            <v>206.34075453579197</v>
          </cell>
          <cell r="J35">
            <v>206.56703453579195</v>
          </cell>
          <cell r="K35">
            <v>206.56315739157046</v>
          </cell>
          <cell r="L35">
            <v>208.41731739157046</v>
          </cell>
          <cell r="M35">
            <v>231.57415739157045</v>
          </cell>
          <cell r="N35">
            <v>206.34787739157045</v>
          </cell>
          <cell r="O35">
            <v>206.57415739157045</v>
          </cell>
          <cell r="P35">
            <v>206.35887739157045</v>
          </cell>
          <cell r="R35">
            <v>0</v>
          </cell>
          <cell r="S35">
            <v>0</v>
          </cell>
          <cell r="T35">
            <v>0</v>
          </cell>
          <cell r="U35">
            <v>2509.7631915641746</v>
          </cell>
          <cell r="V35">
            <v>2458.4734124000006</v>
          </cell>
          <cell r="W35">
            <v>2701.2160680000002</v>
          </cell>
          <cell r="X35">
            <v>51.289779164173979</v>
          </cell>
          <cell r="Y35">
            <v>-191.4528764358256</v>
          </cell>
        </row>
        <row r="37">
          <cell r="B37" t="str">
            <v>E.B.I.T.D.</v>
          </cell>
          <cell r="C37">
            <v>0</v>
          </cell>
          <cell r="E37">
            <v>60.706036885012708</v>
          </cell>
          <cell r="F37">
            <v>69.470936885012719</v>
          </cell>
          <cell r="G37">
            <v>147.45931688501261</v>
          </cell>
          <cell r="H37">
            <v>55.706036885012708</v>
          </cell>
          <cell r="I37">
            <v>78.451116885012709</v>
          </cell>
          <cell r="J37">
            <v>199.83343688501265</v>
          </cell>
          <cell r="K37">
            <v>59.986628451384178</v>
          </cell>
          <cell r="L37">
            <v>119.48676845138414</v>
          </cell>
          <cell r="M37">
            <v>130.28952845138417</v>
          </cell>
          <cell r="N37">
            <v>68.966808451384253</v>
          </cell>
          <cell r="O37">
            <v>177.20177845138414</v>
          </cell>
          <cell r="P37">
            <v>137.97500845138427</v>
          </cell>
          <cell r="R37">
            <v>0</v>
          </cell>
          <cell r="S37">
            <v>0</v>
          </cell>
          <cell r="T37">
            <v>0</v>
          </cell>
          <cell r="U37">
            <v>1305.5334020183809</v>
          </cell>
          <cell r="V37">
            <v>1107.4967609600003</v>
          </cell>
          <cell r="W37">
            <v>1285.3040000000015</v>
          </cell>
          <cell r="X37">
            <v>198.03664105838061</v>
          </cell>
          <cell r="Y37">
            <v>20.22940201837946</v>
          </cell>
        </row>
        <row r="39">
          <cell r="A39">
            <v>18</v>
          </cell>
          <cell r="B39" t="str">
            <v>Depreciation</v>
          </cell>
          <cell r="E39">
            <v>37.618506944444448</v>
          </cell>
          <cell r="F39">
            <v>37.618506944444448</v>
          </cell>
          <cell r="G39">
            <v>37.618506944444448</v>
          </cell>
          <cell r="H39">
            <v>37.618506944444448</v>
          </cell>
          <cell r="I39">
            <v>37.618506944444448</v>
          </cell>
          <cell r="J39">
            <v>37.618506944444448</v>
          </cell>
          <cell r="K39">
            <v>38.201840277777784</v>
          </cell>
          <cell r="L39">
            <v>38.201840277777784</v>
          </cell>
          <cell r="M39">
            <v>38.201840277777784</v>
          </cell>
          <cell r="N39">
            <v>38.201840277777784</v>
          </cell>
          <cell r="O39">
            <v>38.201840277777784</v>
          </cell>
          <cell r="P39">
            <v>38.201840277777784</v>
          </cell>
          <cell r="T39">
            <v>0</v>
          </cell>
          <cell r="U39">
            <v>454.92208333333326</v>
          </cell>
          <cell r="V39">
            <v>449.09136115740739</v>
          </cell>
          <cell r="W39">
            <v>419.072</v>
          </cell>
          <cell r="X39">
            <v>5.8307221759258709</v>
          </cell>
          <cell r="Y39">
            <v>35.850083333333259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2.63</v>
          </cell>
          <cell r="W40">
            <v>19.963999999999999</v>
          </cell>
          <cell r="X40">
            <v>-2.63</v>
          </cell>
          <cell r="Y40">
            <v>-19.963999999999999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195.98373809452056</v>
          </cell>
          <cell r="W41">
            <v>221.048</v>
          </cell>
          <cell r="X41">
            <v>-195.98373809452056</v>
          </cell>
          <cell r="Y41">
            <v>-221.048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23.08752994056826</v>
          </cell>
          <cell r="F44">
            <v>31.852429940568271</v>
          </cell>
          <cell r="G44">
            <v>109.84080994056816</v>
          </cell>
          <cell r="H44">
            <v>18.08752994056826</v>
          </cell>
          <cell r="I44">
            <v>40.832609940568261</v>
          </cell>
          <cell r="J44">
            <v>162.2149299405682</v>
          </cell>
          <cell r="K44">
            <v>21.784788173606394</v>
          </cell>
          <cell r="L44">
            <v>81.284928173606346</v>
          </cell>
          <cell r="M44">
            <v>92.087688173606381</v>
          </cell>
          <cell r="N44">
            <v>30.764968173606469</v>
          </cell>
          <cell r="O44">
            <v>138.99993817360635</v>
          </cell>
          <cell r="P44">
            <v>99.773168173606479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850.61131868504765</v>
          </cell>
          <cell r="V44">
            <v>462.51509170807236</v>
          </cell>
          <cell r="W44">
            <v>626.12700000000143</v>
          </cell>
          <cell r="X44">
            <v>388.09622697697529</v>
          </cell>
          <cell r="Y44">
            <v>224.48431868504622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23.08752994056826</v>
          </cell>
          <cell r="F50">
            <v>31.852429940568271</v>
          </cell>
          <cell r="G50">
            <v>109.84080994056816</v>
          </cell>
          <cell r="H50">
            <v>18.08752994056826</v>
          </cell>
          <cell r="I50">
            <v>40.832609940568261</v>
          </cell>
          <cell r="J50">
            <v>162.2149299405682</v>
          </cell>
          <cell r="K50">
            <v>21.784788173606394</v>
          </cell>
          <cell r="L50">
            <v>81.284928173606346</v>
          </cell>
          <cell r="M50">
            <v>92.087688173606381</v>
          </cell>
          <cell r="N50">
            <v>30.764968173606469</v>
          </cell>
          <cell r="O50">
            <v>138.99993817360635</v>
          </cell>
          <cell r="P50">
            <v>99.773168173606479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850.61131868504765</v>
          </cell>
          <cell r="V50">
            <v>462.51509170807236</v>
          </cell>
          <cell r="W50">
            <v>626.12700000000143</v>
          </cell>
          <cell r="X50">
            <v>388.09622697697529</v>
          </cell>
          <cell r="Y50">
            <v>224.48431868504622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60.76</v>
          </cell>
          <cell r="F54">
            <v>62.72</v>
          </cell>
          <cell r="G54">
            <v>80.36</v>
          </cell>
          <cell r="H54">
            <v>60.76</v>
          </cell>
          <cell r="I54">
            <v>64.680000000000007</v>
          </cell>
          <cell r="J54">
            <v>92.12</v>
          </cell>
          <cell r="K54">
            <v>60.76</v>
          </cell>
          <cell r="L54">
            <v>74.48</v>
          </cell>
          <cell r="M54">
            <v>82.32</v>
          </cell>
          <cell r="N54">
            <v>62.72</v>
          </cell>
          <cell r="O54">
            <v>87.22</v>
          </cell>
          <cell r="P54">
            <v>78.400000000000006</v>
          </cell>
          <cell r="T54">
            <v>0</v>
          </cell>
          <cell r="U54">
            <v>867.3</v>
          </cell>
          <cell r="V54">
            <v>820</v>
          </cell>
          <cell r="W54">
            <v>1016.269</v>
          </cell>
          <cell r="X54">
            <v>47.300000000000068</v>
          </cell>
          <cell r="Y54">
            <v>-148.96899999999994</v>
          </cell>
        </row>
        <row r="55">
          <cell r="A55">
            <v>28</v>
          </cell>
          <cell r="B55" t="str">
            <v>Admissions</v>
          </cell>
          <cell r="E55">
            <v>62</v>
          </cell>
          <cell r="F55">
            <v>64</v>
          </cell>
          <cell r="G55">
            <v>82</v>
          </cell>
          <cell r="H55">
            <v>62</v>
          </cell>
          <cell r="I55">
            <v>66</v>
          </cell>
          <cell r="J55">
            <v>94</v>
          </cell>
          <cell r="K55">
            <v>62</v>
          </cell>
          <cell r="L55">
            <v>76</v>
          </cell>
          <cell r="M55">
            <v>84</v>
          </cell>
          <cell r="N55">
            <v>64</v>
          </cell>
          <cell r="O55">
            <v>89</v>
          </cell>
          <cell r="P55">
            <v>80</v>
          </cell>
          <cell r="T55">
            <v>0</v>
          </cell>
          <cell r="U55">
            <v>885</v>
          </cell>
          <cell r="V55">
            <v>820</v>
          </cell>
          <cell r="W55">
            <v>1016.269</v>
          </cell>
          <cell r="X55">
            <v>65</v>
          </cell>
          <cell r="Y55">
            <v>-131.26900000000001</v>
          </cell>
        </row>
        <row r="56">
          <cell r="B56" t="str">
            <v>Utilisation Rate</v>
          </cell>
          <cell r="E56">
            <v>0.21777615421361735</v>
          </cell>
          <cell r="F56">
            <v>0.22480119144631466</v>
          </cell>
          <cell r="G56">
            <v>0.23042122123247252</v>
          </cell>
          <cell r="H56">
            <v>0.21777615421361735</v>
          </cell>
          <cell r="I56">
            <v>0.23182622867901201</v>
          </cell>
          <cell r="J56">
            <v>0.26414139994941971</v>
          </cell>
          <cell r="K56">
            <v>0.21777615421361735</v>
          </cell>
          <cell r="L56">
            <v>0.26695141484249868</v>
          </cell>
          <cell r="M56">
            <v>0.23604125101863041</v>
          </cell>
          <cell r="N56">
            <v>0.22480119144631466</v>
          </cell>
          <cell r="O56">
            <v>0.25009132548402507</v>
          </cell>
          <cell r="P56">
            <v>0.28100148930789332</v>
          </cell>
          <cell r="U56">
            <v>0.23912145965142845</v>
          </cell>
          <cell r="V56">
            <v>0.22590079318727285</v>
          </cell>
          <cell r="W56">
            <v>0.26584463244543977</v>
          </cell>
          <cell r="X56">
            <v>1.3220666464155595E-2</v>
          </cell>
          <cell r="Y56">
            <v>-2.6723172794011318E-2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6.6429430731707324</v>
          </cell>
          <cell r="W57">
            <v>6.765891707805709</v>
          </cell>
          <cell r="X57">
            <v>-2.2943073170730521E-2</v>
          </cell>
          <cell r="Y57">
            <v>-0.14589170780570715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2.2999999999999993E-2</v>
          </cell>
          <cell r="V58">
            <v>2.4458712588109173E-2</v>
          </cell>
          <cell r="W58">
            <v>2.4810041236387727E-2</v>
          </cell>
          <cell r="X58">
            <v>-1.4587125881091803E-3</v>
          </cell>
          <cell r="Y58">
            <v>-1.8100412363877341E-3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0.17090843257852897</v>
          </cell>
          <cell r="W59">
            <v>0.22597877783283751</v>
          </cell>
          <cell r="X59">
            <v>2.4091567421471033E-2</v>
          </cell>
          <cell r="Y59">
            <v>-3.0978777832837506E-2</v>
          </cell>
        </row>
        <row r="60">
          <cell r="B60" t="str">
            <v>Concess. Rev per Patron (S$)</v>
          </cell>
          <cell r="C60" t="str">
            <v>N.A.</v>
          </cell>
          <cell r="E60">
            <v>1.25</v>
          </cell>
          <cell r="F60">
            <v>1.25</v>
          </cell>
          <cell r="G60">
            <v>1.25</v>
          </cell>
          <cell r="H60">
            <v>1.25</v>
          </cell>
          <cell r="I60">
            <v>1.25</v>
          </cell>
          <cell r="J60">
            <v>1.25</v>
          </cell>
          <cell r="K60">
            <v>1.25</v>
          </cell>
          <cell r="L60">
            <v>1.25</v>
          </cell>
          <cell r="M60">
            <v>1.25</v>
          </cell>
          <cell r="N60">
            <v>1.25</v>
          </cell>
          <cell r="O60">
            <v>1.25</v>
          </cell>
          <cell r="P60">
            <v>1.25</v>
          </cell>
          <cell r="R60" t="str">
            <v>N.A.</v>
          </cell>
          <cell r="S60" t="str">
            <v>N.A.</v>
          </cell>
          <cell r="U60">
            <v>1.25</v>
          </cell>
          <cell r="V60">
            <v>1.2910436341463416</v>
          </cell>
          <cell r="W60">
            <v>1.0762524489087042</v>
          </cell>
          <cell r="X60">
            <v>-4.1043634146341601E-2</v>
          </cell>
          <cell r="Y60">
            <v>0.1737475510912958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0.46389614130257711</v>
          </cell>
          <cell r="W61">
            <v>0.4581321373607723</v>
          </cell>
          <cell r="X61">
            <v>1.1038586974227993E-3</v>
          </cell>
          <cell r="Y61">
            <v>6.8678626392276176E-3</v>
          </cell>
        </row>
        <row r="62">
          <cell r="B62" t="str">
            <v>Direct Payroll : Net Box</v>
          </cell>
          <cell r="C62" t="str">
            <v>N.A.</v>
          </cell>
          <cell r="E62">
            <v>9.3527564514168687E-2</v>
          </cell>
          <cell r="F62">
            <v>9.0604828123100917E-2</v>
          </cell>
          <cell r="G62">
            <v>7.2742343193566053E-2</v>
          </cell>
          <cell r="H62">
            <v>9.3527564514168687E-2</v>
          </cell>
          <cell r="I62">
            <v>8.7859227270885729E-2</v>
          </cell>
          <cell r="J62">
            <v>6.3456086615664001E-2</v>
          </cell>
          <cell r="K62">
            <v>9.52629840099537E-2</v>
          </cell>
          <cell r="L62">
            <v>7.7714539587067491E-2</v>
          </cell>
          <cell r="M62">
            <v>7.2291287507274843E-2</v>
          </cell>
          <cell r="N62">
            <v>9.2286015759642653E-2</v>
          </cell>
          <cell r="O62">
            <v>6.8229979220349291E-2</v>
          </cell>
          <cell r="P62">
            <v>7.5905851882638598E-2</v>
          </cell>
          <cell r="R62" t="str">
            <v>N.A.</v>
          </cell>
          <cell r="S62" t="str">
            <v>N.A.</v>
          </cell>
          <cell r="U62">
            <v>8.0294801989766448E-2</v>
          </cell>
          <cell r="V62">
            <v>0.10007998089562609</v>
          </cell>
          <cell r="W62">
            <v>0.10378658067826398</v>
          </cell>
          <cell r="X62">
            <v>-1.9785178905859638E-2</v>
          </cell>
          <cell r="Y62">
            <v>-2.3491778688497528E-2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7.8672487558296908E-2</v>
          </cell>
          <cell r="F63">
            <v>7.6213972322100129E-2</v>
          </cell>
          <cell r="G63">
            <v>6.1188603804499017E-2</v>
          </cell>
          <cell r="H63">
            <v>7.8672487558296908E-2</v>
          </cell>
          <cell r="I63">
            <v>7.3904458009309212E-2</v>
          </cell>
          <cell r="J63">
            <v>5.3377292680520425E-2</v>
          </cell>
          <cell r="K63">
            <v>8.0132268633531581E-2</v>
          </cell>
          <cell r="L63">
            <v>6.5371061253670495E-2</v>
          </cell>
          <cell r="M63">
            <v>6.0809189745636531E-2</v>
          </cell>
          <cell r="N63">
            <v>7.7628135238733714E-2</v>
          </cell>
          <cell r="O63">
            <v>5.739294313071313E-2</v>
          </cell>
          <cell r="P63">
            <v>6.384964923291836E-2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6.7541497988850563E-2</v>
          </cell>
          <cell r="V63">
            <v>8.3794647051844307E-2</v>
          </cell>
          <cell r="W63">
            <v>8.9542955543777655E-2</v>
          </cell>
          <cell r="X63">
            <v>-1.6253149062993744E-2</v>
          </cell>
          <cell r="Y63">
            <v>-2.2001457554927092E-2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0.61915247708379673</v>
          </cell>
          <cell r="F64">
            <v>0.59980396217492804</v>
          </cell>
          <cell r="G64">
            <v>0.48155431194140724</v>
          </cell>
          <cell r="H64">
            <v>0.61915247708379673</v>
          </cell>
          <cell r="I64">
            <v>0.58162808453326353</v>
          </cell>
          <cell r="J64">
            <v>0.42007929339569572</v>
          </cell>
          <cell r="K64">
            <v>0.6306409541458935</v>
          </cell>
          <cell r="L64">
            <v>0.51447025206638686</v>
          </cell>
          <cell r="M64">
            <v>0.47856832329815951</v>
          </cell>
          <cell r="N64">
            <v>0.61093342432883435</v>
          </cell>
          <cell r="O64">
            <v>0.45168246243871235</v>
          </cell>
          <cell r="P64">
            <v>0.5024967394630675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0.53155158917225409</v>
          </cell>
          <cell r="V64">
            <v>0.66482561585365851</v>
          </cell>
          <cell r="W64">
            <v>0.70220876559257439</v>
          </cell>
          <cell r="X64">
            <v>-0.13327402668140442</v>
          </cell>
          <cell r="Y64">
            <v>-0.1706571764203203</v>
          </cell>
        </row>
        <row r="65">
          <cell r="B65" t="str">
            <v>Gross Margin :Total Rev</v>
          </cell>
          <cell r="C65" t="str">
            <v>N.A.</v>
          </cell>
          <cell r="E65">
            <v>0.51211636333480404</v>
          </cell>
          <cell r="F65">
            <v>0.51342619472493045</v>
          </cell>
          <cell r="G65">
            <v>0.52086372110490842</v>
          </cell>
          <cell r="H65">
            <v>0.51211636333480404</v>
          </cell>
          <cell r="I65">
            <v>0.51466151102698665</v>
          </cell>
          <cell r="J65">
            <v>0.52525683568447157</v>
          </cell>
          <cell r="K65">
            <v>0.51075151160763899</v>
          </cell>
          <cell r="L65">
            <v>0.51878827637425395</v>
          </cell>
          <cell r="M65">
            <v>0.52065397023989801</v>
          </cell>
          <cell r="N65">
            <v>0.51210130219029681</v>
          </cell>
          <cell r="O65">
            <v>0.52259375655749329</v>
          </cell>
          <cell r="P65">
            <v>0.51893648961195638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0.51752473037837543</v>
          </cell>
          <cell r="V65">
            <v>0.51212188544226755</v>
          </cell>
          <cell r="W65">
            <v>0.48136110921269704</v>
          </cell>
          <cell r="X65">
            <v>5.4028449361078756E-3</v>
          </cell>
          <cell r="Y65">
            <v>3.6163621165678395E-2</v>
          </cell>
        </row>
        <row r="66">
          <cell r="B66" t="str">
            <v>G&amp;A % of total revenue</v>
          </cell>
          <cell r="C66" t="str">
            <v>N.A.</v>
          </cell>
          <cell r="E66">
            <v>3.9560336651321186E-2</v>
          </cell>
          <cell r="F66">
            <v>3.8402116254637207E-2</v>
          </cell>
          <cell r="G66">
            <v>3.0092812987608641E-2</v>
          </cell>
          <cell r="H66">
            <v>3.9560336651321186E-2</v>
          </cell>
          <cell r="I66">
            <v>3.692074277605184E-2</v>
          </cell>
          <cell r="J66">
            <v>2.6697924240503056E-2</v>
          </cell>
          <cell r="K66">
            <v>3.9573985168592833E-2</v>
          </cell>
          <cell r="L66">
            <v>3.5608995922753808E-2</v>
          </cell>
          <cell r="M66">
            <v>2.9731299823613038E-2</v>
          </cell>
          <cell r="N66">
            <v>3.8014931879456988E-2</v>
          </cell>
          <cell r="O66">
            <v>2.8138192218877367E-2</v>
          </cell>
          <cell r="P66">
            <v>3.081738943073568E-2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3.3753639474473719E-2</v>
          </cell>
          <cell r="V66">
            <v>4.1441941196655535E-2</v>
          </cell>
          <cell r="W66">
            <v>4.2028846021488653E-2</v>
          </cell>
          <cell r="X66">
            <v>-7.6883017221818159E-3</v>
          </cell>
          <cell r="Y66">
            <v>-8.2752065470149336E-3</v>
          </cell>
        </row>
        <row r="67">
          <cell r="B67" t="str">
            <v>E.B.I.T.D. : Total Rev</v>
          </cell>
          <cell r="C67" t="str">
            <v>N.A.</v>
          </cell>
          <cell r="E67">
            <v>0.1163223598348611</v>
          </cell>
          <cell r="F67">
            <v>0.12921997653074099</v>
          </cell>
          <cell r="G67">
            <v>0.21708254689680467</v>
          </cell>
          <cell r="H67">
            <v>0.10674156970230847</v>
          </cell>
          <cell r="I67">
            <v>0.14177290298477896</v>
          </cell>
          <cell r="J67">
            <v>0.25827696103602737</v>
          </cell>
          <cell r="K67">
            <v>0.11494385959042441</v>
          </cell>
          <cell r="L67">
            <v>0.18904410567214364</v>
          </cell>
          <cell r="M67">
            <v>0.18746219342478423</v>
          </cell>
          <cell r="N67">
            <v>0.12828226837128756</v>
          </cell>
          <cell r="O67">
            <v>0.24129846199494989</v>
          </cell>
          <cell r="P67">
            <v>0.20793848495235559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0.17708867588852267</v>
          </cell>
          <cell r="V67">
            <v>0.15905161899030301</v>
          </cell>
          <cell r="W67">
            <v>0.15519685052680807</v>
          </cell>
          <cell r="X67">
            <v>1.8037056898219661E-2</v>
          </cell>
          <cell r="Y67">
            <v>2.1891825361714606E-2</v>
          </cell>
        </row>
        <row r="68">
          <cell r="B68" t="str">
            <v>No of Concession Transactions</v>
          </cell>
          <cell r="E68">
            <v>16</v>
          </cell>
          <cell r="F68">
            <v>15</v>
          </cell>
          <cell r="G68">
            <v>22</v>
          </cell>
          <cell r="H68">
            <v>16</v>
          </cell>
          <cell r="I68">
            <v>17</v>
          </cell>
          <cell r="J68">
            <v>22</v>
          </cell>
          <cell r="K68">
            <v>16</v>
          </cell>
          <cell r="L68">
            <v>19</v>
          </cell>
          <cell r="M68">
            <v>22</v>
          </cell>
          <cell r="N68">
            <v>19</v>
          </cell>
          <cell r="O68">
            <v>20</v>
          </cell>
          <cell r="P68">
            <v>26</v>
          </cell>
          <cell r="Q68">
            <v>0</v>
          </cell>
          <cell r="R68">
            <v>30.509</v>
          </cell>
          <cell r="S68">
            <v>31.509</v>
          </cell>
          <cell r="T68">
            <v>32.509</v>
          </cell>
          <cell r="U68">
            <v>230</v>
          </cell>
          <cell r="V68">
            <v>216</v>
          </cell>
          <cell r="W68">
            <v>0</v>
          </cell>
          <cell r="X68">
            <v>14</v>
          </cell>
          <cell r="Y68">
            <v>230</v>
          </cell>
        </row>
        <row r="69">
          <cell r="B69" t="str">
            <v>Strike Rate %(No of Trans/Adm)</v>
          </cell>
          <cell r="E69">
            <v>0.25806451612903225</v>
          </cell>
          <cell r="F69">
            <v>0.234375</v>
          </cell>
          <cell r="G69">
            <v>0.26829268292682928</v>
          </cell>
          <cell r="H69">
            <v>0.25806451612903225</v>
          </cell>
          <cell r="I69">
            <v>0.25757575757575757</v>
          </cell>
          <cell r="J69">
            <v>0.23404255319148937</v>
          </cell>
          <cell r="K69">
            <v>0.25806451612903225</v>
          </cell>
          <cell r="L69">
            <v>0.25</v>
          </cell>
          <cell r="M69">
            <v>0.26190476190476192</v>
          </cell>
          <cell r="N69">
            <v>0.296875</v>
          </cell>
          <cell r="O69">
            <v>0.2247191011235955</v>
          </cell>
          <cell r="P69">
            <v>0.32500000000000001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0.25988700564971751</v>
          </cell>
          <cell r="V69">
            <v>0.26341463414634148</v>
          </cell>
          <cell r="W69">
            <v>0</v>
          </cell>
          <cell r="X69">
            <v>-3.527628496623969E-3</v>
          </cell>
          <cell r="Y69">
            <v>0.25988700564971751</v>
          </cell>
        </row>
        <row r="70">
          <cell r="B70" t="str">
            <v>Ave Sales (Total Sale/No of Trans) (S$)</v>
          </cell>
          <cell r="E70">
            <v>4.84375</v>
          </cell>
          <cell r="F70">
            <v>5.333333333333333</v>
          </cell>
          <cell r="G70">
            <v>4.6590909090909092</v>
          </cell>
          <cell r="H70">
            <v>4.84375</v>
          </cell>
          <cell r="I70">
            <v>4.8529411764705879</v>
          </cell>
          <cell r="J70">
            <v>5.3409090909090908</v>
          </cell>
          <cell r="K70">
            <v>4.84375</v>
          </cell>
          <cell r="L70">
            <v>5</v>
          </cell>
          <cell r="M70">
            <v>4.7727272727272725</v>
          </cell>
          <cell r="N70">
            <v>4.2105263157894735</v>
          </cell>
          <cell r="O70">
            <v>5.5625</v>
          </cell>
          <cell r="P70">
            <v>3.8461538461538463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4.8097826086956523</v>
          </cell>
          <cell r="V70">
            <v>4.9011841666666669</v>
          </cell>
          <cell r="W70" t="str">
            <v>N.A.</v>
          </cell>
          <cell r="X70">
            <v>-9.1401557971014569E-2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30</v>
          </cell>
          <cell r="F71">
            <v>31</v>
          </cell>
          <cell r="G71">
            <v>44</v>
          </cell>
          <cell r="H71">
            <v>31</v>
          </cell>
          <cell r="I71">
            <v>35</v>
          </cell>
          <cell r="J71">
            <v>50</v>
          </cell>
          <cell r="K71">
            <v>30</v>
          </cell>
          <cell r="L71">
            <v>35</v>
          </cell>
          <cell r="M71">
            <v>46</v>
          </cell>
          <cell r="N71">
            <v>34</v>
          </cell>
          <cell r="O71">
            <v>46</v>
          </cell>
          <cell r="P71">
            <v>45</v>
          </cell>
          <cell r="Q71">
            <v>0</v>
          </cell>
          <cell r="R71">
            <v>71.703000000000003</v>
          </cell>
          <cell r="S71">
            <v>72.703000000000003</v>
          </cell>
          <cell r="T71">
            <v>73.703000000000003</v>
          </cell>
          <cell r="U71">
            <v>457</v>
          </cell>
          <cell r="V71">
            <v>550</v>
          </cell>
          <cell r="W71">
            <v>0</v>
          </cell>
          <cell r="X71">
            <v>-93</v>
          </cell>
          <cell r="Y71">
            <v>457</v>
          </cell>
        </row>
        <row r="72">
          <cell r="B72" t="str">
            <v>Combo Sales as % of Total Sales</v>
          </cell>
          <cell r="E72">
            <v>0.38709677419354838</v>
          </cell>
          <cell r="F72">
            <v>0.38750000000000001</v>
          </cell>
          <cell r="G72">
            <v>0.42926829268292682</v>
          </cell>
          <cell r="H72">
            <v>0.4</v>
          </cell>
          <cell r="I72">
            <v>0.42424242424242425</v>
          </cell>
          <cell r="J72">
            <v>0.42553191489361702</v>
          </cell>
          <cell r="K72">
            <v>0.38709677419354838</v>
          </cell>
          <cell r="L72">
            <v>0.36842105263157893</v>
          </cell>
          <cell r="M72">
            <v>0.43809523809523809</v>
          </cell>
          <cell r="N72">
            <v>0.42499999999999999</v>
          </cell>
          <cell r="O72">
            <v>0.41348314606741571</v>
          </cell>
          <cell r="P72">
            <v>0.45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0.41310734463276838</v>
          </cell>
          <cell r="V72">
            <v>0.51952675306793294</v>
          </cell>
          <cell r="W72">
            <v>0</v>
          </cell>
          <cell r="X72">
            <v>-0.10641940843516456</v>
          </cell>
          <cell r="Y72">
            <v>0.41310734463276838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>
            <v>0</v>
          </cell>
          <cell r="R73">
            <v>6.0760000000000005</v>
          </cell>
          <cell r="S73">
            <v>6.0760000000000005</v>
          </cell>
          <cell r="T73">
            <v>6.0760000000000005</v>
          </cell>
          <cell r="U73">
            <v>69.617000000000004</v>
          </cell>
          <cell r="V73">
            <v>68</v>
          </cell>
          <cell r="W73">
            <v>0</v>
          </cell>
          <cell r="X73">
            <v>1.6170000000000044</v>
          </cell>
          <cell r="Y73">
            <v>69.617000000000004</v>
          </cell>
        </row>
        <row r="74">
          <cell r="B74" t="str">
            <v>Admissions/labour hour paid</v>
          </cell>
          <cell r="E74">
            <v>13.451941852896507</v>
          </cell>
          <cell r="F74">
            <v>12.576144625663193</v>
          </cell>
          <cell r="G74">
            <v>11.714285714285714</v>
          </cell>
          <cell r="H74">
            <v>13.006083490664988</v>
          </cell>
          <cell r="I74">
            <v>13.2</v>
          </cell>
          <cell r="J74">
            <v>13.428571428571429</v>
          </cell>
          <cell r="K74">
            <v>10.204081632653061</v>
          </cell>
          <cell r="L74">
            <v>15.2</v>
          </cell>
          <cell r="M74">
            <v>12</v>
          </cell>
          <cell r="N74">
            <v>12.8</v>
          </cell>
          <cell r="O74">
            <v>12.714285714285714</v>
          </cell>
          <cell r="P74">
            <v>13.166556945358787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12.712412198169986</v>
          </cell>
          <cell r="V74">
            <v>12.058823529411764</v>
          </cell>
          <cell r="W74" t="str">
            <v>N.A.</v>
          </cell>
          <cell r="X74">
            <v>0.6535886687582213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46.892529999999994</v>
          </cell>
          <cell r="W77">
            <v>3.8690000000000002</v>
          </cell>
          <cell r="X77">
            <v>-19.705029999999994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2.5</v>
          </cell>
          <cell r="F78">
            <v>2.5</v>
          </cell>
          <cell r="G78">
            <v>2.5</v>
          </cell>
          <cell r="H78">
            <v>2.5</v>
          </cell>
          <cell r="I78">
            <v>2.5</v>
          </cell>
          <cell r="J78">
            <v>2.5</v>
          </cell>
          <cell r="K78">
            <v>2.5</v>
          </cell>
          <cell r="L78">
            <v>2.5</v>
          </cell>
          <cell r="M78">
            <v>2.5</v>
          </cell>
          <cell r="N78">
            <v>2.5</v>
          </cell>
          <cell r="O78">
            <v>2.5</v>
          </cell>
          <cell r="P78">
            <v>2.5</v>
          </cell>
          <cell r="T78">
            <v>0</v>
          </cell>
          <cell r="U78">
            <v>30</v>
          </cell>
          <cell r="V78">
            <v>26.965</v>
          </cell>
          <cell r="W78">
            <v>3.2970000000000002</v>
          </cell>
          <cell r="X78">
            <v>3.0350000000000001</v>
          </cell>
          <cell r="Y78">
            <v>26.702999999999999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55.29</v>
          </cell>
          <cell r="W82">
            <v>54.024000000000001</v>
          </cell>
          <cell r="X82">
            <v>-17.225999999999999</v>
          </cell>
          <cell r="Y82">
            <v>-15.96</v>
          </cell>
        </row>
        <row r="83">
          <cell r="C83">
            <v>0</v>
          </cell>
          <cell r="E83">
            <v>7.9376250000000006</v>
          </cell>
          <cell r="F83">
            <v>7.9376250000000006</v>
          </cell>
          <cell r="G83">
            <v>7.9376250000000006</v>
          </cell>
          <cell r="H83">
            <v>7.9376250000000006</v>
          </cell>
          <cell r="I83">
            <v>7.9376250000000006</v>
          </cell>
          <cell r="J83">
            <v>7.9376250000000006</v>
          </cell>
          <cell r="K83">
            <v>7.9376250000000006</v>
          </cell>
          <cell r="L83">
            <v>7.9376250000000006</v>
          </cell>
          <cell r="M83">
            <v>7.9376250000000006</v>
          </cell>
          <cell r="N83">
            <v>7.9376250000000006</v>
          </cell>
          <cell r="O83">
            <v>7.9376250000000006</v>
          </cell>
          <cell r="P83">
            <v>7.9376250000000006</v>
          </cell>
          <cell r="R83">
            <v>0</v>
          </cell>
          <cell r="S83">
            <v>0</v>
          </cell>
          <cell r="T83">
            <v>0</v>
          </cell>
          <cell r="U83">
            <v>95.251499999999993</v>
          </cell>
          <cell r="V83">
            <v>129.14752999999999</v>
          </cell>
          <cell r="W83">
            <v>61.19</v>
          </cell>
          <cell r="X83">
            <v>-33.896029999999996</v>
          </cell>
          <cell r="Y83">
            <v>34.061499999999995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0.82088000000000005</v>
          </cell>
          <cell r="F86">
            <v>0.84736</v>
          </cell>
          <cell r="G86">
            <v>1.08568</v>
          </cell>
          <cell r="H86">
            <v>0.82088000000000005</v>
          </cell>
          <cell r="I86">
            <v>0.87384000000000006</v>
          </cell>
          <cell r="J86">
            <v>1.2445599999999999</v>
          </cell>
          <cell r="K86">
            <v>0.82088000000000005</v>
          </cell>
          <cell r="L86">
            <v>1.00624</v>
          </cell>
          <cell r="M86">
            <v>1.11216</v>
          </cell>
          <cell r="N86">
            <v>0.84736</v>
          </cell>
          <cell r="O86">
            <v>1.1783600000000001</v>
          </cell>
          <cell r="P86">
            <v>1.0592000000000001</v>
          </cell>
          <cell r="U86">
            <v>11.7174</v>
          </cell>
          <cell r="V86">
            <v>10.894426640000002</v>
          </cell>
          <cell r="W86">
            <v>13.751932000000002</v>
          </cell>
          <cell r="X86">
            <v>0.8229733599999971</v>
          </cell>
          <cell r="Y86">
            <v>-2.0345320000000022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0.82088000000000005</v>
          </cell>
          <cell r="F91">
            <v>0.84736</v>
          </cell>
          <cell r="G91">
            <v>1.08568</v>
          </cell>
          <cell r="H91">
            <v>0.82088000000000005</v>
          </cell>
          <cell r="I91">
            <v>0.87384000000000006</v>
          </cell>
          <cell r="J91">
            <v>1.2445599999999999</v>
          </cell>
          <cell r="K91">
            <v>0.82088000000000005</v>
          </cell>
          <cell r="L91">
            <v>1.00624</v>
          </cell>
          <cell r="M91">
            <v>1.11216</v>
          </cell>
          <cell r="N91">
            <v>0.84736</v>
          </cell>
          <cell r="O91">
            <v>1.1783600000000001</v>
          </cell>
          <cell r="P91">
            <v>1.0592000000000001</v>
          </cell>
          <cell r="U91">
            <v>11.7174</v>
          </cell>
          <cell r="V91">
            <v>10.894426640000002</v>
          </cell>
          <cell r="W91">
            <v>13.751932000000002</v>
          </cell>
          <cell r="X91">
            <v>0.8229733599999971</v>
          </cell>
          <cell r="Y91">
            <v>-2.0345320000000022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35.670478995862062</v>
          </cell>
          <cell r="F94">
            <v>35.670478995862062</v>
          </cell>
          <cell r="G94">
            <v>36.770478995862064</v>
          </cell>
          <cell r="H94">
            <v>35.670478995862062</v>
          </cell>
          <cell r="I94">
            <v>35.670478995862062</v>
          </cell>
          <cell r="J94">
            <v>36.770478995862064</v>
          </cell>
          <cell r="K94">
            <v>36.382764573712066</v>
          </cell>
          <cell r="L94">
            <v>36.382764573712066</v>
          </cell>
          <cell r="M94">
            <v>37.482764573712068</v>
          </cell>
          <cell r="N94">
            <v>36.382764573712066</v>
          </cell>
          <cell r="O94">
            <v>37.482764573712068</v>
          </cell>
          <cell r="P94">
            <v>37.482764573712068</v>
          </cell>
          <cell r="Q94">
            <v>0</v>
          </cell>
          <cell r="T94">
            <v>0</v>
          </cell>
          <cell r="U94">
            <v>437.81946141744476</v>
          </cell>
          <cell r="V94">
            <v>502.37193500000001</v>
          </cell>
          <cell r="W94">
            <v>640.92899999999997</v>
          </cell>
          <cell r="X94">
            <v>-64.552473582555251</v>
          </cell>
          <cell r="Y94">
            <v>-203.10953858255522</v>
          </cell>
        </row>
        <row r="95">
          <cell r="A95">
            <v>67</v>
          </cell>
          <cell r="B95" t="str">
            <v>Bonus/Commission</v>
          </cell>
          <cell r="E95">
            <v>1.5359745833333331</v>
          </cell>
          <cell r="F95">
            <v>1.5359745833333331</v>
          </cell>
          <cell r="G95">
            <v>1.5359745833333331</v>
          </cell>
          <cell r="H95">
            <v>1.5359745833333331</v>
          </cell>
          <cell r="I95">
            <v>1.5359745833333331</v>
          </cell>
          <cell r="J95">
            <v>1.5359745833333331</v>
          </cell>
          <cell r="K95">
            <v>1.5359745833333331</v>
          </cell>
          <cell r="L95">
            <v>1.5359745833333331</v>
          </cell>
          <cell r="M95">
            <v>1.5359745833333331</v>
          </cell>
          <cell r="N95">
            <v>1.5359745833333331</v>
          </cell>
          <cell r="O95">
            <v>1.5359745833333331</v>
          </cell>
          <cell r="P95">
            <v>1.5359745833333331</v>
          </cell>
          <cell r="Q95">
            <v>0</v>
          </cell>
          <cell r="T95">
            <v>0</v>
          </cell>
          <cell r="U95">
            <v>18.431694999999998</v>
          </cell>
          <cell r="V95">
            <v>24.458890000000004</v>
          </cell>
          <cell r="W95">
            <v>39.375999999999998</v>
          </cell>
          <cell r="X95">
            <v>-6.0271950000000061</v>
          </cell>
          <cell r="Y95">
            <v>-20.944305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Q97">
            <v>0</v>
          </cell>
          <cell r="T97">
            <v>0</v>
          </cell>
          <cell r="U97">
            <v>6.6360000000000001</v>
          </cell>
          <cell r="V97">
            <v>9.9864999999999977</v>
          </cell>
          <cell r="W97">
            <v>18.306000000000001</v>
          </cell>
          <cell r="X97">
            <v>-3.3504999999999976</v>
          </cell>
          <cell r="Y97">
            <v>-11.67</v>
          </cell>
        </row>
        <row r="98">
          <cell r="A98">
            <v>70</v>
          </cell>
          <cell r="B98" t="str">
            <v>Miscellaneous</v>
          </cell>
          <cell r="E98">
            <v>0.628</v>
          </cell>
          <cell r="F98">
            <v>0.628</v>
          </cell>
          <cell r="G98">
            <v>0.628</v>
          </cell>
          <cell r="H98">
            <v>0.628</v>
          </cell>
          <cell r="I98">
            <v>0.628</v>
          </cell>
          <cell r="J98">
            <v>0.628</v>
          </cell>
          <cell r="K98">
            <v>0.628</v>
          </cell>
          <cell r="L98">
            <v>0.628</v>
          </cell>
          <cell r="M98">
            <v>0.628</v>
          </cell>
          <cell r="N98">
            <v>0.628</v>
          </cell>
          <cell r="O98">
            <v>0.628</v>
          </cell>
          <cell r="P98">
            <v>0.628</v>
          </cell>
          <cell r="Q98">
            <v>0</v>
          </cell>
          <cell r="T98">
            <v>0</v>
          </cell>
          <cell r="U98">
            <v>7.5360000000000005</v>
          </cell>
          <cell r="V98">
            <v>8.3396799999999995</v>
          </cell>
          <cell r="W98">
            <v>15.022</v>
          </cell>
          <cell r="X98">
            <v>-0.80367999999999906</v>
          </cell>
          <cell r="Y98">
            <v>-7.4859999999999998</v>
          </cell>
        </row>
        <row r="99">
          <cell r="C99">
            <v>0</v>
          </cell>
          <cell r="E99">
            <v>38.387453579195395</v>
          </cell>
          <cell r="F99">
            <v>38.387453579195395</v>
          </cell>
          <cell r="G99">
            <v>39.487453579195396</v>
          </cell>
          <cell r="H99">
            <v>38.387453579195395</v>
          </cell>
          <cell r="I99">
            <v>38.387453579195395</v>
          </cell>
          <cell r="J99">
            <v>39.487453579195396</v>
          </cell>
          <cell r="K99">
            <v>39.099739157045398</v>
          </cell>
          <cell r="L99">
            <v>39.099739157045398</v>
          </cell>
          <cell r="M99">
            <v>40.1997391570454</v>
          </cell>
          <cell r="N99">
            <v>39.099739157045398</v>
          </cell>
          <cell r="O99">
            <v>40.1997391570454</v>
          </cell>
          <cell r="P99">
            <v>40.1997391570454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470.42315641744477</v>
          </cell>
          <cell r="V99">
            <v>545.15700500000003</v>
          </cell>
          <cell r="W99">
            <v>713.63300000000004</v>
          </cell>
          <cell r="X99">
            <v>-74.733848582555254</v>
          </cell>
          <cell r="Y99">
            <v>-243.20984358255527</v>
          </cell>
        </row>
        <row r="100">
          <cell r="Q100">
            <v>0</v>
          </cell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Q101">
            <v>0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Q102">
            <v>0</v>
          </cell>
          <cell r="T102">
            <v>0</v>
          </cell>
          <cell r="U102">
            <v>15.6</v>
          </cell>
          <cell r="V102">
            <v>15.712970000000006</v>
          </cell>
          <cell r="W102">
            <v>18.341999999999999</v>
          </cell>
          <cell r="X102">
            <v>-0.11297000000000246</v>
          </cell>
          <cell r="Y102">
            <v>-2.7419999999999956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21.268763333333332</v>
          </cell>
          <cell r="W104">
            <v>25.375</v>
          </cell>
          <cell r="X104">
            <v>2.7312366666666676</v>
          </cell>
          <cell r="Y104">
            <v>-1.375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10.095800000000001</v>
          </cell>
          <cell r="W105">
            <v>11.21</v>
          </cell>
          <cell r="X105">
            <v>1.9041999999999994</v>
          </cell>
          <cell r="Y105">
            <v>0.78999999999999915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6.6429699999999992</v>
          </cell>
          <cell r="W106">
            <v>0</v>
          </cell>
          <cell r="X106">
            <v>-0.64296999999999915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0.36</v>
          </cell>
          <cell r="F108">
            <v>0.36</v>
          </cell>
          <cell r="G108">
            <v>0.36</v>
          </cell>
          <cell r="H108">
            <v>0.36</v>
          </cell>
          <cell r="I108">
            <v>0.36</v>
          </cell>
          <cell r="J108">
            <v>0.36</v>
          </cell>
          <cell r="K108">
            <v>0.36</v>
          </cell>
          <cell r="L108">
            <v>0.36</v>
          </cell>
          <cell r="M108">
            <v>0.36</v>
          </cell>
          <cell r="N108">
            <v>0.36</v>
          </cell>
          <cell r="O108">
            <v>0.36</v>
          </cell>
          <cell r="P108">
            <v>0.36</v>
          </cell>
          <cell r="T108">
            <v>0</v>
          </cell>
          <cell r="U108">
            <v>4.32</v>
          </cell>
          <cell r="V108">
            <v>6.5681123999999969</v>
          </cell>
          <cell r="W108">
            <v>20.073067999999999</v>
          </cell>
          <cell r="X108">
            <v>-2.2481123999999975</v>
          </cell>
          <cell r="Y108">
            <v>-15.753067999999999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6.6736800000000001</v>
          </cell>
          <cell r="F111">
            <v>6.6736800000000001</v>
          </cell>
          <cell r="G111">
            <v>6.4584000000000001</v>
          </cell>
          <cell r="H111">
            <v>6.6736800000000001</v>
          </cell>
          <cell r="I111">
            <v>6.4584000000000001</v>
          </cell>
          <cell r="J111">
            <v>6.6736800000000001</v>
          </cell>
          <cell r="K111">
            <v>6.6736800000000001</v>
          </cell>
          <cell r="L111">
            <v>8.5278400000000012</v>
          </cell>
          <cell r="M111">
            <v>6.6736800000000001</v>
          </cell>
          <cell r="N111">
            <v>6.4584000000000001</v>
          </cell>
          <cell r="O111">
            <v>6.6736800000000001</v>
          </cell>
          <cell r="P111">
            <v>6.4584000000000001</v>
          </cell>
          <cell r="T111">
            <v>0</v>
          </cell>
          <cell r="U111">
            <v>81.077200000000005</v>
          </cell>
          <cell r="V111">
            <v>113.20794000000001</v>
          </cell>
          <cell r="W111">
            <v>169.8</v>
          </cell>
          <cell r="X111">
            <v>-32.130740000000003</v>
          </cell>
          <cell r="Y111">
            <v>-88.722800000000007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53.916430000000005</v>
          </cell>
          <cell r="W112">
            <v>38.929000000000002</v>
          </cell>
          <cell r="X112">
            <v>-5.9164300000000054</v>
          </cell>
          <cell r="Y112">
            <v>9.070999999999998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7.3634400000000007</v>
          </cell>
          <cell r="W113">
            <v>7.016</v>
          </cell>
          <cell r="X113">
            <v>-0.16344000000000225</v>
          </cell>
          <cell r="Y113">
            <v>0.18399999999999839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6.48</v>
          </cell>
          <cell r="W114">
            <v>3.9990000000000001</v>
          </cell>
          <cell r="X114">
            <v>-4.08</v>
          </cell>
          <cell r="Y114">
            <v>-1.5990000000000002</v>
          </cell>
        </row>
        <row r="115">
          <cell r="A115">
            <v>84</v>
          </cell>
          <cell r="B115" t="str">
            <v>Freight</v>
          </cell>
          <cell r="E115">
            <v>0.50309999999999999</v>
          </cell>
          <cell r="F115">
            <v>0.50309999999999999</v>
          </cell>
          <cell r="G115">
            <v>0.50309999999999999</v>
          </cell>
          <cell r="H115">
            <v>0.50309999999999999</v>
          </cell>
          <cell r="I115">
            <v>0.50309999999999999</v>
          </cell>
          <cell r="J115">
            <v>0.50309999999999999</v>
          </cell>
          <cell r="K115">
            <v>0.50309999999999999</v>
          </cell>
          <cell r="L115">
            <v>0.50309999999999999</v>
          </cell>
          <cell r="M115">
            <v>0.50309999999999999</v>
          </cell>
          <cell r="N115">
            <v>0.50309999999999999</v>
          </cell>
          <cell r="O115">
            <v>0.50309999999999999</v>
          </cell>
          <cell r="P115">
            <v>0.50309999999999999</v>
          </cell>
          <cell r="T115">
            <v>0</v>
          </cell>
          <cell r="U115">
            <v>6.0371999999999995</v>
          </cell>
          <cell r="V115">
            <v>5.3740999999999985</v>
          </cell>
          <cell r="W115">
            <v>4.51</v>
          </cell>
          <cell r="X115">
            <v>0.66310000000000091</v>
          </cell>
          <cell r="Y115">
            <v>1.5271999999999997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1.4</v>
          </cell>
          <cell r="F117">
            <v>1.4</v>
          </cell>
          <cell r="G117">
            <v>1.4</v>
          </cell>
          <cell r="H117">
            <v>1.4</v>
          </cell>
          <cell r="I117">
            <v>1.4</v>
          </cell>
          <cell r="J117">
            <v>1.4</v>
          </cell>
          <cell r="K117">
            <v>1.4</v>
          </cell>
          <cell r="L117">
            <v>1.4</v>
          </cell>
          <cell r="M117">
            <v>1.4</v>
          </cell>
          <cell r="N117">
            <v>1.4</v>
          </cell>
          <cell r="O117">
            <v>1.4</v>
          </cell>
          <cell r="P117">
            <v>1.4</v>
          </cell>
          <cell r="T117">
            <v>0</v>
          </cell>
          <cell r="U117">
            <v>16.8</v>
          </cell>
          <cell r="V117">
            <v>15.239010000000002</v>
          </cell>
          <cell r="W117">
            <v>20.126999999999999</v>
          </cell>
          <cell r="X117">
            <v>1.5609899999999985</v>
          </cell>
          <cell r="Y117">
            <v>-3.3269999999999982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0.50887453579195396</v>
          </cell>
          <cell r="F119">
            <v>0.50887453579195396</v>
          </cell>
          <cell r="G119">
            <v>0.51987453579195408</v>
          </cell>
          <cell r="H119">
            <v>0.50887453579195396</v>
          </cell>
          <cell r="I119">
            <v>0.50887453579195396</v>
          </cell>
          <cell r="J119">
            <v>0.51987453579195408</v>
          </cell>
          <cell r="K119">
            <v>0.5159973915704541</v>
          </cell>
          <cell r="L119">
            <v>0.5159973915704541</v>
          </cell>
          <cell r="M119">
            <v>0.52699739157045411</v>
          </cell>
          <cell r="N119">
            <v>0.5159973915704541</v>
          </cell>
          <cell r="O119">
            <v>0.52699739157045411</v>
          </cell>
          <cell r="P119">
            <v>0.52699739157045411</v>
          </cell>
          <cell r="T119">
            <v>0</v>
          </cell>
          <cell r="U119">
            <v>6.2042315641744477</v>
          </cell>
          <cell r="V119">
            <v>6.1559999999999997</v>
          </cell>
          <cell r="W119">
            <v>10.753</v>
          </cell>
          <cell r="X119">
            <v>4.8231564174447961E-2</v>
          </cell>
          <cell r="Y119">
            <v>-4.5487684358255525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8.8000000000000007</v>
          </cell>
          <cell r="W120">
            <v>15.6</v>
          </cell>
          <cell r="X120">
            <v>6.8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11.74</v>
          </cell>
          <cell r="W124">
            <v>2.3389999999999986</v>
          </cell>
          <cell r="X124">
            <v>-8.14</v>
          </cell>
          <cell r="Y124">
            <v>1.2610000000000006</v>
          </cell>
        </row>
        <row r="125">
          <cell r="C125">
            <v>0</v>
          </cell>
          <cell r="E125">
            <v>20.645654535791955</v>
          </cell>
          <cell r="F125">
            <v>20.645654535791955</v>
          </cell>
          <cell r="G125">
            <v>20.441374535791955</v>
          </cell>
          <cell r="H125">
            <v>20.645654535791955</v>
          </cell>
          <cell r="I125">
            <v>20.430374535791955</v>
          </cell>
          <cell r="J125">
            <v>20.656654535791954</v>
          </cell>
          <cell r="K125">
            <v>20.652777391570456</v>
          </cell>
          <cell r="L125">
            <v>22.506937391570457</v>
          </cell>
          <cell r="M125">
            <v>20.663777391570456</v>
          </cell>
          <cell r="N125">
            <v>20.437497391570457</v>
          </cell>
          <cell r="O125">
            <v>20.663777391570456</v>
          </cell>
          <cell r="P125">
            <v>20.448497391570456</v>
          </cell>
          <cell r="R125">
            <v>0</v>
          </cell>
          <cell r="S125">
            <v>0</v>
          </cell>
          <cell r="T125">
            <v>0</v>
          </cell>
          <cell r="U125">
            <v>248.83863156417448</v>
          </cell>
          <cell r="V125">
            <v>288.56553573333338</v>
          </cell>
          <cell r="W125">
            <v>348.07306800000003</v>
          </cell>
          <cell r="X125">
            <v>-39.7269041691589</v>
          </cell>
          <cell r="Y125">
            <v>-99.234436435825558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5" refreshError="1">
        <row r="11">
          <cell r="A11">
            <v>1</v>
          </cell>
          <cell r="B11" t="str">
            <v>Net Film Revenue</v>
          </cell>
          <cell r="E11">
            <v>355.1</v>
          </cell>
          <cell r="F11">
            <v>361.8</v>
          </cell>
          <cell r="G11">
            <v>509.2</v>
          </cell>
          <cell r="H11">
            <v>368.5</v>
          </cell>
          <cell r="I11">
            <v>415.4</v>
          </cell>
          <cell r="J11">
            <v>636.5</v>
          </cell>
          <cell r="K11">
            <v>335</v>
          </cell>
          <cell r="L11">
            <v>435.5</v>
          </cell>
          <cell r="M11">
            <v>509.2</v>
          </cell>
          <cell r="N11">
            <v>375.2</v>
          </cell>
          <cell r="O11">
            <v>522.6</v>
          </cell>
          <cell r="P11">
            <v>502.5</v>
          </cell>
          <cell r="Q11">
            <v>0</v>
          </cell>
          <cell r="T11">
            <v>0</v>
          </cell>
          <cell r="U11">
            <v>5326.5</v>
          </cell>
          <cell r="V11">
            <v>5084.3237399999989</v>
          </cell>
          <cell r="W11">
            <v>6344.5050000000001</v>
          </cell>
          <cell r="X11">
            <v>242.17626000000109</v>
          </cell>
          <cell r="Y11">
            <v>-1018.005</v>
          </cell>
        </row>
        <row r="12">
          <cell r="A12">
            <v>2</v>
          </cell>
          <cell r="B12" t="str">
            <v>Concession Sales</v>
          </cell>
          <cell r="E12">
            <v>71.55</v>
          </cell>
          <cell r="F12">
            <v>72.900000000000006</v>
          </cell>
          <cell r="G12">
            <v>102.6</v>
          </cell>
          <cell r="H12">
            <v>74.25</v>
          </cell>
          <cell r="I12">
            <v>83.7</v>
          </cell>
          <cell r="J12">
            <v>128.25</v>
          </cell>
          <cell r="K12">
            <v>67.5</v>
          </cell>
          <cell r="L12">
            <v>87.75</v>
          </cell>
          <cell r="M12">
            <v>102.6</v>
          </cell>
          <cell r="N12">
            <v>75.599999999999994</v>
          </cell>
          <cell r="O12">
            <v>105.3</v>
          </cell>
          <cell r="P12">
            <v>101.25</v>
          </cell>
          <cell r="T12">
            <v>0</v>
          </cell>
          <cell r="U12">
            <v>1073.25</v>
          </cell>
          <cell r="V12">
            <v>724.73797000000002</v>
          </cell>
          <cell r="W12">
            <v>821.76499999999999</v>
          </cell>
          <cell r="X12">
            <v>348.51202999999998</v>
          </cell>
          <cell r="Y12">
            <v>251.48500000000001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380.91274000000004</v>
          </cell>
          <cell r="W15">
            <v>337.87099999999998</v>
          </cell>
          <cell r="X15">
            <v>-146.91274000000004</v>
          </cell>
          <cell r="Y15">
            <v>-103.87099999999998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7.4376250000000006</v>
          </cell>
          <cell r="F16">
            <v>7.4376250000000006</v>
          </cell>
          <cell r="G16">
            <v>7.4376250000000006</v>
          </cell>
          <cell r="H16">
            <v>7.4376250000000006</v>
          </cell>
          <cell r="I16">
            <v>7.4376250000000006</v>
          </cell>
          <cell r="J16">
            <v>7.4376250000000006</v>
          </cell>
          <cell r="K16">
            <v>7.4376250000000006</v>
          </cell>
          <cell r="L16">
            <v>7.4376250000000006</v>
          </cell>
          <cell r="M16">
            <v>7.4376250000000006</v>
          </cell>
          <cell r="N16">
            <v>7.4376250000000006</v>
          </cell>
          <cell r="O16">
            <v>7.4376250000000006</v>
          </cell>
          <cell r="P16">
            <v>7.4376250000000006</v>
          </cell>
          <cell r="R16">
            <v>0</v>
          </cell>
          <cell r="S16">
            <v>0</v>
          </cell>
          <cell r="T16">
            <v>0</v>
          </cell>
          <cell r="U16">
            <v>89.251499999999979</v>
          </cell>
          <cell r="V16">
            <v>186.51553000000001</v>
          </cell>
          <cell r="W16">
            <v>129.892</v>
          </cell>
          <cell r="X16">
            <v>-97.264030000000034</v>
          </cell>
          <cell r="Y16">
            <v>-40.640500000000017</v>
          </cell>
        </row>
        <row r="17">
          <cell r="B17" t="str">
            <v>TOTAL REVENUE</v>
          </cell>
          <cell r="C17">
            <v>0</v>
          </cell>
          <cell r="E17">
            <v>453.58762500000006</v>
          </cell>
          <cell r="F17">
            <v>461.63762500000007</v>
          </cell>
          <cell r="G17">
            <v>638.73762499999998</v>
          </cell>
          <cell r="H17">
            <v>469.68762500000003</v>
          </cell>
          <cell r="I17">
            <v>526.03762500000005</v>
          </cell>
          <cell r="J17">
            <v>791.68762500000003</v>
          </cell>
          <cell r="K17">
            <v>429.43762500000003</v>
          </cell>
          <cell r="L17">
            <v>550.18762500000003</v>
          </cell>
          <cell r="M17">
            <v>638.73762499999998</v>
          </cell>
          <cell r="N17">
            <v>477.73762500000004</v>
          </cell>
          <cell r="O17">
            <v>654.83762500000012</v>
          </cell>
          <cell r="P17">
            <v>630.68762500000003</v>
          </cell>
          <cell r="R17">
            <v>0</v>
          </cell>
          <cell r="S17">
            <v>0</v>
          </cell>
          <cell r="T17">
            <v>0</v>
          </cell>
          <cell r="U17">
            <v>6723.0015000000003</v>
          </cell>
          <cell r="V17">
            <v>6376.4899799999985</v>
          </cell>
          <cell r="W17">
            <v>7634.0330000000004</v>
          </cell>
          <cell r="X17">
            <v>346.51152000000184</v>
          </cell>
          <cell r="Y17">
            <v>-911.03150000000005</v>
          </cell>
        </row>
        <row r="19">
          <cell r="A19">
            <v>7</v>
          </cell>
          <cell r="B19" t="str">
            <v>Film Hire</v>
          </cell>
          <cell r="E19">
            <v>165.12150000000003</v>
          </cell>
          <cell r="F19">
            <v>168.23700000000002</v>
          </cell>
          <cell r="G19">
            <v>236.77800000000002</v>
          </cell>
          <cell r="H19">
            <v>171.35249999999999</v>
          </cell>
          <cell r="I19">
            <v>193.16100000000003</v>
          </cell>
          <cell r="J19">
            <v>295.97250000000003</v>
          </cell>
          <cell r="K19">
            <v>155.77500000000001</v>
          </cell>
          <cell r="L19">
            <v>202.50749999999999</v>
          </cell>
          <cell r="M19">
            <v>236.77800000000002</v>
          </cell>
          <cell r="N19">
            <v>174.46800000000002</v>
          </cell>
          <cell r="O19">
            <v>243.00900000000001</v>
          </cell>
          <cell r="P19">
            <v>233.66249999999999</v>
          </cell>
          <cell r="U19">
            <v>2476.8225000000002</v>
          </cell>
          <cell r="V19">
            <v>2384.6974422500002</v>
          </cell>
          <cell r="W19">
            <v>2958.9290000000001</v>
          </cell>
          <cell r="X19">
            <v>92.125057749999996</v>
          </cell>
          <cell r="Y19">
            <v>-482.10649999999987</v>
          </cell>
        </row>
        <row r="20">
          <cell r="A20">
            <v>8</v>
          </cell>
          <cell r="B20" t="str">
            <v>Concession Cost</v>
          </cell>
          <cell r="E20">
            <v>15.741000000000003</v>
          </cell>
          <cell r="F20">
            <v>16.038</v>
          </cell>
          <cell r="G20">
            <v>22.572000000000003</v>
          </cell>
          <cell r="H20">
            <v>16.335000000000001</v>
          </cell>
          <cell r="I20">
            <v>18.414000000000001</v>
          </cell>
          <cell r="J20">
            <v>28.215</v>
          </cell>
          <cell r="K20">
            <v>14.85</v>
          </cell>
          <cell r="L20">
            <v>19.305</v>
          </cell>
          <cell r="M20">
            <v>22.572000000000003</v>
          </cell>
          <cell r="N20">
            <v>16.632000000000001</v>
          </cell>
          <cell r="O20">
            <v>23.166000000000004</v>
          </cell>
          <cell r="P20">
            <v>22.274999999999999</v>
          </cell>
          <cell r="T20">
            <v>0</v>
          </cell>
          <cell r="U20">
            <v>236.11500000000001</v>
          </cell>
          <cell r="V20">
            <v>158.439877</v>
          </cell>
          <cell r="W20">
            <v>207.57400000000001</v>
          </cell>
          <cell r="X20">
            <v>77.675123000000042</v>
          </cell>
          <cell r="Y20">
            <v>28.541000000000025</v>
          </cell>
        </row>
        <row r="21">
          <cell r="A21">
            <v>9</v>
          </cell>
          <cell r="B21" t="str">
            <v>Less Concession Rebates</v>
          </cell>
          <cell r="E21">
            <v>-1.7887500000000001</v>
          </cell>
          <cell r="F21">
            <v>-1.8225</v>
          </cell>
          <cell r="G21">
            <v>-2.5649999999999999</v>
          </cell>
          <cell r="H21">
            <v>-1.85625</v>
          </cell>
          <cell r="I21">
            <v>-2.0924999999999998</v>
          </cell>
          <cell r="J21">
            <v>-3.2062499999999998</v>
          </cell>
          <cell r="K21">
            <v>-1.6875</v>
          </cell>
          <cell r="L21">
            <v>-2.1937500000000001</v>
          </cell>
          <cell r="M21">
            <v>-2.5649999999999999</v>
          </cell>
          <cell r="N21">
            <v>-1.89</v>
          </cell>
          <cell r="O21">
            <v>-2.6324999999999998</v>
          </cell>
          <cell r="P21">
            <v>-2.53125</v>
          </cell>
          <cell r="U21">
            <v>-26.831250000000001</v>
          </cell>
          <cell r="V21">
            <v>-23</v>
          </cell>
          <cell r="W21">
            <v>-32.57</v>
          </cell>
          <cell r="X21">
            <v>-3.8312500000000078</v>
          </cell>
          <cell r="Y21">
            <v>5.7387499999999925</v>
          </cell>
        </row>
        <row r="22">
          <cell r="A22">
            <v>10</v>
          </cell>
          <cell r="B22" t="str">
            <v>Advertising Cost</v>
          </cell>
          <cell r="E22">
            <v>8.1673000000000009</v>
          </cell>
          <cell r="F22">
            <v>8.3214000000000006</v>
          </cell>
          <cell r="G22">
            <v>11.711599999999999</v>
          </cell>
          <cell r="H22">
            <v>8.4755000000000003</v>
          </cell>
          <cell r="I22">
            <v>9.5541999999999998</v>
          </cell>
          <cell r="J22">
            <v>14.6395</v>
          </cell>
          <cell r="K22">
            <v>7.7050000000000001</v>
          </cell>
          <cell r="L22">
            <v>10.016500000000001</v>
          </cell>
          <cell r="M22">
            <v>11.711599999999999</v>
          </cell>
          <cell r="N22">
            <v>8.6295999999999999</v>
          </cell>
          <cell r="O22">
            <v>12.0198</v>
          </cell>
          <cell r="P22">
            <v>11.557499999999999</v>
          </cell>
          <cell r="T22">
            <v>0</v>
          </cell>
          <cell r="U22">
            <v>122.50950000000002</v>
          </cell>
          <cell r="V22">
            <v>107.36001564999999</v>
          </cell>
          <cell r="W22">
            <v>193.93600000000001</v>
          </cell>
          <cell r="X22">
            <v>15.149484350000023</v>
          </cell>
          <cell r="Y22">
            <v>-71.42649999999999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0.71020000000000005</v>
          </cell>
          <cell r="F23">
            <v>0.72360000000000002</v>
          </cell>
          <cell r="G23">
            <v>1.0184</v>
          </cell>
          <cell r="H23">
            <v>0.73699999999999999</v>
          </cell>
          <cell r="I23">
            <v>0.83080000000000009</v>
          </cell>
          <cell r="J23">
            <v>1.2730000000000001</v>
          </cell>
          <cell r="K23">
            <v>0.67</v>
          </cell>
          <cell r="L23">
            <v>0.871</v>
          </cell>
          <cell r="M23">
            <v>1.0184</v>
          </cell>
          <cell r="N23">
            <v>0.75039999999999996</v>
          </cell>
          <cell r="O23">
            <v>1.0452000000000001</v>
          </cell>
          <cell r="P23">
            <v>1.0049999999999999</v>
          </cell>
          <cell r="R23">
            <v>0</v>
          </cell>
          <cell r="S23">
            <v>0</v>
          </cell>
          <cell r="T23">
            <v>0</v>
          </cell>
          <cell r="U23">
            <v>10.653000000000002</v>
          </cell>
          <cell r="V23">
            <v>10.168647479999999</v>
          </cell>
          <cell r="W23">
            <v>12.68901</v>
          </cell>
          <cell r="X23">
            <v>0.48435252000000339</v>
          </cell>
          <cell r="Y23">
            <v>-2.0360099999999974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36.659433415229877</v>
          </cell>
          <cell r="F24">
            <v>36.659433415229877</v>
          </cell>
          <cell r="G24">
            <v>37.759433415229879</v>
          </cell>
          <cell r="H24">
            <v>36.659433415229877</v>
          </cell>
          <cell r="I24">
            <v>36.659433415229877</v>
          </cell>
          <cell r="J24">
            <v>37.759433415229879</v>
          </cell>
          <cell r="K24">
            <v>33.905524757729872</v>
          </cell>
          <cell r="L24">
            <v>33.905524757729872</v>
          </cell>
          <cell r="M24">
            <v>35.005524757729873</v>
          </cell>
          <cell r="N24">
            <v>33.905524757729872</v>
          </cell>
          <cell r="O24">
            <v>35.005524757729873</v>
          </cell>
          <cell r="P24">
            <v>35.005524757729873</v>
          </cell>
          <cell r="R24">
            <v>0</v>
          </cell>
          <cell r="S24">
            <v>0</v>
          </cell>
          <cell r="T24">
            <v>0</v>
          </cell>
          <cell r="U24">
            <v>428.88974903775852</v>
          </cell>
          <cell r="V24">
            <v>494.89811199999997</v>
          </cell>
          <cell r="W24">
            <v>676.95700000000011</v>
          </cell>
          <cell r="X24">
            <v>-66.008362962241449</v>
          </cell>
          <cell r="Y24">
            <v>-248.06725096224159</v>
          </cell>
        </row>
        <row r="25">
          <cell r="B25" t="str">
            <v>TOTAL COST</v>
          </cell>
          <cell r="C25">
            <v>0</v>
          </cell>
          <cell r="E25">
            <v>224.61068341522991</v>
          </cell>
          <cell r="F25">
            <v>228.15693341522993</v>
          </cell>
          <cell r="G25">
            <v>307.27443341522985</v>
          </cell>
          <cell r="H25">
            <v>231.70318341522992</v>
          </cell>
          <cell r="I25">
            <v>256.52693341522996</v>
          </cell>
          <cell r="J25">
            <v>374.65318341522988</v>
          </cell>
          <cell r="K25">
            <v>211.21802475772986</v>
          </cell>
          <cell r="L25">
            <v>264.41177475772992</v>
          </cell>
          <cell r="M25">
            <v>304.52052475772985</v>
          </cell>
          <cell r="N25">
            <v>232.49552475772992</v>
          </cell>
          <cell r="O25">
            <v>311.61302475772987</v>
          </cell>
          <cell r="P25">
            <v>300.97427475772986</v>
          </cell>
          <cell r="R25">
            <v>0</v>
          </cell>
          <cell r="S25">
            <v>0</v>
          </cell>
          <cell r="T25">
            <v>0</v>
          </cell>
          <cell r="U25">
            <v>3248.1584990377587</v>
          </cell>
          <cell r="V25">
            <v>3132.5640943799999</v>
          </cell>
          <cell r="W25">
            <v>4017.5150100000001</v>
          </cell>
          <cell r="X25">
            <v>115.59440465775879</v>
          </cell>
          <cell r="Y25">
            <v>-769.35651096224137</v>
          </cell>
        </row>
        <row r="27">
          <cell r="B27" t="str">
            <v>GROSS MARGIN</v>
          </cell>
          <cell r="C27">
            <v>0</v>
          </cell>
          <cell r="E27">
            <v>228.97694158477015</v>
          </cell>
          <cell r="F27">
            <v>233.48069158477014</v>
          </cell>
          <cell r="G27">
            <v>331.46319158477013</v>
          </cell>
          <cell r="H27">
            <v>237.98444158477011</v>
          </cell>
          <cell r="I27">
            <v>269.51069158477009</v>
          </cell>
          <cell r="J27">
            <v>417.03444158477015</v>
          </cell>
          <cell r="K27">
            <v>218.21960024227016</v>
          </cell>
          <cell r="L27">
            <v>285.77585024227011</v>
          </cell>
          <cell r="M27">
            <v>334.21710024227013</v>
          </cell>
          <cell r="N27">
            <v>245.24210024227011</v>
          </cell>
          <cell r="O27">
            <v>343.22460024227024</v>
          </cell>
          <cell r="P27">
            <v>329.71335024227017</v>
          </cell>
          <cell r="R27">
            <v>0</v>
          </cell>
          <cell r="S27">
            <v>0</v>
          </cell>
          <cell r="T27">
            <v>0</v>
          </cell>
          <cell r="U27">
            <v>3474.8430009622421</v>
          </cell>
          <cell r="V27">
            <v>3243.9258856199986</v>
          </cell>
          <cell r="W27">
            <v>3616.5179900000003</v>
          </cell>
          <cell r="X27">
            <v>230.91711534224351</v>
          </cell>
          <cell r="Y27">
            <v>-141.67498903775822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208.976</v>
          </cell>
          <cell r="F29">
            <v>208.976</v>
          </cell>
          <cell r="G29">
            <v>208.976</v>
          </cell>
          <cell r="H29">
            <v>208.976</v>
          </cell>
          <cell r="I29">
            <v>208.976</v>
          </cell>
          <cell r="J29">
            <v>208.976</v>
          </cell>
          <cell r="K29">
            <v>208.976</v>
          </cell>
          <cell r="L29">
            <v>208.976</v>
          </cell>
          <cell r="M29">
            <v>208.976</v>
          </cell>
          <cell r="N29">
            <v>208.976</v>
          </cell>
          <cell r="O29">
            <v>208.976</v>
          </cell>
          <cell r="P29">
            <v>208.976</v>
          </cell>
          <cell r="T29">
            <v>0</v>
          </cell>
          <cell r="U29">
            <v>2507.7120000000009</v>
          </cell>
          <cell r="V29">
            <v>2507.7120000000009</v>
          </cell>
          <cell r="W29">
            <v>2507.712</v>
          </cell>
          <cell r="X29">
            <v>0</v>
          </cell>
          <cell r="Y29">
            <v>0</v>
          </cell>
        </row>
        <row r="30">
          <cell r="A30">
            <v>14</v>
          </cell>
          <cell r="B30" t="str">
            <v>Light, Heat and Power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T30">
            <v>0</v>
          </cell>
          <cell r="U30">
            <v>130.80000000000001</v>
          </cell>
          <cell r="V30">
            <v>94.620389999999986</v>
          </cell>
          <cell r="W30">
            <v>127.36499999999999</v>
          </cell>
          <cell r="X30">
            <v>36.179610000000054</v>
          </cell>
          <cell r="Y30">
            <v>3.4350000000000307</v>
          </cell>
        </row>
        <row r="31">
          <cell r="A31">
            <v>15</v>
          </cell>
          <cell r="B31" t="str">
            <v>Repair &amp; Maintenance</v>
          </cell>
          <cell r="E31">
            <v>10.25</v>
          </cell>
          <cell r="F31">
            <v>10.25</v>
          </cell>
          <cell r="G31">
            <v>10.25</v>
          </cell>
          <cell r="H31">
            <v>15.25</v>
          </cell>
          <cell r="I31">
            <v>10.25</v>
          </cell>
          <cell r="J31">
            <v>10.25</v>
          </cell>
          <cell r="K31">
            <v>10.25</v>
          </cell>
          <cell r="L31">
            <v>10.25</v>
          </cell>
          <cell r="M31">
            <v>10.25</v>
          </cell>
          <cell r="N31">
            <v>10.25</v>
          </cell>
          <cell r="O31">
            <v>30.25</v>
          </cell>
          <cell r="P31">
            <v>10.25</v>
          </cell>
          <cell r="T31">
            <v>0</v>
          </cell>
          <cell r="U31">
            <v>148</v>
          </cell>
          <cell r="V31">
            <v>152.20305999999999</v>
          </cell>
          <cell r="W31">
            <v>198.184</v>
          </cell>
          <cell r="X31">
            <v>-4.2030599999999936</v>
          </cell>
          <cell r="Y31">
            <v>-50.183999999999997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35.318474334152299</v>
          </cell>
          <cell r="F33">
            <v>35.318474334152299</v>
          </cell>
          <cell r="G33">
            <v>35.160994334152292</v>
          </cell>
          <cell r="H33">
            <v>35.318474334152299</v>
          </cell>
          <cell r="I33">
            <v>35.149994334152296</v>
          </cell>
          <cell r="J33">
            <v>35.329474334152295</v>
          </cell>
          <cell r="K33">
            <v>52.349935247577299</v>
          </cell>
          <cell r="L33">
            <v>37.285495247577302</v>
          </cell>
          <cell r="M33">
            <v>37.551935247577298</v>
          </cell>
          <cell r="N33">
            <v>35.122455247577292</v>
          </cell>
          <cell r="O33">
            <v>35.301935247577298</v>
          </cell>
          <cell r="P33">
            <v>35.133455247577295</v>
          </cell>
          <cell r="R33">
            <v>0</v>
          </cell>
          <cell r="S33">
            <v>0</v>
          </cell>
          <cell r="T33">
            <v>0</v>
          </cell>
          <cell r="U33">
            <v>444.34109749037759</v>
          </cell>
          <cell r="V33">
            <v>481.33407338666666</v>
          </cell>
          <cell r="W33">
            <v>604.81398999999999</v>
          </cell>
          <cell r="X33">
            <v>-36.992975896289067</v>
          </cell>
          <cell r="Y33">
            <v>-160.4728925096224</v>
          </cell>
        </row>
        <row r="35">
          <cell r="B35" t="str">
            <v>Total Overhead Expenses</v>
          </cell>
          <cell r="C35">
            <v>0</v>
          </cell>
          <cell r="E35">
            <v>265.44447433415229</v>
          </cell>
          <cell r="F35">
            <v>265.44447433415229</v>
          </cell>
          <cell r="G35">
            <v>265.28699433415227</v>
          </cell>
          <cell r="H35">
            <v>270.44447433415229</v>
          </cell>
          <cell r="I35">
            <v>265.2759943341523</v>
          </cell>
          <cell r="J35">
            <v>265.45547433415231</v>
          </cell>
          <cell r="K35">
            <v>282.4759352475773</v>
          </cell>
          <cell r="L35">
            <v>267.41149524757731</v>
          </cell>
          <cell r="M35">
            <v>267.6779352475773</v>
          </cell>
          <cell r="N35">
            <v>265.24845524757728</v>
          </cell>
          <cell r="O35">
            <v>285.4279352475773</v>
          </cell>
          <cell r="P35">
            <v>265.25945524757731</v>
          </cell>
          <cell r="R35">
            <v>0</v>
          </cell>
          <cell r="S35">
            <v>0</v>
          </cell>
          <cell r="T35">
            <v>0</v>
          </cell>
          <cell r="U35">
            <v>3230.8530974903779</v>
          </cell>
          <cell r="V35">
            <v>3235.8695233866674</v>
          </cell>
          <cell r="W35">
            <v>3438.0749900000005</v>
          </cell>
          <cell r="X35">
            <v>-5.0164258962895474</v>
          </cell>
          <cell r="Y35">
            <v>-207.22189250962265</v>
          </cell>
        </row>
        <row r="36">
          <cell r="V36">
            <v>0</v>
          </cell>
        </row>
        <row r="37">
          <cell r="B37" t="str">
            <v>E.B.I.T.D.</v>
          </cell>
          <cell r="C37">
            <v>0</v>
          </cell>
          <cell r="E37">
            <v>-36.467532749382144</v>
          </cell>
          <cell r="F37">
            <v>-31.963782749382148</v>
          </cell>
          <cell r="G37">
            <v>66.176197250617861</v>
          </cell>
          <cell r="H37">
            <v>-32.460032749382179</v>
          </cell>
          <cell r="I37">
            <v>4.2346972506177849</v>
          </cell>
          <cell r="J37">
            <v>151.57896725061784</v>
          </cell>
          <cell r="K37">
            <v>-64.256335005307136</v>
          </cell>
          <cell r="L37">
            <v>18.364354994692803</v>
          </cell>
          <cell r="M37">
            <v>66.53916499469284</v>
          </cell>
          <cell r="N37">
            <v>-20.006355005307171</v>
          </cell>
          <cell r="O37">
            <v>57.796664994692946</v>
          </cell>
          <cell r="P37">
            <v>64.45389499469286</v>
          </cell>
          <cell r="R37">
            <v>0</v>
          </cell>
          <cell r="S37">
            <v>0</v>
          </cell>
          <cell r="T37">
            <v>0</v>
          </cell>
          <cell r="U37">
            <v>243.98990347186418</v>
          </cell>
          <cell r="V37">
            <v>8.0563622333311287</v>
          </cell>
          <cell r="W37">
            <v>178.44299999999976</v>
          </cell>
          <cell r="X37">
            <v>235.93354123853305</v>
          </cell>
          <cell r="Y37">
            <v>65.546903471864425</v>
          </cell>
        </row>
        <row r="38">
          <cell r="V38">
            <v>0</v>
          </cell>
        </row>
        <row r="39">
          <cell r="A39">
            <v>18</v>
          </cell>
          <cell r="B39" t="str">
            <v>Depreciation</v>
          </cell>
          <cell r="E39">
            <v>53.235173611111115</v>
          </cell>
          <cell r="F39">
            <v>53.235173611111115</v>
          </cell>
          <cell r="G39">
            <v>53.235173611111115</v>
          </cell>
          <cell r="H39">
            <v>53.235173611111115</v>
          </cell>
          <cell r="I39">
            <v>53.235173611111115</v>
          </cell>
          <cell r="J39">
            <v>53.235173611111115</v>
          </cell>
          <cell r="K39">
            <v>53.235173611111115</v>
          </cell>
          <cell r="L39">
            <v>53.235173611111115</v>
          </cell>
          <cell r="M39">
            <v>53.235173611111115</v>
          </cell>
          <cell r="N39">
            <v>53.495590277777779</v>
          </cell>
          <cell r="O39">
            <v>53.495590277777779</v>
          </cell>
          <cell r="P39">
            <v>53.495590277777779</v>
          </cell>
          <cell r="T39">
            <v>0</v>
          </cell>
          <cell r="U39">
            <v>639.60333333333335</v>
          </cell>
          <cell r="V39">
            <v>619.1506580555556</v>
          </cell>
          <cell r="W39">
            <v>573.70799999999997</v>
          </cell>
          <cell r="X39">
            <v>20.452675277777757</v>
          </cell>
          <cell r="Y39">
            <v>65.895333333333383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14.102</v>
          </cell>
          <cell r="W40">
            <v>15.167999999999999</v>
          </cell>
          <cell r="X40">
            <v>-14.102</v>
          </cell>
          <cell r="Y40">
            <v>-15.167999999999999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232.49240644383562</v>
          </cell>
          <cell r="W41">
            <v>272.16399999999999</v>
          </cell>
          <cell r="X41">
            <v>-232.49240644383562</v>
          </cell>
          <cell r="Y41">
            <v>-272.16399999999999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-89.702706360493266</v>
          </cell>
          <cell r="F44">
            <v>-85.19895636049327</v>
          </cell>
          <cell r="G44">
            <v>12.941023639506746</v>
          </cell>
          <cell r="H44">
            <v>-85.695206360493302</v>
          </cell>
          <cell r="I44">
            <v>-49.00047636049333</v>
          </cell>
          <cell r="J44">
            <v>98.343793639506714</v>
          </cell>
          <cell r="K44">
            <v>-117.49150861641826</v>
          </cell>
          <cell r="L44">
            <v>-34.870818616418312</v>
          </cell>
          <cell r="M44">
            <v>13.303991383581725</v>
          </cell>
          <cell r="N44">
            <v>-73.50194528308495</v>
          </cell>
          <cell r="O44">
            <v>4.3010747169151671</v>
          </cell>
          <cell r="P44">
            <v>10.95830471691508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-395.61342986146917</v>
          </cell>
          <cell r="V44">
            <v>-854.96527226606008</v>
          </cell>
          <cell r="W44">
            <v>-681.69</v>
          </cell>
          <cell r="X44">
            <v>459.35184240459091</v>
          </cell>
          <cell r="Y44">
            <v>286.076570138531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-89.702706360493266</v>
          </cell>
          <cell r="F50">
            <v>-85.19895636049327</v>
          </cell>
          <cell r="G50">
            <v>12.941023639506746</v>
          </cell>
          <cell r="H50">
            <v>-85.695206360493302</v>
          </cell>
          <cell r="I50">
            <v>-49.00047636049333</v>
          </cell>
          <cell r="J50">
            <v>98.343793639506714</v>
          </cell>
          <cell r="K50">
            <v>-117.49150861641826</v>
          </cell>
          <cell r="L50">
            <v>-34.870818616418312</v>
          </cell>
          <cell r="M50">
            <v>13.303991383581725</v>
          </cell>
          <cell r="N50">
            <v>-73.50194528308495</v>
          </cell>
          <cell r="O50">
            <v>4.3010747169151671</v>
          </cell>
          <cell r="P50">
            <v>10.95830471691508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-395.61342986146917</v>
          </cell>
          <cell r="V50">
            <v>-854.96527226606008</v>
          </cell>
          <cell r="W50">
            <v>-681.69</v>
          </cell>
          <cell r="X50">
            <v>459.35184240459091</v>
          </cell>
          <cell r="Y50">
            <v>286.076570138531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51.94</v>
          </cell>
          <cell r="F54">
            <v>52.92</v>
          </cell>
          <cell r="G54">
            <v>74.48</v>
          </cell>
          <cell r="H54">
            <v>53.9</v>
          </cell>
          <cell r="I54">
            <v>60.76</v>
          </cell>
          <cell r="J54">
            <v>93.1</v>
          </cell>
          <cell r="K54">
            <v>49</v>
          </cell>
          <cell r="L54">
            <v>63.7</v>
          </cell>
          <cell r="M54">
            <v>74.48</v>
          </cell>
          <cell r="N54">
            <v>54.88</v>
          </cell>
          <cell r="O54">
            <v>76.44</v>
          </cell>
          <cell r="P54">
            <v>73.5</v>
          </cell>
          <cell r="T54">
            <v>0</v>
          </cell>
          <cell r="U54">
            <v>779.1</v>
          </cell>
          <cell r="V54">
            <v>757</v>
          </cell>
          <cell r="W54">
            <v>932.88199999999995</v>
          </cell>
          <cell r="X54">
            <v>22.099999999999909</v>
          </cell>
          <cell r="Y54">
            <v>-153.78200000000004</v>
          </cell>
        </row>
        <row r="55">
          <cell r="A55">
            <v>28</v>
          </cell>
          <cell r="B55" t="str">
            <v>Admissions</v>
          </cell>
          <cell r="E55">
            <v>53</v>
          </cell>
          <cell r="F55">
            <v>54</v>
          </cell>
          <cell r="G55">
            <v>76</v>
          </cell>
          <cell r="H55">
            <v>55</v>
          </cell>
          <cell r="I55">
            <v>62</v>
          </cell>
          <cell r="J55">
            <v>95</v>
          </cell>
          <cell r="K55">
            <v>50</v>
          </cell>
          <cell r="L55">
            <v>65</v>
          </cell>
          <cell r="M55">
            <v>76</v>
          </cell>
          <cell r="N55">
            <v>56</v>
          </cell>
          <cell r="O55">
            <v>78</v>
          </cell>
          <cell r="P55">
            <v>75</v>
          </cell>
          <cell r="T55">
            <v>0</v>
          </cell>
          <cell r="U55">
            <v>795</v>
          </cell>
          <cell r="V55">
            <v>757</v>
          </cell>
          <cell r="W55">
            <v>932.88199999999995</v>
          </cell>
          <cell r="X55">
            <v>38</v>
          </cell>
          <cell r="Y55">
            <v>-137.88199999999995</v>
          </cell>
        </row>
        <row r="56">
          <cell r="B56" t="str">
            <v>Utilisation Rate</v>
          </cell>
          <cell r="E56">
            <v>0.23849809201526387</v>
          </cell>
          <cell r="F56">
            <v>0.24299805601555188</v>
          </cell>
          <cell r="G56">
            <v>0.27359781121751026</v>
          </cell>
          <cell r="H56">
            <v>0.24749802001583987</v>
          </cell>
          <cell r="I56">
            <v>0.27899776801785586</v>
          </cell>
          <cell r="J56">
            <v>0.34199726402188785</v>
          </cell>
          <cell r="K56">
            <v>0.22499820001439988</v>
          </cell>
          <cell r="L56">
            <v>0.29249766001871985</v>
          </cell>
          <cell r="M56">
            <v>0.27359781121751026</v>
          </cell>
          <cell r="N56">
            <v>0.25199798401612789</v>
          </cell>
          <cell r="O56">
            <v>0.28079775361797105</v>
          </cell>
          <cell r="P56">
            <v>0.33749730002159983</v>
          </cell>
          <cell r="U56">
            <v>0.27519010617145834</v>
          </cell>
          <cell r="V56">
            <v>0.26865158905463032</v>
          </cell>
          <cell r="W56">
            <v>0.31808882517972759</v>
          </cell>
          <cell r="X56">
            <v>6.5385171168280132E-3</v>
          </cell>
          <cell r="Y56">
            <v>-4.2898719008269248E-2</v>
          </cell>
        </row>
        <row r="57">
          <cell r="B57" t="str">
            <v>Ave. Admission Price (S$)</v>
          </cell>
          <cell r="C57" t="str">
            <v>N.A.</v>
          </cell>
          <cell r="E57">
            <v>6.7</v>
          </cell>
          <cell r="F57">
            <v>6.7</v>
          </cell>
          <cell r="G57">
            <v>6.7</v>
          </cell>
          <cell r="H57">
            <v>6.7</v>
          </cell>
          <cell r="I57">
            <v>6.7</v>
          </cell>
          <cell r="J57">
            <v>6.7</v>
          </cell>
          <cell r="K57">
            <v>6.7</v>
          </cell>
          <cell r="L57">
            <v>6.7</v>
          </cell>
          <cell r="M57">
            <v>6.7</v>
          </cell>
          <cell r="N57">
            <v>6.7</v>
          </cell>
          <cell r="O57">
            <v>6.7</v>
          </cell>
          <cell r="P57">
            <v>6.7</v>
          </cell>
          <cell r="R57" t="str">
            <v>N.A.</v>
          </cell>
          <cell r="S57" t="str">
            <v>N.A.</v>
          </cell>
          <cell r="U57">
            <v>6.7</v>
          </cell>
          <cell r="V57">
            <v>6.716411809775428</v>
          </cell>
          <cell r="W57">
            <v>6.8009726846482197</v>
          </cell>
          <cell r="X57">
            <v>-1.6411809775427777E-2</v>
          </cell>
          <cell r="Y57">
            <v>-0.10097268464821951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2.1115888983497345E-2</v>
          </cell>
          <cell r="W58">
            <v>3.056755412754817E-2</v>
          </cell>
          <cell r="X58">
            <v>1.8841110165026577E-3</v>
          </cell>
          <cell r="Y58">
            <v>-7.5675541275481671E-3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0.18688116616823594</v>
          </cell>
          <cell r="W59">
            <v>0.21296112635607506</v>
          </cell>
          <cell r="X59">
            <v>8.118833831764094E-3</v>
          </cell>
          <cell r="Y59">
            <v>-1.7961126356075025E-2</v>
          </cell>
        </row>
        <row r="60">
          <cell r="B60" t="str">
            <v>Concess. Rev per Patron (S$)</v>
          </cell>
          <cell r="C60" t="str">
            <v>N.A.</v>
          </cell>
          <cell r="E60">
            <v>1.35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1.35</v>
          </cell>
          <cell r="O60">
            <v>1.35</v>
          </cell>
          <cell r="P60">
            <v>1.35</v>
          </cell>
          <cell r="R60" t="str">
            <v>N.A.</v>
          </cell>
          <cell r="S60" t="str">
            <v>N.A.</v>
          </cell>
          <cell r="U60">
            <v>1.35</v>
          </cell>
          <cell r="V60">
            <v>0.9573817305151916</v>
          </cell>
          <cell r="W60">
            <v>0.8808884724970576</v>
          </cell>
          <cell r="X60">
            <v>0.39261826948480849</v>
          </cell>
          <cell r="Y60">
            <v>0.46911152750294249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0.46902942538627579</v>
          </cell>
          <cell r="W61">
            <v>0.46637665192162353</v>
          </cell>
          <cell r="X61">
            <v>-4.0294253862757645E-3</v>
          </cell>
          <cell r="Y61">
            <v>-1.3766519216235062E-3</v>
          </cell>
        </row>
        <row r="62">
          <cell r="B62" t="str">
            <v>Direct Payroll : Net Box</v>
          </cell>
          <cell r="C62" t="str">
            <v>N.A.</v>
          </cell>
          <cell r="E62">
            <v>0.10323692879535307</v>
          </cell>
          <cell r="F62">
            <v>0.10132513381766135</v>
          </cell>
          <cell r="G62">
            <v>7.4154425403043747E-2</v>
          </cell>
          <cell r="H62">
            <v>9.9482858657340231E-2</v>
          </cell>
          <cell r="I62">
            <v>8.8250923002479234E-2</v>
          </cell>
          <cell r="J62">
            <v>5.9323540322435003E-2</v>
          </cell>
          <cell r="K62">
            <v>0.10121052166486529</v>
          </cell>
          <cell r="L62">
            <v>7.7854247434511761E-2</v>
          </cell>
          <cell r="M62">
            <v>6.8746120891064161E-2</v>
          </cell>
          <cell r="N62">
            <v>9.0366537200772576E-2</v>
          </cell>
          <cell r="O62">
            <v>6.6983399842575342E-2</v>
          </cell>
          <cell r="P62">
            <v>6.9662735836278356E-2</v>
          </cell>
          <cell r="R62" t="str">
            <v>N.A.</v>
          </cell>
          <cell r="S62" t="str">
            <v>N.A.</v>
          </cell>
          <cell r="U62">
            <v>8.0519994187131988E-2</v>
          </cell>
          <cell r="V62">
            <v>9.7338040869915196E-2</v>
          </cell>
          <cell r="W62">
            <v>0.10669973465226996</v>
          </cell>
          <cell r="X62">
            <v>-1.6818046682783208E-2</v>
          </cell>
          <cell r="Y62">
            <v>-2.6179740465137977E-2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8.5923903469424287E-2</v>
          </cell>
          <cell r="F63">
            <v>8.4332720071842365E-2</v>
          </cell>
          <cell r="G63">
            <v>6.1718590087005365E-2</v>
          </cell>
          <cell r="H63">
            <v>8.2799397888717957E-2</v>
          </cell>
          <cell r="I63">
            <v>7.3451078772249795E-2</v>
          </cell>
          <cell r="J63">
            <v>4.9374872069604288E-2</v>
          </cell>
          <cell r="K63">
            <v>8.4237328590633223E-2</v>
          </cell>
          <cell r="L63">
            <v>6.4797945069717866E-2</v>
          </cell>
          <cell r="M63">
            <v>5.7217268319270799E-2</v>
          </cell>
          <cell r="N63">
            <v>7.5211900527351092E-2</v>
          </cell>
          <cell r="O63">
            <v>5.5750158875186924E-2</v>
          </cell>
          <cell r="P63">
            <v>5.7980165230194405E-2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6.7016641124693702E-2</v>
          </cell>
          <cell r="V63">
            <v>8.5194156424273901E-2</v>
          </cell>
          <cell r="W63">
            <v>9.446434477071057E-2</v>
          </cell>
          <cell r="X63">
            <v>-1.8177515299580199E-2</v>
          </cell>
          <cell r="Y63">
            <v>-2.7447703646016869E-2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0.69168742292886565</v>
          </cell>
          <cell r="F64">
            <v>0.67887839657833104</v>
          </cell>
          <cell r="G64">
            <v>0.49683465020039314</v>
          </cell>
          <cell r="H64">
            <v>0.66653515300417954</v>
          </cell>
          <cell r="I64">
            <v>0.5912811841166109</v>
          </cell>
          <cell r="J64">
            <v>0.39746772016031451</v>
          </cell>
          <cell r="K64">
            <v>0.67811049515459743</v>
          </cell>
          <cell r="L64">
            <v>0.52162345781122876</v>
          </cell>
          <cell r="M64">
            <v>0.46059900997012992</v>
          </cell>
          <cell r="N64">
            <v>0.60545579924517623</v>
          </cell>
          <cell r="O64">
            <v>0.44878877894525476</v>
          </cell>
          <cell r="P64">
            <v>0.46674033010306498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0.53948396105378427</v>
          </cell>
          <cell r="V64">
            <v>0.65376236723910164</v>
          </cell>
          <cell r="W64">
            <v>0.72566198082930122</v>
          </cell>
          <cell r="X64">
            <v>-0.11427840618531737</v>
          </cell>
          <cell r="Y64">
            <v>-0.18617801977551696</v>
          </cell>
        </row>
        <row r="65">
          <cell r="B65" t="str">
            <v>Gross Margin :Total Rev</v>
          </cell>
          <cell r="C65" t="str">
            <v>N.A.</v>
          </cell>
          <cell r="E65">
            <v>0.50481302611545043</v>
          </cell>
          <cell r="F65">
            <v>0.50576616579892097</v>
          </cell>
          <cell r="G65">
            <v>0.51893481550389353</v>
          </cell>
          <cell r="H65">
            <v>0.50668663366374644</v>
          </cell>
          <cell r="I65">
            <v>0.5123410926828097</v>
          </cell>
          <cell r="J65">
            <v>0.52676640181759837</v>
          </cell>
          <cell r="K65">
            <v>0.50815202846343555</v>
          </cell>
          <cell r="L65">
            <v>0.51941526355172041</v>
          </cell>
          <cell r="M65">
            <v>0.5232463020199728</v>
          </cell>
          <cell r="N65">
            <v>0.51334056061058642</v>
          </cell>
          <cell r="O65">
            <v>0.52413695722244147</v>
          </cell>
          <cell r="P65">
            <v>0.52278392213937952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0.51685887634596572</v>
          </cell>
          <cell r="V65">
            <v>0.50873221722211492</v>
          </cell>
          <cell r="W65">
            <v>0.47373622697203432</v>
          </cell>
          <cell r="X65">
            <v>8.126659123850799E-3</v>
          </cell>
          <cell r="Y65">
            <v>4.3122649373931399E-2</v>
          </cell>
        </row>
        <row r="66">
          <cell r="B66" t="str">
            <v>G&amp;A % of total revenue</v>
          </cell>
          <cell r="C66" t="str">
            <v>N.A.</v>
          </cell>
          <cell r="E66">
            <v>7.7864722024002075E-2</v>
          </cell>
          <cell r="F66">
            <v>7.6506923226095994E-2</v>
          </cell>
          <cell r="G66">
            <v>5.5047632952814222E-2</v>
          </cell>
          <cell r="H66">
            <v>7.5195667192961058E-2</v>
          </cell>
          <cell r="I66">
            <v>6.6820304601124855E-2</v>
          </cell>
          <cell r="J66">
            <v>4.4625523020082943E-2</v>
          </cell>
          <cell r="K66">
            <v>0.12190346676674475</v>
          </cell>
          <cell r="L66">
            <v>6.7768691176173401E-2</v>
          </cell>
          <cell r="M66">
            <v>5.8790861502134459E-2</v>
          </cell>
          <cell r="N66">
            <v>7.3518294163197398E-2</v>
          </cell>
          <cell r="O66">
            <v>5.3909448540891781E-2</v>
          </cell>
          <cell r="P66">
            <v>5.5706587310282635E-2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6.6092666718931645E-2</v>
          </cell>
          <cell r="V66">
            <v>7.5485741355570485E-2</v>
          </cell>
          <cell r="W66">
            <v>7.9226011991302622E-2</v>
          </cell>
          <cell r="X66">
            <v>-9.3930746366388401E-3</v>
          </cell>
          <cell r="Y66">
            <v>-1.3133345272370978E-2</v>
          </cell>
        </row>
        <row r="67">
          <cell r="B67" t="str">
            <v>E.B.I.T.D. : Total Rev</v>
          </cell>
          <cell r="C67" t="str">
            <v>N.A.</v>
          </cell>
          <cell r="E67">
            <v>-8.0397988700379869E-2</v>
          </cell>
          <cell r="F67">
            <v>-6.9239986124142588E-2</v>
          </cell>
          <cell r="G67">
            <v>0.10360466435747834</v>
          </cell>
          <cell r="H67">
            <v>-6.9109831772515146E-2</v>
          </cell>
          <cell r="I67">
            <v>8.0501793966121418E-3</v>
          </cell>
          <cell r="J67">
            <v>0.19146310042501655</v>
          </cell>
          <cell r="K67">
            <v>-0.14962902937372369</v>
          </cell>
          <cell r="L67">
            <v>3.3378349785117035E-2</v>
          </cell>
          <cell r="M67">
            <v>0.10417292232423735</v>
          </cell>
          <cell r="N67">
            <v>-4.1877285686483599E-2</v>
          </cell>
          <cell r="O67">
            <v>8.8261063182942398E-2</v>
          </cell>
          <cell r="P67">
            <v>0.10219622589660429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3.6291811547545273E-2</v>
          </cell>
          <cell r="V67">
            <v>1.2634477994319896E-3</v>
          </cell>
          <cell r="W67">
            <v>2.3374669719137937E-2</v>
          </cell>
          <cell r="X67">
            <v>3.5028363748113286E-2</v>
          </cell>
          <cell r="Y67">
            <v>1.2917141828407336E-2</v>
          </cell>
        </row>
        <row r="68">
          <cell r="B68" t="str">
            <v>No of Concession Transactions</v>
          </cell>
          <cell r="E68">
            <v>13</v>
          </cell>
          <cell r="F68">
            <v>14</v>
          </cell>
          <cell r="G68">
            <v>18</v>
          </cell>
          <cell r="H68">
            <v>14</v>
          </cell>
          <cell r="I68">
            <v>15</v>
          </cell>
          <cell r="J68">
            <v>18</v>
          </cell>
          <cell r="K68">
            <v>13</v>
          </cell>
          <cell r="L68">
            <v>15</v>
          </cell>
          <cell r="M68">
            <v>18</v>
          </cell>
          <cell r="N68">
            <v>12</v>
          </cell>
          <cell r="O68">
            <v>18</v>
          </cell>
          <cell r="P68">
            <v>20</v>
          </cell>
          <cell r="Q68">
            <v>0</v>
          </cell>
          <cell r="R68">
            <v>26</v>
          </cell>
          <cell r="S68">
            <v>27</v>
          </cell>
          <cell r="T68">
            <v>28</v>
          </cell>
          <cell r="U68">
            <v>188</v>
          </cell>
          <cell r="V68">
            <v>170</v>
          </cell>
          <cell r="W68">
            <v>0</v>
          </cell>
          <cell r="X68">
            <v>18</v>
          </cell>
          <cell r="Y68">
            <v>188</v>
          </cell>
        </row>
        <row r="69">
          <cell r="B69" t="str">
            <v>Strike Rate %(No of Trans/Adm)</v>
          </cell>
          <cell r="E69">
            <v>0.24528301886792453</v>
          </cell>
          <cell r="F69">
            <v>0.25925925925925924</v>
          </cell>
          <cell r="G69">
            <v>0.23684210526315788</v>
          </cell>
          <cell r="H69">
            <v>0.25454545454545452</v>
          </cell>
          <cell r="I69">
            <v>0.24193548387096775</v>
          </cell>
          <cell r="J69">
            <v>0.18947368421052632</v>
          </cell>
          <cell r="K69">
            <v>0.26</v>
          </cell>
          <cell r="L69">
            <v>0.23076923076923078</v>
          </cell>
          <cell r="M69">
            <v>0.23684210526315788</v>
          </cell>
          <cell r="N69">
            <v>0.21428571428571427</v>
          </cell>
          <cell r="O69">
            <v>0.23076923076923078</v>
          </cell>
          <cell r="P69">
            <v>0.26666666666666666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0.23647798742138365</v>
          </cell>
          <cell r="V69">
            <v>0.22457067371202113</v>
          </cell>
          <cell r="W69">
            <v>0</v>
          </cell>
          <cell r="X69">
            <v>1.1907313709362516E-2</v>
          </cell>
          <cell r="Y69">
            <v>0.23647798742138365</v>
          </cell>
        </row>
        <row r="70">
          <cell r="B70" t="str">
            <v>Ave Sales (Total Sale/No of Trans) (S$)</v>
          </cell>
          <cell r="E70">
            <v>5.5038461538461547</v>
          </cell>
          <cell r="F70">
            <v>5.2071428571428573</v>
          </cell>
          <cell r="G70">
            <v>5.7</v>
          </cell>
          <cell r="H70">
            <v>5.3035714285714288</v>
          </cell>
          <cell r="I70">
            <v>5.58</v>
          </cell>
          <cell r="J70">
            <v>7.125</v>
          </cell>
          <cell r="K70">
            <v>5.1923076923076925</v>
          </cell>
          <cell r="L70">
            <v>5.85</v>
          </cell>
          <cell r="M70">
            <v>5.7</v>
          </cell>
          <cell r="N70">
            <v>6.3</v>
          </cell>
          <cell r="O70">
            <v>5.85</v>
          </cell>
          <cell r="P70">
            <v>5.0625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5.7087765957446805</v>
          </cell>
          <cell r="V70">
            <v>4.2631645294117648</v>
          </cell>
          <cell r="W70" t="str">
            <v>N.A.</v>
          </cell>
          <cell r="X70">
            <v>1.4456120663329157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26</v>
          </cell>
          <cell r="F71">
            <v>28</v>
          </cell>
          <cell r="G71">
            <v>42</v>
          </cell>
          <cell r="H71">
            <v>28</v>
          </cell>
          <cell r="I71">
            <v>32</v>
          </cell>
          <cell r="J71">
            <v>40</v>
          </cell>
          <cell r="K71">
            <v>26</v>
          </cell>
          <cell r="L71">
            <v>30</v>
          </cell>
          <cell r="M71">
            <v>38</v>
          </cell>
          <cell r="N71">
            <v>25</v>
          </cell>
          <cell r="O71">
            <v>40</v>
          </cell>
          <cell r="P71">
            <v>35</v>
          </cell>
          <cell r="Q71">
            <v>0</v>
          </cell>
          <cell r="R71">
            <v>47.768999999999998</v>
          </cell>
          <cell r="S71">
            <v>48.768999999999998</v>
          </cell>
          <cell r="T71">
            <v>49.768999999999998</v>
          </cell>
          <cell r="U71">
            <v>390</v>
          </cell>
          <cell r="V71">
            <v>352</v>
          </cell>
          <cell r="W71">
            <v>0</v>
          </cell>
          <cell r="X71">
            <v>38</v>
          </cell>
          <cell r="Y71">
            <v>390</v>
          </cell>
        </row>
        <row r="72">
          <cell r="B72" t="str">
            <v>Combo Sales as % of Total Sales</v>
          </cell>
          <cell r="E72">
            <v>0.36338225017470294</v>
          </cell>
          <cell r="F72">
            <v>0.38408779149519889</v>
          </cell>
          <cell r="G72">
            <v>0.40935672514619881</v>
          </cell>
          <cell r="H72">
            <v>0.37710437710437711</v>
          </cell>
          <cell r="I72">
            <v>0.38231780167264034</v>
          </cell>
          <cell r="J72">
            <v>0.31189083820662766</v>
          </cell>
          <cell r="K72">
            <v>0.38518518518518519</v>
          </cell>
          <cell r="L72">
            <v>0.34188034188034189</v>
          </cell>
          <cell r="M72">
            <v>0.37037037037037035</v>
          </cell>
          <cell r="N72">
            <v>0.33068783068783064</v>
          </cell>
          <cell r="O72">
            <v>0.37986704653371317</v>
          </cell>
          <cell r="P72">
            <v>0.34567901234567899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0.36338225017470299</v>
          </cell>
          <cell r="V72">
            <v>0.48569278079910727</v>
          </cell>
          <cell r="W72">
            <v>0</v>
          </cell>
          <cell r="X72">
            <v>-0.12231053062440428</v>
          </cell>
          <cell r="Y72">
            <v>0.36338225017470299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>
            <v>0</v>
          </cell>
          <cell r="R73">
            <v>5.1360000000000001</v>
          </cell>
          <cell r="S73">
            <v>5.1360000000000001</v>
          </cell>
          <cell r="T73">
            <v>5.1360000000000001</v>
          </cell>
          <cell r="U73">
            <v>66.387000000000015</v>
          </cell>
          <cell r="V73">
            <v>66</v>
          </cell>
          <cell r="W73">
            <v>0</v>
          </cell>
          <cell r="X73">
            <v>0.38700000000001467</v>
          </cell>
          <cell r="Y73">
            <v>66.387000000000015</v>
          </cell>
        </row>
        <row r="74">
          <cell r="B74" t="str">
            <v>Admissions/labour hour paid</v>
          </cell>
          <cell r="E74">
            <v>10.532591414944356</v>
          </cell>
          <cell r="F74">
            <v>9.180550833049983</v>
          </cell>
          <cell r="G74">
            <v>10.351402887496596</v>
          </cell>
          <cell r="H74">
            <v>9.3888699214749067</v>
          </cell>
          <cell r="I74">
            <v>13.498802525582407</v>
          </cell>
          <cell r="J74">
            <v>15.833333333333334</v>
          </cell>
          <cell r="K74">
            <v>9.7352024922118385</v>
          </cell>
          <cell r="L74">
            <v>12.655763239875389</v>
          </cell>
          <cell r="M74">
            <v>12.666666666666666</v>
          </cell>
          <cell r="N74">
            <v>10.903426791277258</v>
          </cell>
          <cell r="O74">
            <v>15.186915887850468</v>
          </cell>
          <cell r="P74">
            <v>14.602803738317757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11.975236115504538</v>
          </cell>
          <cell r="V74">
            <v>11.469696969696969</v>
          </cell>
          <cell r="W74" t="str">
            <v>N.A.</v>
          </cell>
          <cell r="X74">
            <v>0.50553914580756931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50.515529999999998</v>
          </cell>
          <cell r="W77">
            <v>3.8690000000000002</v>
          </cell>
          <cell r="X77">
            <v>-23.328029999999998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79</v>
          </cell>
          <cell r="W78">
            <v>64.614999999999995</v>
          </cell>
          <cell r="X78">
            <v>-55</v>
          </cell>
          <cell r="Y78">
            <v>-40.615000000000002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57</v>
          </cell>
          <cell r="W82">
            <v>61.408000000000001</v>
          </cell>
          <cell r="X82">
            <v>-18.936</v>
          </cell>
          <cell r="Y82">
            <v>-23.344000000000001</v>
          </cell>
        </row>
        <row r="83">
          <cell r="C83">
            <v>0</v>
          </cell>
          <cell r="E83">
            <v>7.4376250000000006</v>
          </cell>
          <cell r="F83">
            <v>7.4376250000000006</v>
          </cell>
          <cell r="G83">
            <v>7.4376250000000006</v>
          </cell>
          <cell r="H83">
            <v>7.4376250000000006</v>
          </cell>
          <cell r="I83">
            <v>7.4376250000000006</v>
          </cell>
          <cell r="J83">
            <v>7.4376250000000006</v>
          </cell>
          <cell r="K83">
            <v>7.4376250000000006</v>
          </cell>
          <cell r="L83">
            <v>7.4376250000000006</v>
          </cell>
          <cell r="M83">
            <v>7.4376250000000006</v>
          </cell>
          <cell r="N83">
            <v>7.4376250000000006</v>
          </cell>
          <cell r="O83">
            <v>7.4376250000000006</v>
          </cell>
          <cell r="P83">
            <v>7.4376250000000006</v>
          </cell>
          <cell r="R83">
            <v>0</v>
          </cell>
          <cell r="S83">
            <v>0</v>
          </cell>
          <cell r="T83">
            <v>0</v>
          </cell>
          <cell r="U83">
            <v>89.251499999999993</v>
          </cell>
          <cell r="V83">
            <v>186.51553000000001</v>
          </cell>
          <cell r="W83">
            <v>129.892</v>
          </cell>
          <cell r="X83">
            <v>-97.26403000000002</v>
          </cell>
          <cell r="Y83">
            <v>-40.640500000000003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0.71020000000000005</v>
          </cell>
          <cell r="F86">
            <v>0.72360000000000002</v>
          </cell>
          <cell r="G86">
            <v>1.0184</v>
          </cell>
          <cell r="H86">
            <v>0.73699999999999999</v>
          </cell>
          <cell r="I86">
            <v>0.83080000000000009</v>
          </cell>
          <cell r="J86">
            <v>1.2730000000000001</v>
          </cell>
          <cell r="K86">
            <v>0.67</v>
          </cell>
          <cell r="L86">
            <v>0.871</v>
          </cell>
          <cell r="M86">
            <v>1.0184</v>
          </cell>
          <cell r="N86">
            <v>0.75039999999999996</v>
          </cell>
          <cell r="O86">
            <v>1.0452000000000001</v>
          </cell>
          <cell r="P86">
            <v>1.0049999999999999</v>
          </cell>
          <cell r="U86">
            <v>10.653000000000002</v>
          </cell>
          <cell r="V86">
            <v>10.168647479999999</v>
          </cell>
          <cell r="W86">
            <v>12.68901</v>
          </cell>
          <cell r="X86">
            <v>0.48435252000000339</v>
          </cell>
          <cell r="Y86">
            <v>-2.0360099999999974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0.71020000000000005</v>
          </cell>
          <cell r="F91">
            <v>0.72360000000000002</v>
          </cell>
          <cell r="G91">
            <v>1.0184</v>
          </cell>
          <cell r="H91">
            <v>0.73699999999999999</v>
          </cell>
          <cell r="I91">
            <v>0.83080000000000009</v>
          </cell>
          <cell r="J91">
            <v>1.2730000000000001</v>
          </cell>
          <cell r="K91">
            <v>0.67</v>
          </cell>
          <cell r="L91">
            <v>0.871</v>
          </cell>
          <cell r="M91">
            <v>1.0184</v>
          </cell>
          <cell r="N91">
            <v>0.75039999999999996</v>
          </cell>
          <cell r="O91">
            <v>1.0452000000000001</v>
          </cell>
          <cell r="P91">
            <v>1.0049999999999999</v>
          </cell>
          <cell r="U91">
            <v>10.653000000000002</v>
          </cell>
          <cell r="V91">
            <v>10.168647479999999</v>
          </cell>
          <cell r="W91">
            <v>12.68901</v>
          </cell>
          <cell r="X91">
            <v>0.48435252000000339</v>
          </cell>
          <cell r="Y91">
            <v>-2.0360099999999974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34.385652998563216</v>
          </cell>
          <cell r="F94">
            <v>34.385652998563216</v>
          </cell>
          <cell r="G94">
            <v>35.485652998563218</v>
          </cell>
          <cell r="H94">
            <v>34.385652998563216</v>
          </cell>
          <cell r="I94">
            <v>34.385652998563216</v>
          </cell>
          <cell r="J94">
            <v>35.485652998563218</v>
          </cell>
          <cell r="K94">
            <v>31.631744341063211</v>
          </cell>
          <cell r="L94">
            <v>31.631744341063211</v>
          </cell>
          <cell r="M94">
            <v>32.731744341063212</v>
          </cell>
          <cell r="N94">
            <v>31.631744341063211</v>
          </cell>
          <cell r="O94">
            <v>32.731744341063212</v>
          </cell>
          <cell r="P94">
            <v>32.731744341063212</v>
          </cell>
          <cell r="T94">
            <v>0</v>
          </cell>
          <cell r="U94">
            <v>401.60438403775862</v>
          </cell>
          <cell r="V94">
            <v>458.43801000000002</v>
          </cell>
          <cell r="W94">
            <v>607.80600000000004</v>
          </cell>
          <cell r="X94">
            <v>-56.833625962241399</v>
          </cell>
          <cell r="Y94">
            <v>-206.20161596224142</v>
          </cell>
        </row>
        <row r="95">
          <cell r="A95">
            <v>67</v>
          </cell>
          <cell r="B95" t="str">
            <v>Bonus/Commission</v>
          </cell>
          <cell r="E95">
            <v>1.2497804166666664</v>
          </cell>
          <cell r="F95">
            <v>1.2497804166666664</v>
          </cell>
          <cell r="G95">
            <v>1.2497804166666664</v>
          </cell>
          <cell r="H95">
            <v>1.2497804166666664</v>
          </cell>
          <cell r="I95">
            <v>1.2497804166666664</v>
          </cell>
          <cell r="J95">
            <v>1.2497804166666664</v>
          </cell>
          <cell r="K95">
            <v>1.2497804166666664</v>
          </cell>
          <cell r="L95">
            <v>1.2497804166666664</v>
          </cell>
          <cell r="M95">
            <v>1.2497804166666664</v>
          </cell>
          <cell r="N95">
            <v>1.2497804166666664</v>
          </cell>
          <cell r="O95">
            <v>1.2497804166666664</v>
          </cell>
          <cell r="P95">
            <v>1.2497804166666664</v>
          </cell>
          <cell r="T95">
            <v>0</v>
          </cell>
          <cell r="U95">
            <v>14.997365</v>
          </cell>
          <cell r="V95">
            <v>20.880024999999996</v>
          </cell>
          <cell r="W95">
            <v>40.893000000000001</v>
          </cell>
          <cell r="X95">
            <v>-5.882659999999996</v>
          </cell>
          <cell r="Y95">
            <v>-25.895634999999999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9</v>
          </cell>
          <cell r="W97">
            <v>17.617999999999999</v>
          </cell>
          <cell r="X97">
            <v>-2.3639999999999999</v>
          </cell>
          <cell r="Y97">
            <v>-10.981999999999999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6.2547400000000017</v>
          </cell>
          <cell r="W98">
            <v>10.64</v>
          </cell>
          <cell r="X98">
            <v>-0.60274000000000161</v>
          </cell>
          <cell r="Y98">
            <v>-4.9880000000000004</v>
          </cell>
        </row>
        <row r="99">
          <cell r="C99">
            <v>0</v>
          </cell>
          <cell r="E99">
            <v>36.659433415229877</v>
          </cell>
          <cell r="F99">
            <v>36.659433415229877</v>
          </cell>
          <cell r="G99">
            <v>37.759433415229879</v>
          </cell>
          <cell r="H99">
            <v>36.659433415229877</v>
          </cell>
          <cell r="I99">
            <v>36.659433415229877</v>
          </cell>
          <cell r="J99">
            <v>37.759433415229879</v>
          </cell>
          <cell r="K99">
            <v>33.905524757729872</v>
          </cell>
          <cell r="L99">
            <v>33.905524757729872</v>
          </cell>
          <cell r="M99">
            <v>35.005524757729873</v>
          </cell>
          <cell r="N99">
            <v>33.905524757729872</v>
          </cell>
          <cell r="O99">
            <v>35.005524757729873</v>
          </cell>
          <cell r="P99">
            <v>35.005524757729873</v>
          </cell>
          <cell r="R99">
            <v>0</v>
          </cell>
          <cell r="S99">
            <v>0</v>
          </cell>
          <cell r="T99">
            <v>0</v>
          </cell>
          <cell r="U99">
            <v>428.88974903775863</v>
          </cell>
          <cell r="V99">
            <v>494.57277500000004</v>
          </cell>
          <cell r="W99">
            <v>676.95700000000011</v>
          </cell>
          <cell r="X99">
            <v>-65.683025962241402</v>
          </cell>
          <cell r="Y99">
            <v>-248.06725096224147</v>
          </cell>
        </row>
        <row r="100"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14.940739999999998</v>
          </cell>
          <cell r="W102">
            <v>16.568999999999999</v>
          </cell>
          <cell r="X102">
            <v>0.65926000000000506</v>
          </cell>
          <cell r="Y102">
            <v>-0.96899999999999586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31.265576666666664</v>
          </cell>
          <cell r="W104">
            <v>31.7</v>
          </cell>
          <cell r="X104">
            <v>-7.2655766666666644</v>
          </cell>
          <cell r="Y104">
            <v>-7.7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8.9930699999999995</v>
          </cell>
          <cell r="W105">
            <v>9.5839999999999996</v>
          </cell>
          <cell r="X105">
            <v>3.0069300000000005</v>
          </cell>
          <cell r="Y105">
            <v>2.4160000000000004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3.8360100000000004</v>
          </cell>
          <cell r="W106">
            <v>0</v>
          </cell>
          <cell r="X106">
            <v>2.1639899999999996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0.20399999999999999</v>
          </cell>
          <cell r="F108">
            <v>0.20399999999999999</v>
          </cell>
          <cell r="G108">
            <v>0.20399999999999999</v>
          </cell>
          <cell r="H108">
            <v>0.20399999999999999</v>
          </cell>
          <cell r="I108">
            <v>0.20399999999999999</v>
          </cell>
          <cell r="J108">
            <v>0.20399999999999999</v>
          </cell>
          <cell r="K108">
            <v>0.20399999999999999</v>
          </cell>
          <cell r="L108">
            <v>0.20399999999999999</v>
          </cell>
          <cell r="M108">
            <v>0.20399999999999999</v>
          </cell>
          <cell r="N108">
            <v>0.20399999999999999</v>
          </cell>
          <cell r="O108">
            <v>0.20399999999999999</v>
          </cell>
          <cell r="P108">
            <v>0.20399999999999999</v>
          </cell>
          <cell r="T108">
            <v>0</v>
          </cell>
          <cell r="U108">
            <v>2.4480000000000004</v>
          </cell>
          <cell r="V108">
            <v>4.6437667200000003</v>
          </cell>
          <cell r="W108">
            <v>13.945990000000002</v>
          </cell>
          <cell r="X108">
            <v>-2.1957667199999999</v>
          </cell>
          <cell r="Y108">
            <v>-11.497990000000001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5.2228800000000009</v>
          </cell>
          <cell r="F111">
            <v>5.2228800000000009</v>
          </cell>
          <cell r="G111">
            <v>5.0544000000000002</v>
          </cell>
          <cell r="H111">
            <v>5.2228800000000009</v>
          </cell>
          <cell r="I111">
            <v>5.0544000000000002</v>
          </cell>
          <cell r="J111">
            <v>5.2228800000000009</v>
          </cell>
          <cell r="K111">
            <v>22.281880000000001</v>
          </cell>
          <cell r="L111">
            <v>7.2174399999999999</v>
          </cell>
          <cell r="M111">
            <v>7.4728800000000009</v>
          </cell>
          <cell r="N111">
            <v>5.0544000000000002</v>
          </cell>
          <cell r="O111">
            <v>5.2228800000000009</v>
          </cell>
          <cell r="P111">
            <v>5.0544000000000002</v>
          </cell>
          <cell r="T111">
            <v>0</v>
          </cell>
          <cell r="U111">
            <v>83.304200000000009</v>
          </cell>
          <cell r="V111">
            <v>98.911810000000017</v>
          </cell>
          <cell r="W111">
            <v>158.249</v>
          </cell>
          <cell r="X111">
            <v>-15.607610000000008</v>
          </cell>
          <cell r="Y111">
            <v>-74.944799999999987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51.36844</v>
          </cell>
          <cell r="W112">
            <v>89.638999999999996</v>
          </cell>
          <cell r="X112">
            <v>-3.3684399999999997</v>
          </cell>
          <cell r="Y112">
            <v>-41.638999999999996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6.8987900000000009</v>
          </cell>
          <cell r="W113">
            <v>6.9480000000000004</v>
          </cell>
          <cell r="X113">
            <v>0.30120999999999754</v>
          </cell>
          <cell r="Y113">
            <v>0.251999999999998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0.36380999999999997</v>
          </cell>
          <cell r="W114">
            <v>5.2789999999999999</v>
          </cell>
          <cell r="X114">
            <v>2.0361899999999999</v>
          </cell>
          <cell r="Y114">
            <v>-2.879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5.5111099999999986</v>
          </cell>
          <cell r="W115">
            <v>4.5910000000000002</v>
          </cell>
          <cell r="X115">
            <v>0.48889000000000138</v>
          </cell>
          <cell r="Y115">
            <v>1.4089999999999998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2.5334400000000006</v>
          </cell>
          <cell r="W117">
            <v>6.2009999999999996</v>
          </cell>
          <cell r="X117">
            <v>-0.13344000000000067</v>
          </cell>
          <cell r="Y117">
            <v>-3.8009999999999997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0.49159433415229881</v>
          </cell>
          <cell r="F119">
            <v>0.49159433415229881</v>
          </cell>
          <cell r="G119">
            <v>0.50259433415229882</v>
          </cell>
          <cell r="H119">
            <v>0.49159433415229881</v>
          </cell>
          <cell r="I119">
            <v>0.49159433415229881</v>
          </cell>
          <cell r="J119">
            <v>0.50259433415229882</v>
          </cell>
          <cell r="K119">
            <v>0.46405524757729882</v>
          </cell>
          <cell r="L119">
            <v>0.46405524757729882</v>
          </cell>
          <cell r="M119">
            <v>0.47505524757729883</v>
          </cell>
          <cell r="N119">
            <v>0.46405524757729882</v>
          </cell>
          <cell r="O119">
            <v>0.47505524757729883</v>
          </cell>
          <cell r="P119">
            <v>0.47505524757729883</v>
          </cell>
          <cell r="T119">
            <v>0</v>
          </cell>
          <cell r="U119">
            <v>5.7888974903775852</v>
          </cell>
          <cell r="V119">
            <v>5.4304099999999993</v>
          </cell>
          <cell r="W119">
            <v>9.9930000000000003</v>
          </cell>
          <cell r="X119">
            <v>0.35848749037758587</v>
          </cell>
          <cell r="Y119">
            <v>-4.2041025096224152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17</v>
          </cell>
          <cell r="F122">
            <v>17</v>
          </cell>
          <cell r="G122">
            <v>17</v>
          </cell>
          <cell r="H122">
            <v>17</v>
          </cell>
          <cell r="I122">
            <v>17</v>
          </cell>
          <cell r="J122">
            <v>17</v>
          </cell>
          <cell r="K122">
            <v>17</v>
          </cell>
          <cell r="L122">
            <v>17</v>
          </cell>
          <cell r="M122">
            <v>17</v>
          </cell>
          <cell r="N122">
            <v>17</v>
          </cell>
          <cell r="O122">
            <v>17</v>
          </cell>
          <cell r="P122">
            <v>17</v>
          </cell>
          <cell r="U122">
            <v>204</v>
          </cell>
          <cell r="V122">
            <v>228</v>
          </cell>
          <cell r="W122">
            <v>230.57</v>
          </cell>
          <cell r="X122">
            <v>-24</v>
          </cell>
          <cell r="Y122">
            <v>-26.57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0.8</v>
          </cell>
          <cell r="F124">
            <v>0.8</v>
          </cell>
          <cell r="G124">
            <v>0.8</v>
          </cell>
          <cell r="H124">
            <v>0.8</v>
          </cell>
          <cell r="I124">
            <v>0.8</v>
          </cell>
          <cell r="J124">
            <v>0.8</v>
          </cell>
          <cell r="K124">
            <v>0.8</v>
          </cell>
          <cell r="L124">
            <v>0.8</v>
          </cell>
          <cell r="M124">
            <v>0.8</v>
          </cell>
          <cell r="N124">
            <v>0.8</v>
          </cell>
          <cell r="O124">
            <v>0.8</v>
          </cell>
          <cell r="P124">
            <v>0.8</v>
          </cell>
          <cell r="T124">
            <v>0</v>
          </cell>
          <cell r="U124">
            <v>9.6</v>
          </cell>
          <cell r="V124">
            <v>3.0370999999999988</v>
          </cell>
          <cell r="W124">
            <v>5.9450000000000003</v>
          </cell>
          <cell r="X124">
            <v>6.5629000000000008</v>
          </cell>
          <cell r="Y124">
            <v>3.6549999999999998</v>
          </cell>
        </row>
        <row r="125">
          <cell r="C125">
            <v>0</v>
          </cell>
          <cell r="E125">
            <v>35.318474334152299</v>
          </cell>
          <cell r="F125">
            <v>35.318474334152299</v>
          </cell>
          <cell r="G125">
            <v>35.160994334152292</v>
          </cell>
          <cell r="H125">
            <v>35.318474334152299</v>
          </cell>
          <cell r="I125">
            <v>35.149994334152296</v>
          </cell>
          <cell r="J125">
            <v>35.329474334152295</v>
          </cell>
          <cell r="K125">
            <v>52.349935247577299</v>
          </cell>
          <cell r="L125">
            <v>37.285495247577302</v>
          </cell>
          <cell r="M125">
            <v>37.551935247577298</v>
          </cell>
          <cell r="N125">
            <v>35.122455247577292</v>
          </cell>
          <cell r="O125">
            <v>35.301935247577298</v>
          </cell>
          <cell r="P125">
            <v>35.133455247577295</v>
          </cell>
          <cell r="R125">
            <v>0</v>
          </cell>
          <cell r="S125">
            <v>0</v>
          </cell>
          <cell r="T125">
            <v>0</v>
          </cell>
          <cell r="U125">
            <v>444.34109749037759</v>
          </cell>
          <cell r="V125">
            <v>481.33407338666666</v>
          </cell>
          <cell r="W125">
            <v>604.81398999999999</v>
          </cell>
          <cell r="X125">
            <v>-36.992975896289067</v>
          </cell>
          <cell r="Y125">
            <v>-160.4728925096224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6" refreshError="1">
        <row r="11">
          <cell r="A11">
            <v>1</v>
          </cell>
          <cell r="B11" t="str">
            <v>Net Film Revenue</v>
          </cell>
          <cell r="E11">
            <v>351.87600000000003</v>
          </cell>
          <cell r="F11">
            <v>351.87600000000003</v>
          </cell>
          <cell r="G11">
            <v>466.25600000000003</v>
          </cell>
          <cell r="H11">
            <v>335.84800000000001</v>
          </cell>
          <cell r="I11">
            <v>374.09800000000001</v>
          </cell>
          <cell r="J11">
            <v>553.3180000000001</v>
          </cell>
          <cell r="K11">
            <v>343.49800000000005</v>
          </cell>
          <cell r="L11">
            <v>404.32800000000003</v>
          </cell>
          <cell r="M11">
            <v>444.76200000000006</v>
          </cell>
          <cell r="N11">
            <v>352.60399999999998</v>
          </cell>
          <cell r="O11">
            <v>443.30600000000004</v>
          </cell>
          <cell r="P11">
            <v>441.85</v>
          </cell>
          <cell r="Q11" t="e">
            <v>#VALUE!</v>
          </cell>
          <cell r="T11">
            <v>0</v>
          </cell>
          <cell r="U11">
            <v>4863.62</v>
          </cell>
          <cell r="V11">
            <v>2716.1770000000001</v>
          </cell>
          <cell r="W11">
            <v>0</v>
          </cell>
          <cell r="X11">
            <v>2147.4430000000007</v>
          </cell>
          <cell r="Y11">
            <v>4863.62</v>
          </cell>
        </row>
        <row r="12">
          <cell r="A12">
            <v>2</v>
          </cell>
          <cell r="B12" t="str">
            <v>Concession Sales</v>
          </cell>
          <cell r="E12">
            <v>61.74</v>
          </cell>
          <cell r="F12">
            <v>61.74</v>
          </cell>
          <cell r="G12">
            <v>82.04</v>
          </cell>
          <cell r="H12">
            <v>58.87</v>
          </cell>
          <cell r="I12">
            <v>65.87</v>
          </cell>
          <cell r="J12">
            <v>97.72</v>
          </cell>
          <cell r="K12">
            <v>60.27</v>
          </cell>
          <cell r="L12">
            <v>70.77</v>
          </cell>
          <cell r="M12">
            <v>77.98</v>
          </cell>
          <cell r="N12">
            <v>61.81</v>
          </cell>
          <cell r="O12">
            <v>77.84</v>
          </cell>
          <cell r="P12">
            <v>77.7</v>
          </cell>
          <cell r="T12">
            <v>0</v>
          </cell>
          <cell r="U12">
            <v>854.35</v>
          </cell>
          <cell r="V12">
            <v>344.09500000000003</v>
          </cell>
          <cell r="W12">
            <v>0</v>
          </cell>
          <cell r="X12">
            <v>510.255</v>
          </cell>
          <cell r="Y12">
            <v>854.35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212.73799999999997</v>
          </cell>
          <cell r="W15">
            <v>0</v>
          </cell>
          <cell r="X15">
            <v>21.262000000000029</v>
          </cell>
          <cell r="Y15">
            <v>234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13.782225</v>
          </cell>
          <cell r="F16">
            <v>13.782225</v>
          </cell>
          <cell r="G16">
            <v>13.782225</v>
          </cell>
          <cell r="H16">
            <v>13.782225</v>
          </cell>
          <cell r="I16">
            <v>13.782225</v>
          </cell>
          <cell r="J16">
            <v>13.782225</v>
          </cell>
          <cell r="K16">
            <v>13.782225</v>
          </cell>
          <cell r="L16">
            <v>13.782225</v>
          </cell>
          <cell r="M16">
            <v>13.782225</v>
          </cell>
          <cell r="N16">
            <v>13.782225</v>
          </cell>
          <cell r="O16">
            <v>13.782225</v>
          </cell>
          <cell r="P16">
            <v>13.782225</v>
          </cell>
          <cell r="R16">
            <v>0</v>
          </cell>
          <cell r="S16">
            <v>0</v>
          </cell>
          <cell r="T16">
            <v>0</v>
          </cell>
          <cell r="U16">
            <v>165.38670000000002</v>
          </cell>
          <cell r="V16">
            <v>75.548249999999996</v>
          </cell>
          <cell r="W16">
            <v>0</v>
          </cell>
          <cell r="X16">
            <v>89.838450000000023</v>
          </cell>
          <cell r="Y16">
            <v>165.38670000000002</v>
          </cell>
        </row>
        <row r="17">
          <cell r="B17" t="str">
            <v>TOTAL REVENUE</v>
          </cell>
          <cell r="C17">
            <v>0</v>
          </cell>
          <cell r="E17">
            <v>446.89822500000002</v>
          </cell>
          <cell r="F17">
            <v>446.89822500000002</v>
          </cell>
          <cell r="G17">
            <v>581.57822500000009</v>
          </cell>
          <cell r="H17">
            <v>428.000225</v>
          </cell>
          <cell r="I17">
            <v>473.250225</v>
          </cell>
          <cell r="J17">
            <v>684.32022500000016</v>
          </cell>
          <cell r="K17">
            <v>437.05022500000001</v>
          </cell>
          <cell r="L17">
            <v>508.380225</v>
          </cell>
          <cell r="M17">
            <v>556.02422500000011</v>
          </cell>
          <cell r="N17">
            <v>447.69622499999997</v>
          </cell>
          <cell r="O17">
            <v>554.42822500000011</v>
          </cell>
          <cell r="P17">
            <v>552.83222499999999</v>
          </cell>
          <cell r="R17">
            <v>0</v>
          </cell>
          <cell r="S17">
            <v>0</v>
          </cell>
          <cell r="T17">
            <v>0</v>
          </cell>
          <cell r="U17">
            <v>6117.3567000000003</v>
          </cell>
          <cell r="V17">
            <v>3348.5582499999996</v>
          </cell>
          <cell r="W17">
            <v>0</v>
          </cell>
          <cell r="X17">
            <v>2768.7984500000007</v>
          </cell>
          <cell r="Y17">
            <v>6117.3567000000003</v>
          </cell>
        </row>
        <row r="19">
          <cell r="A19">
            <v>7</v>
          </cell>
          <cell r="B19" t="str">
            <v>Film Hire</v>
          </cell>
          <cell r="E19">
            <v>163.62234000000004</v>
          </cell>
          <cell r="F19">
            <v>163.62234000000004</v>
          </cell>
          <cell r="G19">
            <v>216.80904000000004</v>
          </cell>
          <cell r="H19">
            <v>156.16932000000003</v>
          </cell>
          <cell r="I19">
            <v>173.95557000000002</v>
          </cell>
          <cell r="J19">
            <v>257.29287000000005</v>
          </cell>
          <cell r="K19">
            <v>159.72657000000004</v>
          </cell>
          <cell r="L19">
            <v>188.01252000000002</v>
          </cell>
          <cell r="M19">
            <v>206.81433000000004</v>
          </cell>
          <cell r="N19">
            <v>163.96086</v>
          </cell>
          <cell r="O19">
            <v>206.13729000000004</v>
          </cell>
          <cell r="P19">
            <v>205.46025000000003</v>
          </cell>
          <cell r="U19">
            <v>2261.5833000000002</v>
          </cell>
          <cell r="V19">
            <v>1268.2820000000002</v>
          </cell>
          <cell r="W19">
            <v>0</v>
          </cell>
          <cell r="X19">
            <v>993.30130000000008</v>
          </cell>
          <cell r="Y19">
            <v>2261.5833000000002</v>
          </cell>
        </row>
        <row r="20">
          <cell r="A20">
            <v>8</v>
          </cell>
          <cell r="B20" t="str">
            <v>Concession Cost</v>
          </cell>
          <cell r="E20">
            <v>14.200199999999999</v>
          </cell>
          <cell r="F20">
            <v>14.200199999999999</v>
          </cell>
          <cell r="G20">
            <v>18.869199999999999</v>
          </cell>
          <cell r="H20">
            <v>13.540099999999999</v>
          </cell>
          <cell r="I20">
            <v>15.150099999999998</v>
          </cell>
          <cell r="J20">
            <v>22.475599999999996</v>
          </cell>
          <cell r="K20">
            <v>13.862099999999998</v>
          </cell>
          <cell r="L20">
            <v>16.277100000000001</v>
          </cell>
          <cell r="M20">
            <v>17.935400000000001</v>
          </cell>
          <cell r="N20">
            <v>14.2163</v>
          </cell>
          <cell r="O20">
            <v>17.903200000000002</v>
          </cell>
          <cell r="P20">
            <v>17.870999999999999</v>
          </cell>
          <cell r="T20">
            <v>0</v>
          </cell>
          <cell r="U20">
            <v>196.50049999999999</v>
          </cell>
          <cell r="V20">
            <v>65.610100000000003</v>
          </cell>
          <cell r="W20">
            <v>0</v>
          </cell>
          <cell r="X20">
            <v>130.8904</v>
          </cell>
          <cell r="Y20">
            <v>196.50049999999999</v>
          </cell>
        </row>
        <row r="21">
          <cell r="A21">
            <v>9</v>
          </cell>
          <cell r="B21" t="str">
            <v>Less Concession Rebates</v>
          </cell>
          <cell r="E21">
            <v>-1.5434999999999999</v>
          </cell>
          <cell r="F21">
            <v>-1.5434999999999999</v>
          </cell>
          <cell r="G21">
            <v>-2.0509999999999997</v>
          </cell>
          <cell r="H21">
            <v>-1.4717499999999999</v>
          </cell>
          <cell r="I21">
            <v>-1.6467499999999999</v>
          </cell>
          <cell r="J21">
            <v>-2.4429999999999996</v>
          </cell>
          <cell r="K21">
            <v>-1.5067499999999998</v>
          </cell>
          <cell r="L21">
            <v>-1.76925</v>
          </cell>
          <cell r="M21">
            <v>-1.9495000000000002</v>
          </cell>
          <cell r="N21">
            <v>-1.54525</v>
          </cell>
          <cell r="O21">
            <v>-1.9460000000000002</v>
          </cell>
          <cell r="P21">
            <v>-1.9424999999999999</v>
          </cell>
          <cell r="U21">
            <v>-21.358750000000001</v>
          </cell>
          <cell r="V21">
            <v>-9.56</v>
          </cell>
          <cell r="W21">
            <v>0</v>
          </cell>
          <cell r="X21">
            <v>-11.79875</v>
          </cell>
          <cell r="Y21">
            <v>-21.358750000000001</v>
          </cell>
        </row>
        <row r="22">
          <cell r="A22">
            <v>10</v>
          </cell>
          <cell r="B22" t="str">
            <v>Advertising Cost</v>
          </cell>
          <cell r="E22">
            <v>8.0931480000000011</v>
          </cell>
          <cell r="F22">
            <v>8.0931480000000011</v>
          </cell>
          <cell r="G22">
            <v>10.723888000000001</v>
          </cell>
          <cell r="H22">
            <v>7.7245040000000005</v>
          </cell>
          <cell r="I22">
            <v>8.604254000000001</v>
          </cell>
          <cell r="J22">
            <v>12.726314000000002</v>
          </cell>
          <cell r="K22">
            <v>7.9004540000000008</v>
          </cell>
          <cell r="L22">
            <v>9.2995440000000009</v>
          </cell>
          <cell r="M22">
            <v>10.229526000000002</v>
          </cell>
          <cell r="N22">
            <v>8.1098920000000003</v>
          </cell>
          <cell r="O22">
            <v>10.196038000000001</v>
          </cell>
          <cell r="P22">
            <v>10.16255</v>
          </cell>
          <cell r="T22">
            <v>0</v>
          </cell>
          <cell r="U22">
            <v>111.86326000000003</v>
          </cell>
          <cell r="V22">
            <v>58.786860000000004</v>
          </cell>
          <cell r="W22">
            <v>0</v>
          </cell>
          <cell r="X22">
            <v>53.076400000000021</v>
          </cell>
          <cell r="Y22">
            <v>111.86326000000003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0.70375200000000004</v>
          </cell>
          <cell r="F23">
            <v>0.70375200000000004</v>
          </cell>
          <cell r="G23">
            <v>0.93251200000000012</v>
          </cell>
          <cell r="H23">
            <v>0.67169600000000007</v>
          </cell>
          <cell r="I23">
            <v>0.74819600000000008</v>
          </cell>
          <cell r="J23">
            <v>1.1066360000000002</v>
          </cell>
          <cell r="K23">
            <v>0.68699600000000016</v>
          </cell>
          <cell r="L23">
            <v>0.80865600000000004</v>
          </cell>
          <cell r="M23">
            <v>0.88952400000000009</v>
          </cell>
          <cell r="N23">
            <v>0.70520799999999995</v>
          </cell>
          <cell r="O23">
            <v>0.88661200000000007</v>
          </cell>
          <cell r="P23">
            <v>0.88370000000000004</v>
          </cell>
          <cell r="R23">
            <v>0</v>
          </cell>
          <cell r="S23">
            <v>0</v>
          </cell>
          <cell r="T23">
            <v>0</v>
          </cell>
          <cell r="U23">
            <v>9.7272399999999983</v>
          </cell>
          <cell r="V23">
            <v>5.4323540000000001</v>
          </cell>
          <cell r="W23">
            <v>0</v>
          </cell>
          <cell r="X23">
            <v>4.2948859999999982</v>
          </cell>
          <cell r="Y23">
            <v>9.7272399999999983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39.990848205229867</v>
          </cell>
          <cell r="F24">
            <v>39.990848205229867</v>
          </cell>
          <cell r="G24">
            <v>41.090848205229868</v>
          </cell>
          <cell r="H24">
            <v>39.990848205229867</v>
          </cell>
          <cell r="I24">
            <v>39.990848205229867</v>
          </cell>
          <cell r="J24">
            <v>41.090848205229868</v>
          </cell>
          <cell r="K24">
            <v>40.643640968929873</v>
          </cell>
          <cell r="L24">
            <v>40.643640968929873</v>
          </cell>
          <cell r="M24">
            <v>41.743640968929874</v>
          </cell>
          <cell r="N24">
            <v>40.643640968929873</v>
          </cell>
          <cell r="O24">
            <v>41.743640968929874</v>
          </cell>
          <cell r="P24">
            <v>41.743640968929874</v>
          </cell>
          <cell r="R24">
            <v>0</v>
          </cell>
          <cell r="S24">
            <v>0</v>
          </cell>
          <cell r="T24">
            <v>0</v>
          </cell>
          <cell r="U24">
            <v>489.30693504495832</v>
          </cell>
          <cell r="V24">
            <v>207.39718999999997</v>
          </cell>
          <cell r="W24">
            <v>0</v>
          </cell>
          <cell r="X24">
            <v>281.90974504495836</v>
          </cell>
          <cell r="Y24">
            <v>489.30693504495832</v>
          </cell>
        </row>
        <row r="25">
          <cell r="B25" t="str">
            <v>TOTAL COST</v>
          </cell>
          <cell r="C25">
            <v>0</v>
          </cell>
          <cell r="E25">
            <v>225.06678820522993</v>
          </cell>
          <cell r="F25">
            <v>225.06678820522993</v>
          </cell>
          <cell r="G25">
            <v>286.37448820522991</v>
          </cell>
          <cell r="H25">
            <v>216.6247182052299</v>
          </cell>
          <cell r="I25">
            <v>236.80221820522991</v>
          </cell>
          <cell r="J25">
            <v>332.2492682052299</v>
          </cell>
          <cell r="K25">
            <v>221.31301096892989</v>
          </cell>
          <cell r="L25">
            <v>253.2722109689299</v>
          </cell>
          <cell r="M25">
            <v>275.66292096892994</v>
          </cell>
          <cell r="N25">
            <v>226.09065096892985</v>
          </cell>
          <cell r="O25">
            <v>274.92078096892993</v>
          </cell>
          <cell r="P25">
            <v>274.17864096892993</v>
          </cell>
          <cell r="R25">
            <v>0</v>
          </cell>
          <cell r="S25">
            <v>0</v>
          </cell>
          <cell r="T25">
            <v>0</v>
          </cell>
          <cell r="U25">
            <v>3047.6224850449585</v>
          </cell>
          <cell r="V25">
            <v>1595.9485040000002</v>
          </cell>
          <cell r="W25">
            <v>0</v>
          </cell>
          <cell r="X25">
            <v>1451.6739810449583</v>
          </cell>
          <cell r="Y25">
            <v>3047.6224850449585</v>
          </cell>
        </row>
        <row r="27">
          <cell r="B27" t="str">
            <v>GROSS MARGIN</v>
          </cell>
          <cell r="C27">
            <v>0</v>
          </cell>
          <cell r="E27">
            <v>221.8314367947701</v>
          </cell>
          <cell r="F27">
            <v>221.8314367947701</v>
          </cell>
          <cell r="G27">
            <v>295.20373679477018</v>
          </cell>
          <cell r="H27">
            <v>211.3755067947701</v>
          </cell>
          <cell r="I27">
            <v>236.44800679477009</v>
          </cell>
          <cell r="J27">
            <v>352.07095679477027</v>
          </cell>
          <cell r="K27">
            <v>215.73721403107012</v>
          </cell>
          <cell r="L27">
            <v>255.1080140310701</v>
          </cell>
          <cell r="M27">
            <v>280.36130403107018</v>
          </cell>
          <cell r="N27">
            <v>221.60557403107012</v>
          </cell>
          <cell r="O27">
            <v>279.50744403107018</v>
          </cell>
          <cell r="P27">
            <v>278.65358403107007</v>
          </cell>
          <cell r="R27">
            <v>0</v>
          </cell>
          <cell r="S27">
            <v>0</v>
          </cell>
          <cell r="T27">
            <v>0</v>
          </cell>
          <cell r="U27">
            <v>3069.7342149550414</v>
          </cell>
          <cell r="V27">
            <v>1752.6097459999994</v>
          </cell>
          <cell r="W27">
            <v>0</v>
          </cell>
          <cell r="X27">
            <v>1317.1244689550419</v>
          </cell>
          <cell r="Y27">
            <v>3069.7342149550414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103.88759999999999</v>
          </cell>
          <cell r="F29">
            <v>103.88759999999999</v>
          </cell>
          <cell r="G29">
            <v>103.88759999999999</v>
          </cell>
          <cell r="H29">
            <v>103.88759999999999</v>
          </cell>
          <cell r="I29">
            <v>103.88759999999999</v>
          </cell>
          <cell r="J29">
            <v>103.88759999999999</v>
          </cell>
          <cell r="K29">
            <v>103.88759999999999</v>
          </cell>
          <cell r="L29">
            <v>103.88759999999999</v>
          </cell>
          <cell r="M29">
            <v>103.88759999999999</v>
          </cell>
          <cell r="N29">
            <v>103.88759999999999</v>
          </cell>
          <cell r="O29">
            <v>103.88759999999999</v>
          </cell>
          <cell r="P29">
            <v>103.88759999999999</v>
          </cell>
          <cell r="T29">
            <v>0</v>
          </cell>
          <cell r="U29">
            <v>1246.6512</v>
          </cell>
          <cell r="V29">
            <v>320.05664999999999</v>
          </cell>
          <cell r="W29">
            <v>0</v>
          </cell>
          <cell r="X29">
            <v>926.59455000000003</v>
          </cell>
          <cell r="Y29">
            <v>1246.6512</v>
          </cell>
        </row>
        <row r="30">
          <cell r="A30">
            <v>14</v>
          </cell>
          <cell r="B30" t="str">
            <v>Light, Heat and Power</v>
          </cell>
          <cell r="E30">
            <v>15.2</v>
          </cell>
          <cell r="F30">
            <v>15.2</v>
          </cell>
          <cell r="G30">
            <v>15.2</v>
          </cell>
          <cell r="H30">
            <v>15.2</v>
          </cell>
          <cell r="I30">
            <v>15.2</v>
          </cell>
          <cell r="J30">
            <v>15.2</v>
          </cell>
          <cell r="K30">
            <v>15.2</v>
          </cell>
          <cell r="L30">
            <v>15.2</v>
          </cell>
          <cell r="M30">
            <v>15.2</v>
          </cell>
          <cell r="N30">
            <v>15.2</v>
          </cell>
          <cell r="O30">
            <v>15.2</v>
          </cell>
          <cell r="P30">
            <v>15.2</v>
          </cell>
          <cell r="T30">
            <v>0</v>
          </cell>
          <cell r="U30">
            <v>182.4</v>
          </cell>
          <cell r="V30">
            <v>79.374000000000009</v>
          </cell>
          <cell r="W30">
            <v>0</v>
          </cell>
          <cell r="X30">
            <v>103.02599999999997</v>
          </cell>
          <cell r="Y30">
            <v>182.4</v>
          </cell>
        </row>
        <row r="31">
          <cell r="A31">
            <v>15</v>
          </cell>
          <cell r="B31" t="str">
            <v>Repair &amp; Maintenance</v>
          </cell>
          <cell r="E31">
            <v>11.12</v>
          </cell>
          <cell r="F31">
            <v>11.12</v>
          </cell>
          <cell r="G31">
            <v>11.12</v>
          </cell>
          <cell r="H31">
            <v>16.12</v>
          </cell>
          <cell r="I31">
            <v>11.12</v>
          </cell>
          <cell r="J31">
            <v>11.12</v>
          </cell>
          <cell r="K31">
            <v>12.775</v>
          </cell>
          <cell r="L31">
            <v>12.775</v>
          </cell>
          <cell r="M31">
            <v>12.775</v>
          </cell>
          <cell r="N31">
            <v>12.775</v>
          </cell>
          <cell r="O31">
            <v>12.775</v>
          </cell>
          <cell r="P31">
            <v>12.775</v>
          </cell>
          <cell r="T31">
            <v>0</v>
          </cell>
          <cell r="U31">
            <v>148.37</v>
          </cell>
          <cell r="V31">
            <v>58.412166666666664</v>
          </cell>
          <cell r="W31">
            <v>0</v>
          </cell>
          <cell r="X31">
            <v>89.957833333333369</v>
          </cell>
          <cell r="Y31">
            <v>148.37</v>
          </cell>
        </row>
        <row r="32">
          <cell r="A32">
            <v>16</v>
          </cell>
          <cell r="B32" t="str">
            <v>Common Area Maintenance</v>
          </cell>
          <cell r="E32">
            <v>47.792400000000001</v>
          </cell>
          <cell r="F32">
            <v>47.792400000000001</v>
          </cell>
          <cell r="G32">
            <v>48.212400000000002</v>
          </cell>
          <cell r="H32">
            <v>47.792400000000001</v>
          </cell>
          <cell r="I32">
            <v>47.792400000000001</v>
          </cell>
          <cell r="J32">
            <v>48.212400000000002</v>
          </cell>
          <cell r="K32">
            <v>47.792400000000001</v>
          </cell>
          <cell r="L32">
            <v>47.792400000000001</v>
          </cell>
          <cell r="M32">
            <v>48.212400000000002</v>
          </cell>
          <cell r="N32">
            <v>47.792400000000001</v>
          </cell>
          <cell r="O32">
            <v>47.792400000000001</v>
          </cell>
          <cell r="P32">
            <v>48.212400000000002</v>
          </cell>
          <cell r="T32">
            <v>0</v>
          </cell>
          <cell r="U32">
            <v>575.18880000000001</v>
          </cell>
          <cell r="V32">
            <v>265.142</v>
          </cell>
          <cell r="W32">
            <v>0</v>
          </cell>
          <cell r="X32">
            <v>310.04680000000002</v>
          </cell>
          <cell r="Y32">
            <v>575.18880000000001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17.947788482052299</v>
          </cell>
          <cell r="F33">
            <v>17.947788482052299</v>
          </cell>
          <cell r="G33">
            <v>17.790308482052296</v>
          </cell>
          <cell r="H33">
            <v>17.947788482052299</v>
          </cell>
          <cell r="I33">
            <v>17.779308482052297</v>
          </cell>
          <cell r="J33">
            <v>17.958788482052299</v>
          </cell>
          <cell r="K33">
            <v>17.954316409689302</v>
          </cell>
          <cell r="L33">
            <v>19.948876409689298</v>
          </cell>
          <cell r="M33">
            <v>17.965316409689301</v>
          </cell>
          <cell r="N33">
            <v>17.785836409689299</v>
          </cell>
          <cell r="O33">
            <v>17.965316409689301</v>
          </cell>
          <cell r="P33">
            <v>17.796836409689298</v>
          </cell>
          <cell r="R33">
            <v>0</v>
          </cell>
          <cell r="S33">
            <v>0</v>
          </cell>
          <cell r="T33">
            <v>0</v>
          </cell>
          <cell r="U33">
            <v>216.78826935044958</v>
          </cell>
          <cell r="V33">
            <v>127.21564313333332</v>
          </cell>
          <cell r="W33">
            <v>0</v>
          </cell>
          <cell r="X33">
            <v>89.572626217116266</v>
          </cell>
          <cell r="Y33">
            <v>216.78826935044958</v>
          </cell>
        </row>
        <row r="35">
          <cell r="B35" t="str">
            <v>Total Overhead Expenses</v>
          </cell>
          <cell r="C35">
            <v>0</v>
          </cell>
          <cell r="E35">
            <v>195.94778848205229</v>
          </cell>
          <cell r="F35">
            <v>195.94778848205229</v>
          </cell>
          <cell r="G35">
            <v>196.21030848205228</v>
          </cell>
          <cell r="H35">
            <v>200.94778848205229</v>
          </cell>
          <cell r="I35">
            <v>195.7793084820523</v>
          </cell>
          <cell r="J35">
            <v>196.3787884820523</v>
          </cell>
          <cell r="K35">
            <v>197.60931640968928</v>
          </cell>
          <cell r="L35">
            <v>199.60387640968926</v>
          </cell>
          <cell r="M35">
            <v>198.0403164096893</v>
          </cell>
          <cell r="N35">
            <v>197.44083640968927</v>
          </cell>
          <cell r="O35">
            <v>197.62031640968928</v>
          </cell>
          <cell r="P35">
            <v>197.87183640968928</v>
          </cell>
          <cell r="R35">
            <v>0</v>
          </cell>
          <cell r="S35">
            <v>0</v>
          </cell>
          <cell r="T35">
            <v>0</v>
          </cell>
          <cell r="U35">
            <v>2369.3982693504495</v>
          </cell>
          <cell r="V35">
            <v>850.20045979999998</v>
          </cell>
          <cell r="W35">
            <v>0</v>
          </cell>
          <cell r="X35">
            <v>1519.1978095504496</v>
          </cell>
          <cell r="Y35">
            <v>2369.3982693504495</v>
          </cell>
        </row>
        <row r="37">
          <cell r="B37" t="str">
            <v>E.B.I.T.D.</v>
          </cell>
          <cell r="C37">
            <v>0</v>
          </cell>
          <cell r="E37">
            <v>25.88364831271781</v>
          </cell>
          <cell r="F37">
            <v>25.88364831271781</v>
          </cell>
          <cell r="G37">
            <v>98.993428312717896</v>
          </cell>
          <cell r="H37">
            <v>10.427718312717815</v>
          </cell>
          <cell r="I37">
            <v>40.668698312717794</v>
          </cell>
          <cell r="J37">
            <v>155.69216831271797</v>
          </cell>
          <cell r="K37">
            <v>18.127897621380839</v>
          </cell>
          <cell r="L37">
            <v>55.504137621380835</v>
          </cell>
          <cell r="M37">
            <v>82.32098762138088</v>
          </cell>
          <cell r="N37">
            <v>24.164737621380851</v>
          </cell>
          <cell r="O37">
            <v>81.887127621380898</v>
          </cell>
          <cell r="P37">
            <v>80.781747621380788</v>
          </cell>
          <cell r="R37">
            <v>0</v>
          </cell>
          <cell r="S37">
            <v>0</v>
          </cell>
          <cell r="T37">
            <v>0</v>
          </cell>
          <cell r="U37">
            <v>700.33594560459187</v>
          </cell>
          <cell r="V37">
            <v>902.40928619999943</v>
          </cell>
          <cell r="W37">
            <v>0</v>
          </cell>
          <cell r="X37">
            <v>-202.07334059540767</v>
          </cell>
          <cell r="Y37">
            <v>700.33594560459187</v>
          </cell>
        </row>
        <row r="39">
          <cell r="A39">
            <v>18</v>
          </cell>
          <cell r="B39" t="str">
            <v>Depreciation</v>
          </cell>
          <cell r="E39">
            <v>48.524062499999999</v>
          </cell>
          <cell r="F39">
            <v>48.524062499999999</v>
          </cell>
          <cell r="G39">
            <v>48.524062499999999</v>
          </cell>
          <cell r="H39">
            <v>48.524062499999999</v>
          </cell>
          <cell r="I39">
            <v>48.524062499999999</v>
          </cell>
          <cell r="J39">
            <v>48.524062499999999</v>
          </cell>
          <cell r="K39">
            <v>48.524062499999999</v>
          </cell>
          <cell r="L39">
            <v>48.524062499999999</v>
          </cell>
          <cell r="M39">
            <v>48.524062499999999</v>
          </cell>
          <cell r="N39">
            <v>49.044895833333335</v>
          </cell>
          <cell r="O39">
            <v>49.044895833333335</v>
          </cell>
          <cell r="P39">
            <v>49.044895833333335</v>
          </cell>
          <cell r="T39">
            <v>0</v>
          </cell>
          <cell r="U39">
            <v>583.85125000000005</v>
          </cell>
          <cell r="V39">
            <v>302.02171856791659</v>
          </cell>
          <cell r="W39">
            <v>0</v>
          </cell>
          <cell r="X39">
            <v>281.82953143208357</v>
          </cell>
          <cell r="Y39">
            <v>583.85125000000005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0.44</v>
          </cell>
          <cell r="W40">
            <v>0</v>
          </cell>
          <cell r="X40">
            <v>-0.44</v>
          </cell>
          <cell r="Y40">
            <v>0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82.191780821917803</v>
          </cell>
          <cell r="W41">
            <v>0</v>
          </cell>
          <cell r="X41">
            <v>-82.191780821917803</v>
          </cell>
          <cell r="Y41">
            <v>0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E.B.T.</v>
          </cell>
          <cell r="C44">
            <v>0</v>
          </cell>
          <cell r="E44">
            <v>-22.64041418728219</v>
          </cell>
          <cell r="F44">
            <v>-22.64041418728219</v>
          </cell>
          <cell r="G44">
            <v>50.469365812717896</v>
          </cell>
          <cell r="H44">
            <v>-38.096344187282185</v>
          </cell>
          <cell r="I44">
            <v>-7.8553641872822055</v>
          </cell>
          <cell r="J44">
            <v>107.16810581271797</v>
          </cell>
          <cell r="K44">
            <v>-30.39616487861916</v>
          </cell>
          <cell r="L44">
            <v>6.9800751213808354</v>
          </cell>
          <cell r="M44">
            <v>33.79692512138088</v>
          </cell>
          <cell r="N44">
            <v>-24.880158211952484</v>
          </cell>
          <cell r="O44">
            <v>32.842231788047563</v>
          </cell>
          <cell r="P44">
            <v>31.736851788047453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116.48469560459171</v>
          </cell>
          <cell r="V44">
            <v>517.75578681016509</v>
          </cell>
          <cell r="W44">
            <v>0</v>
          </cell>
          <cell r="X44">
            <v>-401.27109120557338</v>
          </cell>
          <cell r="Y44">
            <v>116.48469560459171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-22.64041418728219</v>
          </cell>
          <cell r="F50">
            <v>-22.64041418728219</v>
          </cell>
          <cell r="G50">
            <v>50.469365812717896</v>
          </cell>
          <cell r="H50">
            <v>-38.096344187282185</v>
          </cell>
          <cell r="I50">
            <v>-7.8553641872822055</v>
          </cell>
          <cell r="J50">
            <v>107.16810581271797</v>
          </cell>
          <cell r="K50">
            <v>-30.39616487861916</v>
          </cell>
          <cell r="L50">
            <v>6.9800751213808354</v>
          </cell>
          <cell r="M50">
            <v>33.79692512138088</v>
          </cell>
          <cell r="N50">
            <v>-24.880158211952484</v>
          </cell>
          <cell r="O50">
            <v>32.842231788047563</v>
          </cell>
          <cell r="P50">
            <v>31.736851788047453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116.48469560459171</v>
          </cell>
          <cell r="V50">
            <v>517.75578681016509</v>
          </cell>
          <cell r="W50">
            <v>0</v>
          </cell>
          <cell r="X50">
            <v>-401.27109120557338</v>
          </cell>
          <cell r="Y50">
            <v>116.48469560459171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24</v>
          </cell>
          <cell r="W53">
            <v>0</v>
          </cell>
          <cell r="X53">
            <v>28</v>
          </cell>
          <cell r="Y53">
            <v>52</v>
          </cell>
        </row>
        <row r="54">
          <cell r="A54">
            <v>27</v>
          </cell>
          <cell r="B54" t="str">
            <v>Pd Admissions</v>
          </cell>
          <cell r="E54">
            <v>43.218000000000004</v>
          </cell>
          <cell r="F54">
            <v>43.218000000000004</v>
          </cell>
          <cell r="G54">
            <v>57.427999999999997</v>
          </cell>
          <cell r="H54">
            <v>41.208999999999996</v>
          </cell>
          <cell r="I54">
            <v>46.108999999999995</v>
          </cell>
          <cell r="J54">
            <v>68.403999999999996</v>
          </cell>
          <cell r="K54">
            <v>42.188999999999993</v>
          </cell>
          <cell r="L54">
            <v>49.538999999999994</v>
          </cell>
          <cell r="M54">
            <v>54.585999999999999</v>
          </cell>
          <cell r="N54">
            <v>43.266999999999996</v>
          </cell>
          <cell r="O54">
            <v>54.488</v>
          </cell>
          <cell r="P54">
            <v>54.39</v>
          </cell>
          <cell r="T54">
            <v>0</v>
          </cell>
          <cell r="U54">
            <v>598.04499999999996</v>
          </cell>
          <cell r="V54">
            <v>344</v>
          </cell>
          <cell r="W54">
            <v>0</v>
          </cell>
          <cell r="X54">
            <v>254.04499999999999</v>
          </cell>
          <cell r="Y54">
            <v>598.04499999999996</v>
          </cell>
        </row>
        <row r="55">
          <cell r="A55">
            <v>28</v>
          </cell>
          <cell r="B55" t="str">
            <v>Admissions</v>
          </cell>
          <cell r="E55">
            <v>44.1</v>
          </cell>
          <cell r="F55">
            <v>44.1</v>
          </cell>
          <cell r="G55">
            <v>58.6</v>
          </cell>
          <cell r="H55">
            <v>42.05</v>
          </cell>
          <cell r="I55">
            <v>47.05</v>
          </cell>
          <cell r="J55">
            <v>69.8</v>
          </cell>
          <cell r="K55">
            <v>43.05</v>
          </cell>
          <cell r="L55">
            <v>50.55</v>
          </cell>
          <cell r="M55">
            <v>55.7</v>
          </cell>
          <cell r="N55">
            <v>44.15</v>
          </cell>
          <cell r="O55">
            <v>55.6</v>
          </cell>
          <cell r="P55">
            <v>55.5</v>
          </cell>
          <cell r="T55">
            <v>0</v>
          </cell>
          <cell r="U55">
            <v>610.25</v>
          </cell>
          <cell r="V55">
            <v>344</v>
          </cell>
          <cell r="W55">
            <v>0</v>
          </cell>
          <cell r="X55">
            <v>266.25</v>
          </cell>
          <cell r="Y55">
            <v>610.25</v>
          </cell>
        </row>
        <row r="56">
          <cell r="B56" t="str">
            <v>Utilisation Rate</v>
          </cell>
          <cell r="E56">
            <v>0.19616739617807197</v>
          </cell>
          <cell r="F56">
            <v>0.19616739617807197</v>
          </cell>
          <cell r="G56">
            <v>0.20853350414575994</v>
          </cell>
          <cell r="H56">
            <v>0.18704850361197112</v>
          </cell>
          <cell r="I56">
            <v>0.20928970499270488</v>
          </cell>
          <cell r="J56">
            <v>0.24838973702003486</v>
          </cell>
          <cell r="K56">
            <v>0.19149674388811785</v>
          </cell>
          <cell r="L56">
            <v>0.22485854595921853</v>
          </cell>
          <cell r="M56">
            <v>0.19821358670509948</v>
          </cell>
          <cell r="N56">
            <v>0.19638980819187929</v>
          </cell>
          <cell r="O56">
            <v>0.19785772748300773</v>
          </cell>
          <cell r="P56">
            <v>0.24687733532614498</v>
          </cell>
          <cell r="U56">
            <v>0.20881066373219678</v>
          </cell>
          <cell r="V56">
            <v>0.25503244249908069</v>
          </cell>
          <cell r="W56" t="str">
            <v>N.A.</v>
          </cell>
          <cell r="X56">
            <v>-4.6221778766883909E-2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>
            <v>7.9790476190476198</v>
          </cell>
          <cell r="F57">
            <v>7.9790476190476198</v>
          </cell>
          <cell r="G57">
            <v>7.9565870307167241</v>
          </cell>
          <cell r="H57">
            <v>7.9868727705112965</v>
          </cell>
          <cell r="I57">
            <v>7.9510733262486726</v>
          </cell>
          <cell r="J57">
            <v>7.9271919770773653</v>
          </cell>
          <cell r="K57">
            <v>7.9790476190476207</v>
          </cell>
          <cell r="L57">
            <v>7.9985756676557873</v>
          </cell>
          <cell r="M57">
            <v>7.9849551166965895</v>
          </cell>
          <cell r="N57">
            <v>7.9865005662514159</v>
          </cell>
          <cell r="O57">
            <v>7.973129496402878</v>
          </cell>
          <cell r="P57">
            <v>7.9612612612612619</v>
          </cell>
          <cell r="Q57">
            <v>0</v>
          </cell>
          <cell r="R57" t="str">
            <v>N.A.</v>
          </cell>
          <cell r="S57" t="str">
            <v>N.A.</v>
          </cell>
          <cell r="U57">
            <v>7.9698811962310545</v>
          </cell>
          <cell r="V57">
            <v>7.8958633720930234</v>
          </cell>
          <cell r="W57" t="str">
            <v>N.A.</v>
          </cell>
          <cell r="X57">
            <v>7.4017824138031152E-2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2.1643236063040076E-2</v>
          </cell>
          <cell r="W58" t="str">
            <v>N.A.</v>
          </cell>
          <cell r="X58">
            <v>1.3567639369599267E-3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>
            <v>0.20499999999999999</v>
          </cell>
          <cell r="F59">
            <v>0.20499999999999999</v>
          </cell>
          <cell r="G59">
            <v>0.20499999999999999</v>
          </cell>
          <cell r="H59">
            <v>0.20499999999999999</v>
          </cell>
          <cell r="I59">
            <v>0.20499999999999999</v>
          </cell>
          <cell r="J59">
            <v>0.20499999999999999</v>
          </cell>
          <cell r="K59">
            <v>0.20499999999999999</v>
          </cell>
          <cell r="L59">
            <v>0.20499999999999999</v>
          </cell>
          <cell r="M59">
            <v>0.20499999999999999</v>
          </cell>
          <cell r="N59">
            <v>0.20499999999999999</v>
          </cell>
          <cell r="O59">
            <v>0.20499999999999999</v>
          </cell>
          <cell r="P59">
            <v>0.20499999999999999</v>
          </cell>
          <cell r="R59" t="str">
            <v>N.A.</v>
          </cell>
          <cell r="S59" t="str">
            <v>N.A.</v>
          </cell>
          <cell r="U59">
            <v>0.20499999999999999</v>
          </cell>
          <cell r="V59">
            <v>0.16289135267876603</v>
          </cell>
          <cell r="W59" t="str">
            <v>N.A.</v>
          </cell>
          <cell r="X59">
            <v>4.2108647321233983E-2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>
            <v>1.4</v>
          </cell>
          <cell r="F60">
            <v>1.4</v>
          </cell>
          <cell r="G60">
            <v>1.4</v>
          </cell>
          <cell r="H60">
            <v>1.4</v>
          </cell>
          <cell r="I60">
            <v>1.4</v>
          </cell>
          <cell r="J60">
            <v>1.4</v>
          </cell>
          <cell r="K60">
            <v>1.4</v>
          </cell>
          <cell r="L60">
            <v>1.4</v>
          </cell>
          <cell r="M60">
            <v>1.4</v>
          </cell>
          <cell r="N60">
            <v>1.4</v>
          </cell>
          <cell r="O60">
            <v>1.4</v>
          </cell>
          <cell r="P60">
            <v>1.4</v>
          </cell>
          <cell r="R60" t="str">
            <v>N.A.</v>
          </cell>
          <cell r="S60" t="str">
            <v>N.A.</v>
          </cell>
          <cell r="U60">
            <v>1.4</v>
          </cell>
          <cell r="V60">
            <v>1.0002761627906978</v>
          </cell>
          <cell r="W60" t="str">
            <v>N.A.</v>
          </cell>
          <cell r="X60">
            <v>0.39972383720930216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0.46693643308223287</v>
          </cell>
          <cell r="W61" t="str">
            <v>N.A.</v>
          </cell>
          <cell r="X61">
            <v>-1.9364330822329023E-3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>
            <v>0.11365040015582155</v>
          </cell>
          <cell r="F62">
            <v>0.11365040015582155</v>
          </cell>
          <cell r="G62">
            <v>8.8129371429493383E-2</v>
          </cell>
          <cell r="H62">
            <v>0.11907424848511787</v>
          </cell>
          <cell r="I62">
            <v>0.10689939054801112</v>
          </cell>
          <cell r="J62">
            <v>7.4262626925619371E-2</v>
          </cell>
          <cell r="K62">
            <v>0.11832278781515429</v>
          </cell>
          <cell r="L62">
            <v>0.1005214602227149</v>
          </cell>
          <cell r="M62">
            <v>9.3856131973796927E-2</v>
          </cell>
          <cell r="N62">
            <v>0.11526710124936153</v>
          </cell>
          <cell r="O62">
            <v>9.4164394276030267E-2</v>
          </cell>
          <cell r="P62">
            <v>9.4474688172297996E-2</v>
          </cell>
          <cell r="R62" t="str">
            <v>N.A.</v>
          </cell>
          <cell r="S62" t="str">
            <v>N.A.</v>
          </cell>
          <cell r="U62">
            <v>0.1006055027006547</v>
          </cell>
          <cell r="V62">
            <v>7.6356286795742676E-2</v>
          </cell>
          <cell r="W62" t="str">
            <v>N.A.</v>
          </cell>
          <cell r="X62">
            <v>2.4249215904912025E-2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9.6685931407948109E-2</v>
          </cell>
          <cell r="F63">
            <v>9.6685931407948109E-2</v>
          </cell>
          <cell r="G63">
            <v>7.4942819581448453E-2</v>
          </cell>
          <cell r="H63">
            <v>0.10131498488852766</v>
          </cell>
          <cell r="I63">
            <v>9.0894901913843432E-2</v>
          </cell>
          <cell r="J63">
            <v>6.3115898311972354E-2</v>
          </cell>
          <cell r="K63">
            <v>0.10066087696134877</v>
          </cell>
          <cell r="L63">
            <v>8.554791004998942E-2</v>
          </cell>
          <cell r="M63">
            <v>7.9855150282414397E-2</v>
          </cell>
          <cell r="N63">
            <v>9.8074970847823364E-2</v>
          </cell>
          <cell r="O63">
            <v>8.0099705205316493E-2</v>
          </cell>
          <cell r="P63">
            <v>8.0345762619439667E-2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8.5573540092892794E-2</v>
          </cell>
          <cell r="V63">
            <v>6.7770835402866145E-2</v>
          </cell>
          <cell r="W63" t="str">
            <v>N.A.</v>
          </cell>
          <cell r="X63">
            <v>1.7802704690026649E-2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0.90682195476711713</v>
          </cell>
          <cell r="F64">
            <v>0.90682195476711713</v>
          </cell>
          <cell r="G64">
            <v>0.70120901374112399</v>
          </cell>
          <cell r="H64">
            <v>0.95103087289488397</v>
          </cell>
          <cell r="I64">
            <v>0.84996489277853071</v>
          </cell>
          <cell r="J64">
            <v>0.58869410036145942</v>
          </cell>
          <cell r="K64">
            <v>0.94410315839558367</v>
          </cell>
          <cell r="L64">
            <v>0.80402850581463647</v>
          </cell>
          <cell r="M64">
            <v>0.74943700123752011</v>
          </cell>
          <cell r="N64">
            <v>0.92058076939818512</v>
          </cell>
          <cell r="O64">
            <v>0.75078490951312726</v>
          </cell>
          <cell r="P64">
            <v>0.75213767511585361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0.80181390421132048</v>
          </cell>
          <cell r="V64">
            <v>0.60289880813953478</v>
          </cell>
          <cell r="W64" t="str">
            <v>N.A.</v>
          </cell>
          <cell r="X64">
            <v>0.1989150960717857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>
            <v>0.49638021452148323</v>
          </cell>
          <cell r="F65">
            <v>0.49638021452148323</v>
          </cell>
          <cell r="G65">
            <v>0.50759076613428944</v>
          </cell>
          <cell r="H65">
            <v>0.49386774690310059</v>
          </cell>
          <cell r="I65">
            <v>0.49962576730897507</v>
          </cell>
          <cell r="J65">
            <v>0.51448275811922728</v>
          </cell>
          <cell r="K65">
            <v>0.49362110277158677</v>
          </cell>
          <cell r="L65">
            <v>0.50180554137618183</v>
          </cell>
          <cell r="M65">
            <v>0.50422498054121678</v>
          </cell>
          <cell r="N65">
            <v>0.49499093728357912</v>
          </cell>
          <cell r="O65">
            <v>0.50413639029843782</v>
          </cell>
          <cell r="P65">
            <v>0.50404728854413305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0.50180729447328798</v>
          </cell>
          <cell r="V65">
            <v>0.52339234236107424</v>
          </cell>
          <cell r="W65" t="str">
            <v>N.A.</v>
          </cell>
          <cell r="X65">
            <v>-2.1585047887786257E-2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>
            <v>4.0160796078463498E-2</v>
          </cell>
          <cell r="F66">
            <v>4.0160796078463498E-2</v>
          </cell>
          <cell r="G66">
            <v>3.058970868803125E-2</v>
          </cell>
          <cell r="H66">
            <v>4.1934063193663738E-2</v>
          </cell>
          <cell r="I66">
            <v>3.7568515645295883E-2</v>
          </cell>
          <cell r="J66">
            <v>2.6243252538754491E-2</v>
          </cell>
          <cell r="K66">
            <v>4.1080670784895031E-2</v>
          </cell>
          <cell r="L66">
            <v>3.9240071561967814E-2</v>
          </cell>
          <cell r="M66">
            <v>3.2310312396351612E-2</v>
          </cell>
          <cell r="N66">
            <v>3.972746567092296E-2</v>
          </cell>
          <cell r="O66">
            <v>3.2403322196825922E-2</v>
          </cell>
          <cell r="P66">
            <v>3.2192111105117466E-2</v>
          </cell>
          <cell r="Q66">
            <v>0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3.5438226015241124E-2</v>
          </cell>
          <cell r="V66">
            <v>3.7991169224347025E-2</v>
          </cell>
          <cell r="W66" t="str">
            <v>N.A.</v>
          </cell>
          <cell r="X66">
            <v>-2.5529432091059012E-3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>
            <v>5.791844063090161E-2</v>
          </cell>
          <cell r="F67">
            <v>5.791844063090161E-2</v>
          </cell>
          <cell r="G67">
            <v>0.17021515603119061</v>
          </cell>
          <cell r="H67">
            <v>2.436381502537251E-2</v>
          </cell>
          <cell r="I67">
            <v>8.5934873697561989E-2</v>
          </cell>
          <cell r="J67">
            <v>0.22751361515395505</v>
          </cell>
          <cell r="K67">
            <v>4.1477836148879316E-2</v>
          </cell>
          <cell r="L67">
            <v>0.10917839619230042</v>
          </cell>
          <cell r="M67">
            <v>0.14805287956901672</v>
          </cell>
          <cell r="N67">
            <v>5.3975745766855314E-2</v>
          </cell>
          <cell r="O67">
            <v>0.14769653478839553</v>
          </cell>
          <cell r="P67">
            <v>0.14612344210104755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0.11448342477799142</v>
          </cell>
          <cell r="V67">
            <v>0.26949188839704358</v>
          </cell>
          <cell r="W67" t="str">
            <v>N.A.</v>
          </cell>
          <cell r="X67">
            <v>-0.15500846361905216</v>
          </cell>
          <cell r="Y67" t="str">
            <v>N.A.</v>
          </cell>
        </row>
        <row r="68">
          <cell r="B68" t="str">
            <v>No of Concession Transactions</v>
          </cell>
          <cell r="E68">
            <v>12</v>
          </cell>
          <cell r="F68">
            <v>12</v>
          </cell>
          <cell r="G68">
            <v>18</v>
          </cell>
          <cell r="H68">
            <v>12</v>
          </cell>
          <cell r="I68">
            <v>14</v>
          </cell>
          <cell r="J68">
            <v>19</v>
          </cell>
          <cell r="K68">
            <v>12</v>
          </cell>
          <cell r="L68">
            <v>14</v>
          </cell>
          <cell r="M68">
            <v>16</v>
          </cell>
          <cell r="N68">
            <v>13</v>
          </cell>
          <cell r="O68">
            <v>17</v>
          </cell>
          <cell r="P68">
            <v>19</v>
          </cell>
          <cell r="U68">
            <v>178</v>
          </cell>
          <cell r="V68">
            <v>79</v>
          </cell>
          <cell r="W68" t="str">
            <v>N.A.</v>
          </cell>
          <cell r="X68">
            <v>99</v>
          </cell>
          <cell r="Y68" t="str">
            <v>N.A.</v>
          </cell>
        </row>
        <row r="69">
          <cell r="B69" t="str">
            <v>Strike Rate %(No of Trans/Adm)</v>
          </cell>
          <cell r="E69">
            <v>0.27210884353741494</v>
          </cell>
          <cell r="F69">
            <v>0.27210884353741494</v>
          </cell>
          <cell r="G69">
            <v>0.30716723549488056</v>
          </cell>
          <cell r="H69">
            <v>0.28537455410225926</v>
          </cell>
          <cell r="I69">
            <v>0.29755579171094582</v>
          </cell>
          <cell r="J69">
            <v>0.27220630372492838</v>
          </cell>
          <cell r="K69">
            <v>0.27874564459930318</v>
          </cell>
          <cell r="L69">
            <v>0.27695351137487639</v>
          </cell>
          <cell r="M69">
            <v>0.28725314183123879</v>
          </cell>
          <cell r="N69">
            <v>0.29445073612684031</v>
          </cell>
          <cell r="O69">
            <v>0.30575539568345322</v>
          </cell>
          <cell r="P69">
            <v>0.34234234234234234</v>
          </cell>
          <cell r="U69">
            <v>0.2916837361736993</v>
          </cell>
          <cell r="V69">
            <v>0.22965116279069767</v>
          </cell>
          <cell r="W69" t="str">
            <v>N.A.</v>
          </cell>
          <cell r="X69">
            <v>6.2032573383001638E-2</v>
          </cell>
          <cell r="Y69" t="str">
            <v>N.A.</v>
          </cell>
        </row>
        <row r="70">
          <cell r="B70" t="str">
            <v>Ave Sales (Total Sale/No of Trans) (S$)</v>
          </cell>
          <cell r="E70">
            <v>5.1449999999999996</v>
          </cell>
          <cell r="F70">
            <v>5.1449999999999996</v>
          </cell>
          <cell r="G70">
            <v>4.557777777777777</v>
          </cell>
          <cell r="H70">
            <v>4.9058333333333328</v>
          </cell>
          <cell r="I70">
            <v>4.7050000000000001</v>
          </cell>
          <cell r="J70">
            <v>5.1431578947368415</v>
          </cell>
          <cell r="K70">
            <v>5.0225</v>
          </cell>
          <cell r="L70">
            <v>5.0549999999999997</v>
          </cell>
          <cell r="M70">
            <v>4.8737500000000002</v>
          </cell>
          <cell r="N70">
            <v>4.7546153846153842</v>
          </cell>
          <cell r="O70">
            <v>4.578823529411765</v>
          </cell>
          <cell r="P70">
            <v>4.0894736842105255</v>
          </cell>
          <cell r="U70">
            <v>4.7997191011235953</v>
          </cell>
          <cell r="V70">
            <v>4.355632911392405</v>
          </cell>
          <cell r="W70" t="str">
            <v>N.A.</v>
          </cell>
          <cell r="X70">
            <v>0.4440861897311903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27</v>
          </cell>
          <cell r="F71">
            <v>30</v>
          </cell>
          <cell r="G71">
            <v>38</v>
          </cell>
          <cell r="H71">
            <v>28</v>
          </cell>
          <cell r="I71">
            <v>32</v>
          </cell>
          <cell r="J71">
            <v>46</v>
          </cell>
          <cell r="K71">
            <v>28</v>
          </cell>
          <cell r="L71">
            <v>30</v>
          </cell>
          <cell r="M71">
            <v>35</v>
          </cell>
          <cell r="N71">
            <v>28</v>
          </cell>
          <cell r="O71">
            <v>35</v>
          </cell>
          <cell r="P71">
            <v>40</v>
          </cell>
          <cell r="U71">
            <v>397</v>
          </cell>
          <cell r="V71">
            <v>143</v>
          </cell>
          <cell r="W71" t="str">
            <v>N.A.</v>
          </cell>
          <cell r="X71">
            <v>254</v>
          </cell>
          <cell r="Y71" t="str">
            <v>N.A.</v>
          </cell>
        </row>
        <row r="72">
          <cell r="B72" t="str">
            <v>Combo Sales as % of Total Sales</v>
          </cell>
          <cell r="E72">
            <v>0.43731778425655982</v>
          </cell>
          <cell r="F72">
            <v>0.48590864917395532</v>
          </cell>
          <cell r="G72">
            <v>0.46318868844466121</v>
          </cell>
          <cell r="H72">
            <v>0.47562425683709875</v>
          </cell>
          <cell r="I72">
            <v>0.48580537422195241</v>
          </cell>
          <cell r="J72">
            <v>0.47073270568972581</v>
          </cell>
          <cell r="K72">
            <v>0.46457607433217196</v>
          </cell>
          <cell r="L72">
            <v>0.42390843577787202</v>
          </cell>
          <cell r="M72">
            <v>0.44883303411131059</v>
          </cell>
          <cell r="N72">
            <v>0.45300113250283131</v>
          </cell>
          <cell r="O72">
            <v>0.44964028776978415</v>
          </cell>
          <cell r="P72">
            <v>0.51480051480051492</v>
          </cell>
          <cell r="U72">
            <v>0.46468075144846965</v>
          </cell>
          <cell r="V72">
            <v>0.41558290588354957</v>
          </cell>
          <cell r="W72" t="str">
            <v>N.A.</v>
          </cell>
          <cell r="X72">
            <v>4.9097845564920084E-2</v>
          </cell>
          <cell r="Y72" t="str">
            <v>N.A.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U73">
            <v>68.534000000000006</v>
          </cell>
          <cell r="V73">
            <v>31</v>
          </cell>
          <cell r="W73" t="str">
            <v>N.A.</v>
          </cell>
          <cell r="X73">
            <v>37.534000000000006</v>
          </cell>
          <cell r="Y73" t="str">
            <v>N.A.</v>
          </cell>
        </row>
        <row r="74">
          <cell r="B74" t="str">
            <v>Admissions/labour hour paid</v>
          </cell>
          <cell r="E74">
            <v>9.1855863361799628</v>
          </cell>
          <cell r="F74">
            <v>8.82</v>
          </cell>
          <cell r="G74">
            <v>8.2419127988748233</v>
          </cell>
          <cell r="H74">
            <v>8.7585919600083315</v>
          </cell>
          <cell r="I74">
            <v>9.41</v>
          </cell>
          <cell r="J74">
            <v>9.8171589310829805</v>
          </cell>
          <cell r="K74">
            <v>8.9668818996042479</v>
          </cell>
          <cell r="L74">
            <v>10.11</v>
          </cell>
          <cell r="M74">
            <v>7.8340365682137838</v>
          </cell>
          <cell r="N74">
            <v>9.1960008331597578</v>
          </cell>
          <cell r="O74">
            <v>7.9428571428571431</v>
          </cell>
          <cell r="P74">
            <v>9.25</v>
          </cell>
          <cell r="U74">
            <v>8.9043394519508556</v>
          </cell>
          <cell r="V74">
            <v>11.096774193548388</v>
          </cell>
          <cell r="W74" t="str">
            <v>N.A.</v>
          </cell>
          <cell r="X74">
            <v>-2.1924347415975323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23.982250000000001</v>
          </cell>
          <cell r="W77">
            <v>0</v>
          </cell>
          <cell r="X77">
            <v>3.2052499999999995</v>
          </cell>
          <cell r="Y77">
            <v>27.1875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3.6760000000000002</v>
          </cell>
          <cell r="W78">
            <v>0</v>
          </cell>
          <cell r="X78">
            <v>20.323999999999998</v>
          </cell>
          <cell r="Y78">
            <v>24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9.5166000000000004</v>
          </cell>
          <cell r="F82">
            <v>9.5166000000000004</v>
          </cell>
          <cell r="G82">
            <v>9.5166000000000004</v>
          </cell>
          <cell r="H82">
            <v>9.5166000000000004</v>
          </cell>
          <cell r="I82">
            <v>9.5166000000000004</v>
          </cell>
          <cell r="J82">
            <v>9.5166000000000004</v>
          </cell>
          <cell r="K82">
            <v>9.5166000000000004</v>
          </cell>
          <cell r="L82">
            <v>9.5166000000000004</v>
          </cell>
          <cell r="M82">
            <v>9.5166000000000004</v>
          </cell>
          <cell r="N82">
            <v>9.5166000000000004</v>
          </cell>
          <cell r="O82">
            <v>9.5166000000000004</v>
          </cell>
          <cell r="P82">
            <v>9.5166000000000004</v>
          </cell>
          <cell r="T82">
            <v>0</v>
          </cell>
          <cell r="U82">
            <v>114.19919999999998</v>
          </cell>
          <cell r="V82">
            <v>47.89</v>
          </cell>
          <cell r="W82">
            <v>0</v>
          </cell>
          <cell r="X82">
            <v>66.309199999999976</v>
          </cell>
          <cell r="Y82">
            <v>114.19919999999998</v>
          </cell>
        </row>
        <row r="83">
          <cell r="C83">
            <v>0</v>
          </cell>
          <cell r="E83">
            <v>13.782225</v>
          </cell>
          <cell r="F83">
            <v>13.782225</v>
          </cell>
          <cell r="G83">
            <v>13.782225</v>
          </cell>
          <cell r="H83">
            <v>13.782225</v>
          </cell>
          <cell r="I83">
            <v>13.782225</v>
          </cell>
          <cell r="J83">
            <v>13.782225</v>
          </cell>
          <cell r="K83">
            <v>13.782225</v>
          </cell>
          <cell r="L83">
            <v>13.782225</v>
          </cell>
          <cell r="M83">
            <v>13.782225</v>
          </cell>
          <cell r="N83">
            <v>13.782225</v>
          </cell>
          <cell r="O83">
            <v>13.782225</v>
          </cell>
          <cell r="P83">
            <v>13.782225</v>
          </cell>
          <cell r="R83">
            <v>0</v>
          </cell>
          <cell r="S83">
            <v>0</v>
          </cell>
          <cell r="T83">
            <v>0</v>
          </cell>
          <cell r="U83">
            <v>165.38669999999996</v>
          </cell>
          <cell r="V83">
            <v>75.548249999999996</v>
          </cell>
          <cell r="W83">
            <v>0</v>
          </cell>
          <cell r="X83">
            <v>89.838449999999966</v>
          </cell>
          <cell r="Y83">
            <v>165.38669999999996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0.70375200000000004</v>
          </cell>
          <cell r="F86">
            <v>0.70375200000000004</v>
          </cell>
          <cell r="G86">
            <v>0.93251200000000012</v>
          </cell>
          <cell r="H86">
            <v>0.67169600000000007</v>
          </cell>
          <cell r="I86">
            <v>0.74819600000000008</v>
          </cell>
          <cell r="J86">
            <v>1.1066360000000002</v>
          </cell>
          <cell r="K86">
            <v>0.68699600000000016</v>
          </cell>
          <cell r="L86">
            <v>0.80865600000000004</v>
          </cell>
          <cell r="M86">
            <v>0.88952400000000009</v>
          </cell>
          <cell r="N86">
            <v>0.70520799999999995</v>
          </cell>
          <cell r="O86">
            <v>0.88661200000000007</v>
          </cell>
          <cell r="P86">
            <v>0.88370000000000004</v>
          </cell>
          <cell r="U86">
            <v>9.7272399999999983</v>
          </cell>
          <cell r="V86">
            <v>5.4323540000000001</v>
          </cell>
          <cell r="W86">
            <v>0</v>
          </cell>
          <cell r="X86">
            <v>4.2948859999999982</v>
          </cell>
          <cell r="Y86">
            <v>9.7272399999999983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0.70375200000000004</v>
          </cell>
          <cell r="F91">
            <v>0.70375200000000004</v>
          </cell>
          <cell r="G91">
            <v>0.93251200000000012</v>
          </cell>
          <cell r="H91">
            <v>0.67169600000000007</v>
          </cell>
          <cell r="I91">
            <v>0.74819600000000008</v>
          </cell>
          <cell r="J91">
            <v>1.1066360000000002</v>
          </cell>
          <cell r="K91">
            <v>0.68699600000000016</v>
          </cell>
          <cell r="L91">
            <v>0.80865600000000004</v>
          </cell>
          <cell r="M91">
            <v>0.88952400000000009</v>
          </cell>
          <cell r="N91">
            <v>0.70520799999999995</v>
          </cell>
          <cell r="O91">
            <v>0.88661200000000007</v>
          </cell>
          <cell r="P91">
            <v>0.88370000000000004</v>
          </cell>
          <cell r="U91">
            <v>9.7272399999999983</v>
          </cell>
          <cell r="V91">
            <v>5.4323540000000001</v>
          </cell>
          <cell r="W91">
            <v>0</v>
          </cell>
          <cell r="X91">
            <v>4.2948859999999982</v>
          </cell>
          <cell r="Y91">
            <v>9.7272399999999983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37.449615288563209</v>
          </cell>
          <cell r="F94">
            <v>37.449615288563209</v>
          </cell>
          <cell r="G94">
            <v>38.54961528856321</v>
          </cell>
          <cell r="H94">
            <v>37.449615288563209</v>
          </cell>
          <cell r="I94">
            <v>37.449615288563209</v>
          </cell>
          <cell r="J94">
            <v>38.54961528856321</v>
          </cell>
          <cell r="K94">
            <v>38.102408052263215</v>
          </cell>
          <cell r="L94">
            <v>38.102408052263215</v>
          </cell>
          <cell r="M94">
            <v>39.202408052263216</v>
          </cell>
          <cell r="N94">
            <v>38.102408052263215</v>
          </cell>
          <cell r="O94">
            <v>39.202408052263216</v>
          </cell>
          <cell r="P94">
            <v>39.202408052263216</v>
          </cell>
          <cell r="T94">
            <v>0</v>
          </cell>
          <cell r="U94">
            <v>458.81214004495854</v>
          </cell>
          <cell r="V94">
            <v>200.06973999999997</v>
          </cell>
          <cell r="W94">
            <v>0</v>
          </cell>
          <cell r="X94">
            <v>258.74240004495857</v>
          </cell>
          <cell r="Y94">
            <v>458.81214004495854</v>
          </cell>
        </row>
        <row r="95">
          <cell r="A95">
            <v>67</v>
          </cell>
          <cell r="B95" t="str">
            <v>Bonus/Commission</v>
          </cell>
          <cell r="E95">
            <v>1.5172329166666665</v>
          </cell>
          <cell r="F95">
            <v>1.5172329166666665</v>
          </cell>
          <cell r="G95">
            <v>1.5172329166666665</v>
          </cell>
          <cell r="H95">
            <v>1.5172329166666665</v>
          </cell>
          <cell r="I95">
            <v>1.5172329166666665</v>
          </cell>
          <cell r="J95">
            <v>1.5172329166666665</v>
          </cell>
          <cell r="K95">
            <v>1.5172329166666665</v>
          </cell>
          <cell r="L95">
            <v>1.5172329166666665</v>
          </cell>
          <cell r="M95">
            <v>1.5172329166666665</v>
          </cell>
          <cell r="N95">
            <v>1.5172329166666665</v>
          </cell>
          <cell r="O95">
            <v>1.5172329166666665</v>
          </cell>
          <cell r="P95">
            <v>1.5172329166666665</v>
          </cell>
          <cell r="T95">
            <v>0</v>
          </cell>
          <cell r="U95">
            <v>18.206794999999996</v>
          </cell>
          <cell r="V95">
            <v>0</v>
          </cell>
          <cell r="W95">
            <v>0</v>
          </cell>
          <cell r="X95">
            <v>18.206794999999996</v>
          </cell>
          <cell r="Y95">
            <v>18.206794999999996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4.5039999999999996</v>
          </cell>
          <cell r="W97">
            <v>0</v>
          </cell>
          <cell r="X97">
            <v>2.1320000000000006</v>
          </cell>
          <cell r="Y97">
            <v>6.6360000000000001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2.8234499999999998</v>
          </cell>
          <cell r="W98">
            <v>0</v>
          </cell>
          <cell r="X98">
            <v>2.8285500000000003</v>
          </cell>
          <cell r="Y98">
            <v>5.6520000000000001</v>
          </cell>
        </row>
        <row r="99">
          <cell r="C99">
            <v>0</v>
          </cell>
          <cell r="E99">
            <v>39.990848205229867</v>
          </cell>
          <cell r="F99">
            <v>39.990848205229867</v>
          </cell>
          <cell r="G99">
            <v>41.090848205229868</v>
          </cell>
          <cell r="H99">
            <v>39.990848205229867</v>
          </cell>
          <cell r="I99">
            <v>39.990848205229867</v>
          </cell>
          <cell r="J99">
            <v>41.090848205229868</v>
          </cell>
          <cell r="K99">
            <v>40.643640968929873</v>
          </cell>
          <cell r="L99">
            <v>40.643640968929873</v>
          </cell>
          <cell r="M99">
            <v>41.743640968929874</v>
          </cell>
          <cell r="N99">
            <v>40.643640968929873</v>
          </cell>
          <cell r="O99">
            <v>41.743640968929874</v>
          </cell>
          <cell r="P99">
            <v>41.743640968929874</v>
          </cell>
          <cell r="R99">
            <v>0</v>
          </cell>
          <cell r="S99">
            <v>0</v>
          </cell>
          <cell r="T99">
            <v>0</v>
          </cell>
          <cell r="U99">
            <v>489.30693504495855</v>
          </cell>
          <cell r="V99">
            <v>207.39718999999997</v>
          </cell>
          <cell r="W99">
            <v>0</v>
          </cell>
          <cell r="X99">
            <v>281.90974504495858</v>
          </cell>
          <cell r="Y99">
            <v>489.30693504495855</v>
          </cell>
        </row>
        <row r="100"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6.6890000000000001</v>
          </cell>
          <cell r="W102">
            <v>0</v>
          </cell>
          <cell r="X102">
            <v>8.9110000000000031</v>
          </cell>
          <cell r="Y102">
            <v>15.6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11.341833333333334</v>
          </cell>
          <cell r="W104">
            <v>0</v>
          </cell>
          <cell r="X104">
            <v>12.658166666666666</v>
          </cell>
          <cell r="Y104">
            <v>24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7.6019999999999985</v>
          </cell>
          <cell r="W105">
            <v>0</v>
          </cell>
          <cell r="X105">
            <v>4.3980000000000015</v>
          </cell>
          <cell r="Y105">
            <v>12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0.375</v>
          </cell>
          <cell r="W106">
            <v>0</v>
          </cell>
          <cell r="X106">
            <v>5.625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</v>
          </cell>
          <cell r="F108">
            <v>0.3</v>
          </cell>
          <cell r="G108">
            <v>0.3</v>
          </cell>
          <cell r="H108">
            <v>0.3</v>
          </cell>
          <cell r="I108">
            <v>0.3</v>
          </cell>
          <cell r="J108">
            <v>0.3</v>
          </cell>
          <cell r="K108">
            <v>0.3</v>
          </cell>
          <cell r="L108">
            <v>0.3</v>
          </cell>
          <cell r="M108">
            <v>0.3</v>
          </cell>
          <cell r="N108">
            <v>0.3</v>
          </cell>
          <cell r="O108">
            <v>0.3</v>
          </cell>
          <cell r="P108">
            <v>0.3</v>
          </cell>
          <cell r="T108">
            <v>0</v>
          </cell>
          <cell r="U108">
            <v>3.6</v>
          </cell>
          <cell r="V108">
            <v>4.4026350000000001</v>
          </cell>
          <cell r="W108">
            <v>0</v>
          </cell>
          <cell r="X108">
            <v>-0.80263500000000088</v>
          </cell>
          <cell r="Y108">
            <v>3.6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5.2228800000000009</v>
          </cell>
          <cell r="F111">
            <v>5.2228800000000009</v>
          </cell>
          <cell r="G111">
            <v>5.0544000000000002</v>
          </cell>
          <cell r="H111">
            <v>5.2228800000000009</v>
          </cell>
          <cell r="I111">
            <v>5.0544000000000002</v>
          </cell>
          <cell r="J111">
            <v>5.2228800000000009</v>
          </cell>
          <cell r="K111">
            <v>5.2228800000000009</v>
          </cell>
          <cell r="L111">
            <v>7.2174399999999999</v>
          </cell>
          <cell r="M111">
            <v>5.2228800000000009</v>
          </cell>
          <cell r="N111">
            <v>5.0544000000000002</v>
          </cell>
          <cell r="O111">
            <v>5.2228800000000009</v>
          </cell>
          <cell r="P111">
            <v>5.0544000000000002</v>
          </cell>
          <cell r="T111">
            <v>0</v>
          </cell>
          <cell r="U111">
            <v>63.995200000000011</v>
          </cell>
          <cell r="V111">
            <v>35.171999999999997</v>
          </cell>
          <cell r="W111">
            <v>0</v>
          </cell>
          <cell r="X111">
            <v>28.823200000000014</v>
          </cell>
          <cell r="Y111">
            <v>63.995200000000011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26.081</v>
          </cell>
          <cell r="W112">
            <v>0</v>
          </cell>
          <cell r="X112">
            <v>21.919</v>
          </cell>
          <cell r="Y112">
            <v>48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9.2729999999999997</v>
          </cell>
          <cell r="W113">
            <v>0</v>
          </cell>
          <cell r="X113">
            <v>-2.0730000000000013</v>
          </cell>
          <cell r="Y113">
            <v>7.2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2.62</v>
          </cell>
          <cell r="W114">
            <v>0</v>
          </cell>
          <cell r="X114">
            <v>-0.22</v>
          </cell>
          <cell r="Y114">
            <v>2.4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6.5140000000000011</v>
          </cell>
          <cell r="W115">
            <v>0</v>
          </cell>
          <cell r="X115">
            <v>-0.51400000000000112</v>
          </cell>
          <cell r="Y115">
            <v>6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2.81</v>
          </cell>
          <cell r="W117">
            <v>0</v>
          </cell>
          <cell r="X117">
            <v>-0.41</v>
          </cell>
          <cell r="Y117">
            <v>2.4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0.52490848205229867</v>
          </cell>
          <cell r="F119">
            <v>0.52490848205229867</v>
          </cell>
          <cell r="G119">
            <v>0.53590848205229868</v>
          </cell>
          <cell r="H119">
            <v>0.52490848205229867</v>
          </cell>
          <cell r="I119">
            <v>0.52490848205229867</v>
          </cell>
          <cell r="J119">
            <v>0.53590848205229868</v>
          </cell>
          <cell r="K119">
            <v>0.53143640968929895</v>
          </cell>
          <cell r="L119">
            <v>0.53143640968929895</v>
          </cell>
          <cell r="M119">
            <v>0.54243640968929885</v>
          </cell>
          <cell r="N119">
            <v>0.53143640968929895</v>
          </cell>
          <cell r="O119">
            <v>0.54243640968929885</v>
          </cell>
          <cell r="P119">
            <v>0.54243640968929885</v>
          </cell>
          <cell r="T119">
            <v>0</v>
          </cell>
          <cell r="U119">
            <v>6.3930693504495846</v>
          </cell>
          <cell r="V119">
            <v>3.6731748</v>
          </cell>
          <cell r="W119">
            <v>0</v>
          </cell>
          <cell r="X119">
            <v>2.7198945504495846</v>
          </cell>
          <cell r="Y119">
            <v>6.3930693504495846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7.8</v>
          </cell>
          <cell r="W120">
            <v>0</v>
          </cell>
          <cell r="X120">
            <v>7.8</v>
          </cell>
          <cell r="Y120">
            <v>15.6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2.8620000000000001</v>
          </cell>
          <cell r="W124">
            <v>0</v>
          </cell>
          <cell r="X124">
            <v>0.7379999999999991</v>
          </cell>
          <cell r="Y124">
            <v>3.6</v>
          </cell>
        </row>
        <row r="125">
          <cell r="C125">
            <v>0</v>
          </cell>
          <cell r="E125">
            <v>17.947788482052299</v>
          </cell>
          <cell r="F125">
            <v>17.947788482052299</v>
          </cell>
          <cell r="G125">
            <v>17.790308482052296</v>
          </cell>
          <cell r="H125">
            <v>17.947788482052299</v>
          </cell>
          <cell r="I125">
            <v>17.779308482052297</v>
          </cell>
          <cell r="J125">
            <v>17.958788482052299</v>
          </cell>
          <cell r="K125">
            <v>17.954316409689302</v>
          </cell>
          <cell r="L125">
            <v>19.948876409689298</v>
          </cell>
          <cell r="M125">
            <v>17.965316409689301</v>
          </cell>
          <cell r="N125">
            <v>17.785836409689299</v>
          </cell>
          <cell r="O125">
            <v>17.965316409689301</v>
          </cell>
          <cell r="P125">
            <v>17.796836409689298</v>
          </cell>
          <cell r="R125">
            <v>0</v>
          </cell>
          <cell r="S125">
            <v>0</v>
          </cell>
          <cell r="T125">
            <v>0</v>
          </cell>
          <cell r="U125">
            <v>216.78826935044958</v>
          </cell>
          <cell r="V125">
            <v>127.21564313333332</v>
          </cell>
          <cell r="W125">
            <v>0</v>
          </cell>
          <cell r="X125">
            <v>89.572626217116266</v>
          </cell>
          <cell r="Y125">
            <v>216.78826935044958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7" refreshError="1">
        <row r="11">
          <cell r="A11">
            <v>1</v>
          </cell>
          <cell r="B11" t="str">
            <v>Net Film Revenue</v>
          </cell>
          <cell r="E11">
            <v>591.6</v>
          </cell>
          <cell r="F11">
            <v>612</v>
          </cell>
          <cell r="G11">
            <v>816</v>
          </cell>
          <cell r="H11">
            <v>612</v>
          </cell>
          <cell r="I11">
            <v>652.79999999999995</v>
          </cell>
          <cell r="J11">
            <v>884</v>
          </cell>
          <cell r="K11">
            <v>612</v>
          </cell>
          <cell r="L11">
            <v>646</v>
          </cell>
          <cell r="M11">
            <v>802.4</v>
          </cell>
          <cell r="N11">
            <v>612</v>
          </cell>
          <cell r="O11">
            <v>816</v>
          </cell>
          <cell r="P11">
            <v>720.8</v>
          </cell>
          <cell r="Q11">
            <v>0</v>
          </cell>
          <cell r="T11">
            <v>0</v>
          </cell>
          <cell r="U11">
            <v>8377.6</v>
          </cell>
          <cell r="V11">
            <v>4429.0610000000006</v>
          </cell>
          <cell r="W11">
            <v>0</v>
          </cell>
          <cell r="X11">
            <v>3948.5389999999979</v>
          </cell>
          <cell r="Y11">
            <v>8377.6</v>
          </cell>
        </row>
        <row r="12">
          <cell r="A12">
            <v>2</v>
          </cell>
          <cell r="B12" t="str">
            <v>Concession Sales</v>
          </cell>
          <cell r="E12">
            <v>104.4</v>
          </cell>
          <cell r="F12">
            <v>108</v>
          </cell>
          <cell r="G12">
            <v>144</v>
          </cell>
          <cell r="H12">
            <v>108</v>
          </cell>
          <cell r="I12">
            <v>115.2</v>
          </cell>
          <cell r="J12">
            <v>156</v>
          </cell>
          <cell r="K12">
            <v>108</v>
          </cell>
          <cell r="L12">
            <v>114</v>
          </cell>
          <cell r="M12">
            <v>141.6</v>
          </cell>
          <cell r="N12">
            <v>108</v>
          </cell>
          <cell r="O12">
            <v>144</v>
          </cell>
          <cell r="P12">
            <v>127.2</v>
          </cell>
          <cell r="T12">
            <v>0</v>
          </cell>
          <cell r="U12">
            <v>1478.4</v>
          </cell>
          <cell r="V12">
            <v>783.50800000000004</v>
          </cell>
          <cell r="W12">
            <v>0</v>
          </cell>
          <cell r="X12">
            <v>694.89199999999983</v>
          </cell>
          <cell r="Y12">
            <v>1478.4</v>
          </cell>
        </row>
        <row r="13">
          <cell r="A13">
            <v>3</v>
          </cell>
          <cell r="B13" t="str">
            <v>Rental Income</v>
          </cell>
          <cell r="E13">
            <v>33.837000000000003</v>
          </cell>
          <cell r="F13">
            <v>33.837000000000003</v>
          </cell>
          <cell r="G13">
            <v>33.837000000000003</v>
          </cell>
          <cell r="H13">
            <v>33.837000000000003</v>
          </cell>
          <cell r="I13">
            <v>33.837000000000003</v>
          </cell>
          <cell r="J13">
            <v>33.837000000000003</v>
          </cell>
          <cell r="K13">
            <v>33.837000000000003</v>
          </cell>
          <cell r="L13">
            <v>33.837000000000003</v>
          </cell>
          <cell r="M13">
            <v>33.837000000000003</v>
          </cell>
          <cell r="N13">
            <v>33.837000000000003</v>
          </cell>
          <cell r="O13">
            <v>33.837000000000003</v>
          </cell>
          <cell r="P13">
            <v>33.837000000000003</v>
          </cell>
          <cell r="T13">
            <v>0</v>
          </cell>
          <cell r="U13">
            <v>406.04399999999993</v>
          </cell>
          <cell r="V13">
            <v>147</v>
          </cell>
          <cell r="W13">
            <v>0</v>
          </cell>
          <cell r="X13">
            <v>259.04399999999993</v>
          </cell>
          <cell r="Y13">
            <v>406.04399999999993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32.5</v>
          </cell>
          <cell r="F15">
            <v>32.5</v>
          </cell>
          <cell r="G15">
            <v>32.5</v>
          </cell>
          <cell r="H15">
            <v>32.5</v>
          </cell>
          <cell r="I15">
            <v>32.5</v>
          </cell>
          <cell r="J15">
            <v>32.5</v>
          </cell>
          <cell r="K15">
            <v>32.5</v>
          </cell>
          <cell r="L15">
            <v>32.5</v>
          </cell>
          <cell r="M15">
            <v>32.5</v>
          </cell>
          <cell r="N15">
            <v>32.5</v>
          </cell>
          <cell r="O15">
            <v>32.5</v>
          </cell>
          <cell r="P15">
            <v>32.5</v>
          </cell>
          <cell r="T15">
            <v>0</v>
          </cell>
          <cell r="U15">
            <v>390</v>
          </cell>
          <cell r="V15">
            <v>302.70999999999998</v>
          </cell>
          <cell r="W15">
            <v>0</v>
          </cell>
          <cell r="X15">
            <v>87.29</v>
          </cell>
          <cell r="Y15">
            <v>390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9.8899583333333325</v>
          </cell>
          <cell r="F16">
            <v>9.8899583333333325</v>
          </cell>
          <cell r="G16">
            <v>9.8899583333333325</v>
          </cell>
          <cell r="H16">
            <v>9.8899583333333325</v>
          </cell>
          <cell r="I16">
            <v>9.8899583333333325</v>
          </cell>
          <cell r="J16">
            <v>9.8899583333333325</v>
          </cell>
          <cell r="K16">
            <v>9.8899583333333325</v>
          </cell>
          <cell r="L16">
            <v>9.8899583333333325</v>
          </cell>
          <cell r="M16">
            <v>9.8899583333333325</v>
          </cell>
          <cell r="N16">
            <v>9.8899583333333325</v>
          </cell>
          <cell r="O16">
            <v>9.8899583333333325</v>
          </cell>
          <cell r="P16">
            <v>9.8899583333333325</v>
          </cell>
          <cell r="R16">
            <v>0</v>
          </cell>
          <cell r="S16">
            <v>0</v>
          </cell>
          <cell r="T16">
            <v>0</v>
          </cell>
          <cell r="U16">
            <v>118.67950000000002</v>
          </cell>
          <cell r="V16">
            <v>77.488249999999994</v>
          </cell>
          <cell r="W16">
            <v>0</v>
          </cell>
          <cell r="X16">
            <v>41.191249999999997</v>
          </cell>
          <cell r="Y16">
            <v>118.67950000000002</v>
          </cell>
        </row>
        <row r="17">
          <cell r="B17" t="str">
            <v>TOTAL REVENUE</v>
          </cell>
          <cell r="C17">
            <v>0</v>
          </cell>
          <cell r="E17">
            <v>772.2269583333333</v>
          </cell>
          <cell r="F17">
            <v>796.2269583333333</v>
          </cell>
          <cell r="G17">
            <v>1036.2269583333334</v>
          </cell>
          <cell r="H17">
            <v>796.2269583333333</v>
          </cell>
          <cell r="I17">
            <v>844.2269583333333</v>
          </cell>
          <cell r="J17">
            <v>1116.2269583333334</v>
          </cell>
          <cell r="K17">
            <v>796.2269583333333</v>
          </cell>
          <cell r="L17">
            <v>836.2269583333333</v>
          </cell>
          <cell r="M17">
            <v>1020.2269583333333</v>
          </cell>
          <cell r="N17">
            <v>796.2269583333333</v>
          </cell>
          <cell r="O17">
            <v>1036.2269583333334</v>
          </cell>
          <cell r="P17">
            <v>924.2269583333333</v>
          </cell>
          <cell r="R17">
            <v>0</v>
          </cell>
          <cell r="S17">
            <v>0</v>
          </cell>
          <cell r="T17">
            <v>0</v>
          </cell>
          <cell r="U17">
            <v>10770.7235</v>
          </cell>
          <cell r="V17">
            <v>5739.7672500000008</v>
          </cell>
          <cell r="W17">
            <v>0</v>
          </cell>
          <cell r="X17">
            <v>5030.9562499999993</v>
          </cell>
          <cell r="Y17">
            <v>10770.7235</v>
          </cell>
        </row>
        <row r="19">
          <cell r="A19">
            <v>7</v>
          </cell>
          <cell r="B19" t="str">
            <v>Film Hire</v>
          </cell>
          <cell r="E19">
            <v>275.09400000000005</v>
          </cell>
          <cell r="F19">
            <v>284.58</v>
          </cell>
          <cell r="G19">
            <v>379.44</v>
          </cell>
          <cell r="H19">
            <v>284.58</v>
          </cell>
          <cell r="I19">
            <v>303.55200000000002</v>
          </cell>
          <cell r="J19">
            <v>411.06</v>
          </cell>
          <cell r="K19">
            <v>284.58</v>
          </cell>
          <cell r="L19">
            <v>300.39</v>
          </cell>
          <cell r="M19">
            <v>373.11599999999999</v>
          </cell>
          <cell r="N19">
            <v>284.58</v>
          </cell>
          <cell r="O19">
            <v>379.44</v>
          </cell>
          <cell r="P19">
            <v>335.17199999999997</v>
          </cell>
          <cell r="U19">
            <v>3895.5839999999998</v>
          </cell>
          <cell r="V19">
            <v>2049.6968000000002</v>
          </cell>
          <cell r="W19">
            <v>0</v>
          </cell>
          <cell r="X19">
            <v>1845.8871999999997</v>
          </cell>
          <cell r="Y19">
            <v>3895.5839999999998</v>
          </cell>
        </row>
        <row r="20">
          <cell r="A20">
            <v>8</v>
          </cell>
          <cell r="B20" t="str">
            <v>Concession Cost</v>
          </cell>
          <cell r="E20">
            <v>24.012</v>
          </cell>
          <cell r="F20">
            <v>24.84</v>
          </cell>
          <cell r="G20">
            <v>33.119999999999997</v>
          </cell>
          <cell r="H20">
            <v>24.84</v>
          </cell>
          <cell r="I20">
            <v>26.495999999999999</v>
          </cell>
          <cell r="J20">
            <v>35.880000000000003</v>
          </cell>
          <cell r="K20">
            <v>24.84</v>
          </cell>
          <cell r="L20">
            <v>26.22</v>
          </cell>
          <cell r="M20">
            <v>32.567999999999998</v>
          </cell>
          <cell r="N20">
            <v>24.84</v>
          </cell>
          <cell r="O20">
            <v>33.119999999999997</v>
          </cell>
          <cell r="P20">
            <v>29.256</v>
          </cell>
          <cell r="T20">
            <v>0</v>
          </cell>
          <cell r="U20">
            <v>340.03200000000004</v>
          </cell>
          <cell r="V20">
            <v>148.9058</v>
          </cell>
          <cell r="W20">
            <v>0</v>
          </cell>
          <cell r="X20">
            <v>191.12620000000004</v>
          </cell>
          <cell r="Y20">
            <v>340.03200000000004</v>
          </cell>
        </row>
        <row r="21">
          <cell r="A21">
            <v>9</v>
          </cell>
          <cell r="B21" t="str">
            <v>Less Concession Rebates</v>
          </cell>
          <cell r="E21">
            <v>-2.61</v>
          </cell>
          <cell r="F21">
            <v>-2.7</v>
          </cell>
          <cell r="G21">
            <v>-3.6</v>
          </cell>
          <cell r="H21">
            <v>-2.7</v>
          </cell>
          <cell r="I21">
            <v>-2.88</v>
          </cell>
          <cell r="J21">
            <v>-3.9</v>
          </cell>
          <cell r="K21">
            <v>-2.7</v>
          </cell>
          <cell r="L21">
            <v>-2.85</v>
          </cell>
          <cell r="M21">
            <v>-3.54</v>
          </cell>
          <cell r="N21">
            <v>-2.7</v>
          </cell>
          <cell r="O21">
            <v>-3.6</v>
          </cell>
          <cell r="P21">
            <v>-3.18</v>
          </cell>
          <cell r="U21">
            <v>-36.96</v>
          </cell>
          <cell r="V21">
            <v>-23.1</v>
          </cell>
          <cell r="W21">
            <v>0</v>
          </cell>
          <cell r="X21">
            <v>-13.86</v>
          </cell>
          <cell r="Y21">
            <v>-36.96</v>
          </cell>
        </row>
        <row r="22">
          <cell r="A22">
            <v>10</v>
          </cell>
          <cell r="B22" t="str">
            <v>Advertising Cost</v>
          </cell>
          <cell r="E22">
            <v>13.6068</v>
          </cell>
          <cell r="F22">
            <v>14.076000000000001</v>
          </cell>
          <cell r="G22">
            <v>18.768000000000001</v>
          </cell>
          <cell r="H22">
            <v>14.076000000000001</v>
          </cell>
          <cell r="I22">
            <v>15.014399999999998</v>
          </cell>
          <cell r="J22">
            <v>20.332000000000001</v>
          </cell>
          <cell r="K22">
            <v>14.076000000000001</v>
          </cell>
          <cell r="L22">
            <v>14.858000000000001</v>
          </cell>
          <cell r="M22">
            <v>18.455199999999998</v>
          </cell>
          <cell r="N22">
            <v>14.076000000000001</v>
          </cell>
          <cell r="O22">
            <v>18.768000000000001</v>
          </cell>
          <cell r="P22">
            <v>16.578399999999998</v>
          </cell>
          <cell r="T22">
            <v>0</v>
          </cell>
          <cell r="U22">
            <v>192.68479999999997</v>
          </cell>
          <cell r="V22">
            <v>95.008440000000007</v>
          </cell>
          <cell r="W22">
            <v>0</v>
          </cell>
          <cell r="X22">
            <v>97.67635999999996</v>
          </cell>
          <cell r="Y22">
            <v>192.68479999999997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1.1832</v>
          </cell>
          <cell r="F23">
            <v>1.224</v>
          </cell>
          <cell r="G23">
            <v>1.6320000000000001</v>
          </cell>
          <cell r="H23">
            <v>1.224</v>
          </cell>
          <cell r="I23">
            <v>1.3055999999999999</v>
          </cell>
          <cell r="J23">
            <v>1.768</v>
          </cell>
          <cell r="K23">
            <v>1.224</v>
          </cell>
          <cell r="L23">
            <v>1.292</v>
          </cell>
          <cell r="M23">
            <v>1.6048</v>
          </cell>
          <cell r="N23">
            <v>1.224</v>
          </cell>
          <cell r="O23">
            <v>1.6320000000000001</v>
          </cell>
          <cell r="P23">
            <v>1.4416</v>
          </cell>
          <cell r="R23">
            <v>0</v>
          </cell>
          <cell r="S23">
            <v>0</v>
          </cell>
          <cell r="T23">
            <v>0</v>
          </cell>
          <cell r="U23">
            <v>16.755199999999999</v>
          </cell>
          <cell r="V23">
            <v>8.8581220000000016</v>
          </cell>
          <cell r="W23">
            <v>0</v>
          </cell>
          <cell r="X23">
            <v>7.8970779999999969</v>
          </cell>
          <cell r="Y23">
            <v>16.755199999999999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43.479529129827576</v>
          </cell>
          <cell r="F24">
            <v>43.479529129827576</v>
          </cell>
          <cell r="G24">
            <v>44.579529129827577</v>
          </cell>
          <cell r="H24">
            <v>43.479529129827576</v>
          </cell>
          <cell r="I24">
            <v>43.479529129827576</v>
          </cell>
          <cell r="J24">
            <v>44.579529129827577</v>
          </cell>
          <cell r="K24">
            <v>44.280345677127578</v>
          </cell>
          <cell r="L24">
            <v>44.280345677127578</v>
          </cell>
          <cell r="M24">
            <v>45.380345677127579</v>
          </cell>
          <cell r="N24">
            <v>44.280345677127578</v>
          </cell>
          <cell r="O24">
            <v>45.380345677127579</v>
          </cell>
          <cell r="P24">
            <v>45.380345677127579</v>
          </cell>
          <cell r="R24">
            <v>0</v>
          </cell>
          <cell r="S24">
            <v>0</v>
          </cell>
          <cell r="T24">
            <v>0</v>
          </cell>
          <cell r="U24">
            <v>532.05924884173089</v>
          </cell>
          <cell r="V24">
            <v>307.03711833333341</v>
          </cell>
          <cell r="W24">
            <v>0</v>
          </cell>
          <cell r="X24">
            <v>225.02213050839748</v>
          </cell>
          <cell r="Y24">
            <v>532.05924884173089</v>
          </cell>
        </row>
        <row r="25">
          <cell r="B25" t="str">
            <v>TOTAL COST</v>
          </cell>
          <cell r="C25">
            <v>0</v>
          </cell>
          <cell r="E25">
            <v>354.76552912982766</v>
          </cell>
          <cell r="F25">
            <v>365.49952912982764</v>
          </cell>
          <cell r="G25">
            <v>473.93952912982752</v>
          </cell>
          <cell r="H25">
            <v>365.49952912982764</v>
          </cell>
          <cell r="I25">
            <v>386.96752912982765</v>
          </cell>
          <cell r="J25">
            <v>509.71952912982755</v>
          </cell>
          <cell r="K25">
            <v>366.30034567712761</v>
          </cell>
          <cell r="L25">
            <v>384.1903456771276</v>
          </cell>
          <cell r="M25">
            <v>467.58434567712754</v>
          </cell>
          <cell r="N25">
            <v>366.30034567712761</v>
          </cell>
          <cell r="O25">
            <v>474.74034567712755</v>
          </cell>
          <cell r="P25">
            <v>424.64834567712757</v>
          </cell>
          <cell r="R25">
            <v>0</v>
          </cell>
          <cell r="S25">
            <v>0</v>
          </cell>
          <cell r="T25">
            <v>0</v>
          </cell>
          <cell r="U25">
            <v>4940.1552488417301</v>
          </cell>
          <cell r="V25">
            <v>2586.4062803333336</v>
          </cell>
          <cell r="W25">
            <v>0</v>
          </cell>
          <cell r="X25">
            <v>2353.7489685083965</v>
          </cell>
          <cell r="Y25">
            <v>4940.1552488417301</v>
          </cell>
        </row>
        <row r="27">
          <cell r="B27" t="str">
            <v>GROSS MARGIN</v>
          </cell>
          <cell r="C27">
            <v>0</v>
          </cell>
          <cell r="E27">
            <v>417.46142920350565</v>
          </cell>
          <cell r="F27">
            <v>430.72742920350566</v>
          </cell>
          <cell r="G27">
            <v>562.28742920350589</v>
          </cell>
          <cell r="H27">
            <v>430.72742920350566</v>
          </cell>
          <cell r="I27">
            <v>457.25942920350565</v>
          </cell>
          <cell r="J27">
            <v>606.50742920350581</v>
          </cell>
          <cell r="K27">
            <v>429.92661265620569</v>
          </cell>
          <cell r="L27">
            <v>452.0366126562057</v>
          </cell>
          <cell r="M27">
            <v>552.64261265620576</v>
          </cell>
          <cell r="N27">
            <v>429.92661265620569</v>
          </cell>
          <cell r="O27">
            <v>561.48661265620581</v>
          </cell>
          <cell r="P27">
            <v>499.57861265620573</v>
          </cell>
          <cell r="R27">
            <v>0</v>
          </cell>
          <cell r="S27">
            <v>0</v>
          </cell>
          <cell r="T27">
            <v>0</v>
          </cell>
          <cell r="U27">
            <v>5830.56825115827</v>
          </cell>
          <cell r="V27">
            <v>3153.3609696666672</v>
          </cell>
          <cell r="W27">
            <v>0</v>
          </cell>
          <cell r="X27">
            <v>2677.2072814916028</v>
          </cell>
          <cell r="Y27">
            <v>5830.56825115827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139.23310000000001</v>
          </cell>
          <cell r="F29">
            <v>139.23310000000001</v>
          </cell>
          <cell r="G29">
            <v>139.23310000000001</v>
          </cell>
          <cell r="H29">
            <v>139.23310000000001</v>
          </cell>
          <cell r="I29">
            <v>139.23310000000001</v>
          </cell>
          <cell r="J29">
            <v>139.23310000000001</v>
          </cell>
          <cell r="K29">
            <v>139.23310000000001</v>
          </cell>
          <cell r="L29">
            <v>139.23310000000001</v>
          </cell>
          <cell r="M29">
            <v>139.23310000000001</v>
          </cell>
          <cell r="N29">
            <v>139.23310000000001</v>
          </cell>
          <cell r="O29">
            <v>139.23310000000001</v>
          </cell>
          <cell r="P29">
            <v>139.23310000000001</v>
          </cell>
          <cell r="T29">
            <v>0</v>
          </cell>
          <cell r="U29">
            <v>1670.7971999999997</v>
          </cell>
          <cell r="V29">
            <v>726.56246428571433</v>
          </cell>
          <cell r="W29">
            <v>0</v>
          </cell>
          <cell r="X29">
            <v>944.23473571428542</v>
          </cell>
          <cell r="Y29">
            <v>1670.7971999999997</v>
          </cell>
        </row>
        <row r="30">
          <cell r="A30">
            <v>14</v>
          </cell>
          <cell r="B30" t="str">
            <v>Light, Heat and Power</v>
          </cell>
          <cell r="E30">
            <v>19</v>
          </cell>
          <cell r="F30">
            <v>19</v>
          </cell>
          <cell r="G30">
            <v>19</v>
          </cell>
          <cell r="H30">
            <v>19</v>
          </cell>
          <cell r="I30">
            <v>19</v>
          </cell>
          <cell r="J30">
            <v>19</v>
          </cell>
          <cell r="K30">
            <v>19</v>
          </cell>
          <cell r="L30">
            <v>19</v>
          </cell>
          <cell r="M30">
            <v>19</v>
          </cell>
          <cell r="N30">
            <v>19</v>
          </cell>
          <cell r="O30">
            <v>19</v>
          </cell>
          <cell r="P30">
            <v>19</v>
          </cell>
          <cell r="Q30">
            <v>0</v>
          </cell>
          <cell r="R30">
            <v>19</v>
          </cell>
          <cell r="S30">
            <v>19</v>
          </cell>
          <cell r="T30">
            <v>19</v>
          </cell>
          <cell r="U30">
            <v>228</v>
          </cell>
          <cell r="V30">
            <v>123.25</v>
          </cell>
          <cell r="W30">
            <v>0</v>
          </cell>
          <cell r="X30">
            <v>104.75</v>
          </cell>
          <cell r="Y30">
            <v>228</v>
          </cell>
        </row>
        <row r="31">
          <cell r="A31">
            <v>15</v>
          </cell>
          <cell r="B31" t="str">
            <v>Repair &amp; Maintenance</v>
          </cell>
          <cell r="E31">
            <v>10.95</v>
          </cell>
          <cell r="F31">
            <v>35.950000000000003</v>
          </cell>
          <cell r="G31">
            <v>10.95</v>
          </cell>
          <cell r="H31">
            <v>15.95</v>
          </cell>
          <cell r="I31">
            <v>10.95</v>
          </cell>
          <cell r="J31">
            <v>12.255000000000001</v>
          </cell>
          <cell r="K31">
            <v>12.255000000000001</v>
          </cell>
          <cell r="L31">
            <v>12.255000000000001</v>
          </cell>
          <cell r="M31">
            <v>12.255000000000001</v>
          </cell>
          <cell r="N31">
            <v>12.255000000000001</v>
          </cell>
          <cell r="O31">
            <v>12.255000000000001</v>
          </cell>
          <cell r="P31">
            <v>12.255000000000001</v>
          </cell>
          <cell r="Q31">
            <v>0</v>
          </cell>
          <cell r="R31">
            <v>10.95</v>
          </cell>
          <cell r="S31">
            <v>10.95</v>
          </cell>
          <cell r="T31">
            <v>10.95</v>
          </cell>
          <cell r="U31">
            <v>170.535</v>
          </cell>
          <cell r="V31">
            <v>68.81216666666667</v>
          </cell>
          <cell r="W31">
            <v>0</v>
          </cell>
          <cell r="X31">
            <v>101.72283333333333</v>
          </cell>
          <cell r="Y31">
            <v>170.535</v>
          </cell>
        </row>
        <row r="32">
          <cell r="A32">
            <v>16</v>
          </cell>
          <cell r="B32" t="str">
            <v>Common Area Maintenance</v>
          </cell>
          <cell r="E32">
            <v>94.813320000000004</v>
          </cell>
          <cell r="F32">
            <v>94.813320000000004</v>
          </cell>
          <cell r="G32">
            <v>94.813320000000004</v>
          </cell>
          <cell r="H32">
            <v>94.813320000000004</v>
          </cell>
          <cell r="I32">
            <v>94.813320000000004</v>
          </cell>
          <cell r="J32">
            <v>94.813320000000004</v>
          </cell>
          <cell r="K32">
            <v>94.813320000000004</v>
          </cell>
          <cell r="L32">
            <v>94.813320000000004</v>
          </cell>
          <cell r="M32">
            <v>94.813320000000004</v>
          </cell>
          <cell r="N32">
            <v>94.813320000000004</v>
          </cell>
          <cell r="O32">
            <v>94.813320000000004</v>
          </cell>
          <cell r="P32">
            <v>94.813320000000004</v>
          </cell>
          <cell r="T32">
            <v>0</v>
          </cell>
          <cell r="U32">
            <v>1137.7598399999999</v>
          </cell>
          <cell r="V32">
            <v>430.04613000000006</v>
          </cell>
          <cell r="W32">
            <v>0</v>
          </cell>
          <cell r="X32">
            <v>707.71370999999988</v>
          </cell>
          <cell r="Y32">
            <v>1137.7598399999999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20.947795291298277</v>
          </cell>
          <cell r="F33">
            <v>20.947795291298277</v>
          </cell>
          <cell r="G33">
            <v>20.750795291298278</v>
          </cell>
          <cell r="H33">
            <v>20.947795291298277</v>
          </cell>
          <cell r="I33">
            <v>20.739795291298279</v>
          </cell>
          <cell r="J33">
            <v>20.958795291298276</v>
          </cell>
          <cell r="K33">
            <v>20.955803456771278</v>
          </cell>
          <cell r="L33">
            <v>22.831803456771279</v>
          </cell>
          <cell r="M33">
            <v>20.966803456771277</v>
          </cell>
          <cell r="N33">
            <v>20.74780345677128</v>
          </cell>
          <cell r="O33">
            <v>20.966803456771277</v>
          </cell>
          <cell r="P33">
            <v>20.758803456771279</v>
          </cell>
          <cell r="R33">
            <v>0</v>
          </cell>
          <cell r="S33">
            <v>0</v>
          </cell>
          <cell r="T33">
            <v>0</v>
          </cell>
          <cell r="U33">
            <v>252.52059248841735</v>
          </cell>
          <cell r="V33">
            <v>193.86437853333331</v>
          </cell>
          <cell r="W33">
            <v>0</v>
          </cell>
          <cell r="X33">
            <v>58.656213955084041</v>
          </cell>
          <cell r="Y33">
            <v>252.52059248841735</v>
          </cell>
        </row>
        <row r="35">
          <cell r="B35" t="str">
            <v>Total Overhead Expenses</v>
          </cell>
          <cell r="C35">
            <v>0</v>
          </cell>
          <cell r="E35">
            <v>284.94421529129829</v>
          </cell>
          <cell r="F35">
            <v>309.94421529129835</v>
          </cell>
          <cell r="G35">
            <v>284.74721529129829</v>
          </cell>
          <cell r="H35">
            <v>289.94421529129829</v>
          </cell>
          <cell r="I35">
            <v>284.73621529129827</v>
          </cell>
          <cell r="J35">
            <v>286.26021529129827</v>
          </cell>
          <cell r="K35">
            <v>286.25722345677127</v>
          </cell>
          <cell r="L35">
            <v>288.1332234567713</v>
          </cell>
          <cell r="M35">
            <v>286.2682234567713</v>
          </cell>
          <cell r="N35">
            <v>286.0492234567713</v>
          </cell>
          <cell r="O35">
            <v>286.2682234567713</v>
          </cell>
          <cell r="P35">
            <v>286.06022345677127</v>
          </cell>
          <cell r="R35">
            <v>10.95</v>
          </cell>
          <cell r="S35">
            <v>10.95</v>
          </cell>
          <cell r="T35">
            <v>0</v>
          </cell>
          <cell r="U35">
            <v>3459.6126324884181</v>
          </cell>
          <cell r="V35">
            <v>1542.5351394857144</v>
          </cell>
          <cell r="W35">
            <v>0</v>
          </cell>
          <cell r="X35">
            <v>1917.0774930027037</v>
          </cell>
          <cell r="Y35">
            <v>3459.6126324884181</v>
          </cell>
        </row>
        <row r="37">
          <cell r="B37" t="str">
            <v>E.B.I.T.D.</v>
          </cell>
          <cell r="C37">
            <v>0</v>
          </cell>
          <cell r="E37">
            <v>132.51721391220735</v>
          </cell>
          <cell r="F37">
            <v>120.78321391220732</v>
          </cell>
          <cell r="G37">
            <v>277.54021391220761</v>
          </cell>
          <cell r="H37">
            <v>140.78321391220737</v>
          </cell>
          <cell r="I37">
            <v>172.52321391220738</v>
          </cell>
          <cell r="J37">
            <v>320.24721391220754</v>
          </cell>
          <cell r="K37">
            <v>143.66938919943442</v>
          </cell>
          <cell r="L37">
            <v>163.9033891994344</v>
          </cell>
          <cell r="M37">
            <v>266.37438919943446</v>
          </cell>
          <cell r="N37">
            <v>143.87738919943439</v>
          </cell>
          <cell r="O37">
            <v>275.21838919943451</v>
          </cell>
          <cell r="P37">
            <v>213.51838919943447</v>
          </cell>
          <cell r="R37">
            <v>-10.95</v>
          </cell>
          <cell r="S37">
            <v>-10.95</v>
          </cell>
          <cell r="T37">
            <v>0</v>
          </cell>
          <cell r="U37">
            <v>2370.9556186698519</v>
          </cell>
          <cell r="V37">
            <v>1610.8258301809528</v>
          </cell>
          <cell r="W37">
            <v>0</v>
          </cell>
          <cell r="X37">
            <v>760.12978848889907</v>
          </cell>
          <cell r="Y37">
            <v>2370.9556186698519</v>
          </cell>
        </row>
        <row r="39">
          <cell r="A39">
            <v>18</v>
          </cell>
          <cell r="B39" t="str">
            <v>Depreciation</v>
          </cell>
          <cell r="E39">
            <v>58.149062499999999</v>
          </cell>
          <cell r="F39">
            <v>58.149062499999999</v>
          </cell>
          <cell r="G39">
            <v>58.149062499999999</v>
          </cell>
          <cell r="H39">
            <v>58.149062499999999</v>
          </cell>
          <cell r="I39">
            <v>58.149062499999999</v>
          </cell>
          <cell r="J39">
            <v>58.149062499999999</v>
          </cell>
          <cell r="K39">
            <v>58.149062499999999</v>
          </cell>
          <cell r="L39">
            <v>58.149062499999999</v>
          </cell>
          <cell r="M39">
            <v>58.149062499999999</v>
          </cell>
          <cell r="N39">
            <v>58.149062499999999</v>
          </cell>
          <cell r="O39">
            <v>58.149062499999999</v>
          </cell>
          <cell r="P39">
            <v>58.149062499999999</v>
          </cell>
          <cell r="Q39">
            <v>0</v>
          </cell>
          <cell r="R39" t="e">
            <v>#REF!</v>
          </cell>
          <cell r="S39" t="e">
            <v>#REF!</v>
          </cell>
          <cell r="T39" t="e">
            <v>#REF!</v>
          </cell>
          <cell r="U39">
            <v>697.78875000000005</v>
          </cell>
          <cell r="V39">
            <v>400.42122392708336</v>
          </cell>
          <cell r="W39">
            <v>0</v>
          </cell>
          <cell r="X39">
            <v>297.36752607291669</v>
          </cell>
          <cell r="Y39">
            <v>697.78875000000005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0.44</v>
          </cell>
          <cell r="W40">
            <v>0</v>
          </cell>
          <cell r="X40">
            <v>-0.44</v>
          </cell>
          <cell r="Y40">
            <v>0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123.2876712328767</v>
          </cell>
          <cell r="W41">
            <v>0</v>
          </cell>
          <cell r="X41">
            <v>-123.2876712328767</v>
          </cell>
          <cell r="Y41">
            <v>0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E.B.T.</v>
          </cell>
          <cell r="C44">
            <v>0</v>
          </cell>
          <cell r="E44">
            <v>74.368151412207354</v>
          </cell>
          <cell r="F44">
            <v>62.634151412207316</v>
          </cell>
          <cell r="G44">
            <v>219.39115141220759</v>
          </cell>
          <cell r="H44">
            <v>82.634151412207373</v>
          </cell>
          <cell r="I44">
            <v>114.37415141220738</v>
          </cell>
          <cell r="J44">
            <v>262.09815141220753</v>
          </cell>
          <cell r="K44">
            <v>85.52032669943442</v>
          </cell>
          <cell r="L44">
            <v>105.7543266994344</v>
          </cell>
          <cell r="M44">
            <v>208.22532669943445</v>
          </cell>
          <cell r="N44">
            <v>85.72832669943439</v>
          </cell>
          <cell r="O44">
            <v>217.0693266994345</v>
          </cell>
          <cell r="P44">
            <v>155.36932669943445</v>
          </cell>
          <cell r="Q44" t="e">
            <v>#VALUE!</v>
          </cell>
          <cell r="R44" t="e">
            <v>#REF!</v>
          </cell>
          <cell r="S44" t="e">
            <v>#REF!</v>
          </cell>
          <cell r="T44" t="e">
            <v>#REF!</v>
          </cell>
          <cell r="U44">
            <v>1673.1668686698517</v>
          </cell>
          <cell r="V44">
            <v>1086.6769350209929</v>
          </cell>
          <cell r="W44">
            <v>0</v>
          </cell>
          <cell r="X44">
            <v>586.48993364885882</v>
          </cell>
          <cell r="Y44">
            <v>1673.1668686698517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74.368151412207354</v>
          </cell>
          <cell r="F50">
            <v>62.634151412207316</v>
          </cell>
          <cell r="G50">
            <v>219.39115141220759</v>
          </cell>
          <cell r="H50">
            <v>82.634151412207373</v>
          </cell>
          <cell r="I50">
            <v>114.37415141220738</v>
          </cell>
          <cell r="J50">
            <v>262.09815141220753</v>
          </cell>
          <cell r="K50">
            <v>85.52032669943442</v>
          </cell>
          <cell r="L50">
            <v>105.7543266994344</v>
          </cell>
          <cell r="M50">
            <v>208.22532669943445</v>
          </cell>
          <cell r="N50">
            <v>85.72832669943439</v>
          </cell>
          <cell r="O50">
            <v>217.0693266994345</v>
          </cell>
          <cell r="P50">
            <v>155.36932669943445</v>
          </cell>
          <cell r="Q50" t="e">
            <v>#VALUE!</v>
          </cell>
          <cell r="R50" t="e">
            <v>#REF!</v>
          </cell>
          <cell r="S50" t="e">
            <v>#REF!</v>
          </cell>
          <cell r="T50" t="e">
            <v>#REF!</v>
          </cell>
          <cell r="U50">
            <v>1673.1668686698517</v>
          </cell>
          <cell r="V50">
            <v>1086.6769350209929</v>
          </cell>
          <cell r="W50">
            <v>0</v>
          </cell>
          <cell r="X50">
            <v>586.48993364885882</v>
          </cell>
          <cell r="Y50">
            <v>1673.1668686698517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28</v>
          </cell>
          <cell r="W53">
            <v>52</v>
          </cell>
          <cell r="X53">
            <v>24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85.26</v>
          </cell>
          <cell r="F54">
            <v>88.2</v>
          </cell>
          <cell r="G54">
            <v>117.6</v>
          </cell>
          <cell r="H54">
            <v>88.2</v>
          </cell>
          <cell r="I54">
            <v>94.08</v>
          </cell>
          <cell r="J54">
            <v>127.4</v>
          </cell>
          <cell r="K54">
            <v>88.2</v>
          </cell>
          <cell r="L54">
            <v>93.1</v>
          </cell>
          <cell r="M54">
            <v>115.64</v>
          </cell>
          <cell r="N54">
            <v>88.2</v>
          </cell>
          <cell r="O54">
            <v>117.6</v>
          </cell>
          <cell r="P54">
            <v>103.88</v>
          </cell>
          <cell r="T54">
            <v>0</v>
          </cell>
          <cell r="U54">
            <v>1207.3599999999999</v>
          </cell>
          <cell r="V54">
            <v>678</v>
          </cell>
          <cell r="W54">
            <v>0</v>
          </cell>
          <cell r="X54">
            <v>529.36</v>
          </cell>
          <cell r="Y54">
            <v>1207.3599999999999</v>
          </cell>
        </row>
        <row r="55">
          <cell r="A55">
            <v>28</v>
          </cell>
          <cell r="B55" t="str">
            <v>Admissions</v>
          </cell>
          <cell r="E55">
            <v>87</v>
          </cell>
          <cell r="F55">
            <v>90</v>
          </cell>
          <cell r="G55">
            <v>120</v>
          </cell>
          <cell r="H55">
            <v>90</v>
          </cell>
          <cell r="I55">
            <v>96</v>
          </cell>
          <cell r="J55">
            <v>130</v>
          </cell>
          <cell r="K55">
            <v>90</v>
          </cell>
          <cell r="L55">
            <v>95</v>
          </cell>
          <cell r="M55">
            <v>118</v>
          </cell>
          <cell r="N55">
            <v>90</v>
          </cell>
          <cell r="O55">
            <v>120</v>
          </cell>
          <cell r="P55">
            <v>106</v>
          </cell>
          <cell r="T55">
            <v>0</v>
          </cell>
          <cell r="U55">
            <v>1232</v>
          </cell>
          <cell r="V55">
            <v>678</v>
          </cell>
          <cell r="W55">
            <v>0</v>
          </cell>
          <cell r="X55">
            <v>554</v>
          </cell>
          <cell r="Y55">
            <v>1232</v>
          </cell>
        </row>
        <row r="56">
          <cell r="B56" t="str">
            <v>Utilisation Rate</v>
          </cell>
          <cell r="E56">
            <v>0.33065766669707197</v>
          </cell>
          <cell r="F56">
            <v>0.34205965520386755</v>
          </cell>
          <cell r="G56">
            <v>0.36486363221745871</v>
          </cell>
          <cell r="H56">
            <v>0.34205965520386755</v>
          </cell>
          <cell r="I56">
            <v>0.36486363221745871</v>
          </cell>
          <cell r="J56">
            <v>0.39526893490224696</v>
          </cell>
          <cell r="K56">
            <v>0.34205965520386755</v>
          </cell>
          <cell r="L56">
            <v>0.36106296938186022</v>
          </cell>
          <cell r="M56">
            <v>0.35878257168050109</v>
          </cell>
          <cell r="N56">
            <v>0.34205965520386755</v>
          </cell>
          <cell r="O56">
            <v>0.36486363221745871</v>
          </cell>
          <cell r="P56">
            <v>0.40287026057344399</v>
          </cell>
          <cell r="Q56">
            <v>0</v>
          </cell>
          <cell r="R56" t="e">
            <v>#DIV/0!</v>
          </cell>
          <cell r="S56" t="e">
            <v>#DIV/0!</v>
          </cell>
          <cell r="T56" t="e">
            <v>#DIV/0!</v>
          </cell>
          <cell r="U56">
            <v>0.36018589334287593</v>
          </cell>
          <cell r="V56">
            <v>0.36812134321940032</v>
          </cell>
          <cell r="W56" t="str">
            <v>N.A.</v>
          </cell>
          <cell r="X56">
            <v>-7.9354498765243919E-3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>
            <v>6.8</v>
          </cell>
          <cell r="F57">
            <v>6.8</v>
          </cell>
          <cell r="G57">
            <v>6.8</v>
          </cell>
          <cell r="H57">
            <v>6.8</v>
          </cell>
          <cell r="I57">
            <v>6.8</v>
          </cell>
          <cell r="J57">
            <v>6.8</v>
          </cell>
          <cell r="K57">
            <v>6.8</v>
          </cell>
          <cell r="L57">
            <v>6.8</v>
          </cell>
          <cell r="M57">
            <v>6.8</v>
          </cell>
          <cell r="N57">
            <v>6.8</v>
          </cell>
          <cell r="O57">
            <v>6.8</v>
          </cell>
          <cell r="P57">
            <v>6.8</v>
          </cell>
          <cell r="R57" t="str">
            <v>N.A.</v>
          </cell>
          <cell r="S57" t="str">
            <v>N.A.</v>
          </cell>
          <cell r="U57">
            <v>6.8</v>
          </cell>
          <cell r="V57">
            <v>6.5325383480825971</v>
          </cell>
          <cell r="W57" t="str">
            <v>N.A.</v>
          </cell>
          <cell r="X57">
            <v>0.26746165191740179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2.3E-2</v>
          </cell>
          <cell r="V58">
            <v>2.1451147319939825E-2</v>
          </cell>
          <cell r="W58" t="str">
            <v>N.A.</v>
          </cell>
          <cell r="X58">
            <v>1.5488526800601747E-3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>
            <v>0.20499999999999999</v>
          </cell>
          <cell r="F59">
            <v>0.20499999999999999</v>
          </cell>
          <cell r="G59">
            <v>0.20499999999999999</v>
          </cell>
          <cell r="H59">
            <v>0.20499999999999999</v>
          </cell>
          <cell r="I59">
            <v>0.20499999999999999</v>
          </cell>
          <cell r="J59">
            <v>0.20499999999999999</v>
          </cell>
          <cell r="K59">
            <v>0.20499999999999999</v>
          </cell>
          <cell r="L59">
            <v>0.20499999999999999</v>
          </cell>
          <cell r="M59">
            <v>0.20499999999999999</v>
          </cell>
          <cell r="N59">
            <v>0.20499999999999999</v>
          </cell>
          <cell r="O59">
            <v>0.20499999999999999</v>
          </cell>
          <cell r="P59">
            <v>0.20499999999999999</v>
          </cell>
          <cell r="Q59">
            <v>0</v>
          </cell>
          <cell r="R59" t="str">
            <v>N.A.</v>
          </cell>
          <cell r="S59" t="str">
            <v>N.A.</v>
          </cell>
          <cell r="U59">
            <v>0.20499999999999999</v>
          </cell>
          <cell r="V59">
            <v>0.16056734583437565</v>
          </cell>
          <cell r="W59" t="str">
            <v>N.A.</v>
          </cell>
          <cell r="X59">
            <v>4.4432654165624419E-2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>
            <v>1.2</v>
          </cell>
          <cell r="F60">
            <v>1.2</v>
          </cell>
          <cell r="G60">
            <v>1.2</v>
          </cell>
          <cell r="H60">
            <v>1.2</v>
          </cell>
          <cell r="I60">
            <v>1.2</v>
          </cell>
          <cell r="J60">
            <v>1.2</v>
          </cell>
          <cell r="K60">
            <v>1.2</v>
          </cell>
          <cell r="L60">
            <v>1.2</v>
          </cell>
          <cell r="M60">
            <v>1.2</v>
          </cell>
          <cell r="N60">
            <v>1.2</v>
          </cell>
          <cell r="O60">
            <v>1.2</v>
          </cell>
          <cell r="P60">
            <v>1.2</v>
          </cell>
          <cell r="R60" t="str">
            <v>N.A.</v>
          </cell>
          <cell r="S60" t="str">
            <v>N.A.</v>
          </cell>
          <cell r="U60">
            <v>1.2</v>
          </cell>
          <cell r="V60">
            <v>1.1556165191740413</v>
          </cell>
          <cell r="W60" t="str">
            <v>N.A.</v>
          </cell>
          <cell r="X60">
            <v>4.4383480825958666E-2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0.46278360130962293</v>
          </cell>
          <cell r="W61" t="str">
            <v>N.A.</v>
          </cell>
          <cell r="X61">
            <v>2.2163986903771526E-3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>
            <v>7.3494809212014151E-2</v>
          </cell>
          <cell r="F62">
            <v>7.1044982238280346E-2</v>
          </cell>
          <cell r="G62">
            <v>5.4631775894396543E-2</v>
          </cell>
          <cell r="H62">
            <v>7.1044982238280346E-2</v>
          </cell>
          <cell r="I62">
            <v>6.6604670848387837E-2</v>
          </cell>
          <cell r="J62">
            <v>5.0429331594827577E-2</v>
          </cell>
          <cell r="K62">
            <v>7.2353506008378393E-2</v>
          </cell>
          <cell r="L62">
            <v>6.8545426744779536E-2</v>
          </cell>
          <cell r="M62">
            <v>5.6555764802003465E-2</v>
          </cell>
          <cell r="N62">
            <v>7.2353506008378393E-2</v>
          </cell>
          <cell r="O62">
            <v>5.5613168721970072E-2</v>
          </cell>
          <cell r="P62">
            <v>6.2958304213551031E-2</v>
          </cell>
          <cell r="Q62">
            <v>0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6.3509746089778815E-2</v>
          </cell>
          <cell r="V62">
            <v>6.9323298625449808E-2</v>
          </cell>
          <cell r="W62" t="str">
            <v>N.A.</v>
          </cell>
          <cell r="X62">
            <v>-5.8135525356709933E-3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6.2470587830212032E-2</v>
          </cell>
          <cell r="F63">
            <v>6.03882349025383E-2</v>
          </cell>
          <cell r="G63">
            <v>4.6437009510237062E-2</v>
          </cell>
          <cell r="H63">
            <v>6.03882349025383E-2</v>
          </cell>
          <cell r="I63">
            <v>5.6613970221129656E-2</v>
          </cell>
          <cell r="J63">
            <v>4.2864931855603437E-2</v>
          </cell>
          <cell r="K63">
            <v>6.1500480107121634E-2</v>
          </cell>
          <cell r="L63">
            <v>5.8263612733062603E-2</v>
          </cell>
          <cell r="M63">
            <v>4.8072400081702944E-2</v>
          </cell>
          <cell r="N63">
            <v>6.1500480107121634E-2</v>
          </cell>
          <cell r="O63">
            <v>4.7271193413674563E-2</v>
          </cell>
          <cell r="P63">
            <v>5.3514558581518372E-2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5.3983284176311992E-2</v>
          </cell>
          <cell r="V63">
            <v>5.8903223791058376E-2</v>
          </cell>
          <cell r="W63" t="str">
            <v>N.A.</v>
          </cell>
          <cell r="X63">
            <v>-4.9199396147463839E-3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0.49976470264169626</v>
          </cell>
          <cell r="F64">
            <v>0.4831058792203064</v>
          </cell>
          <cell r="G64">
            <v>0.3714960760818965</v>
          </cell>
          <cell r="H64">
            <v>0.4831058792203064</v>
          </cell>
          <cell r="I64">
            <v>0.45291176176903725</v>
          </cell>
          <cell r="J64">
            <v>0.3429194548448275</v>
          </cell>
          <cell r="K64">
            <v>0.49200384085697307</v>
          </cell>
          <cell r="L64">
            <v>0.46610890186450082</v>
          </cell>
          <cell r="M64">
            <v>0.38457920065362355</v>
          </cell>
          <cell r="N64">
            <v>0.49200384085697307</v>
          </cell>
          <cell r="O64">
            <v>0.3781695473093965</v>
          </cell>
          <cell r="P64">
            <v>0.42811646865214698</v>
          </cell>
          <cell r="Q64">
            <v>0</v>
          </cell>
          <cell r="R64" t="e">
            <v>#DIV/0!</v>
          </cell>
          <cell r="S64" t="e">
            <v>#DIV/0!</v>
          </cell>
          <cell r="T64" t="e">
            <v>#DIV/0!</v>
          </cell>
          <cell r="U64">
            <v>0.43186627341049583</v>
          </cell>
          <cell r="V64">
            <v>0.45285710668633244</v>
          </cell>
          <cell r="W64" t="str">
            <v>N.A.</v>
          </cell>
          <cell r="X64">
            <v>-2.0990833275836618E-2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>
            <v>0.54059421870546454</v>
          </cell>
          <cell r="F65">
            <v>0.54096062020445368</v>
          </cell>
          <cell r="G65">
            <v>0.54262960896895462</v>
          </cell>
          <cell r="H65">
            <v>0.54096062020445368</v>
          </cell>
          <cell r="I65">
            <v>0.5416309260085983</v>
          </cell>
          <cell r="J65">
            <v>0.54335493752014141</v>
          </cell>
          <cell r="K65">
            <v>0.53995485603267002</v>
          </cell>
          <cell r="L65">
            <v>0.54056689772014832</v>
          </cell>
          <cell r="M65">
            <v>0.5416859534460996</v>
          </cell>
          <cell r="N65">
            <v>0.53995485603267002</v>
          </cell>
          <cell r="O65">
            <v>0.54185678932663595</v>
          </cell>
          <cell r="P65">
            <v>0.540536724396246</v>
          </cell>
          <cell r="Q65">
            <v>0</v>
          </cell>
          <cell r="R65" t="e">
            <v>#DIV/0!</v>
          </cell>
          <cell r="S65" t="e">
            <v>#DIV/0!</v>
          </cell>
          <cell r="T65" t="e">
            <v>#DIV/0!</v>
          </cell>
          <cell r="U65">
            <v>0.54133487422254134</v>
          </cell>
          <cell r="V65">
            <v>0.54938829961557534</v>
          </cell>
          <cell r="W65" t="str">
            <v>N.A.</v>
          </cell>
          <cell r="X65">
            <v>-8.0534253930339972E-3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>
            <v>2.712647501520676E-2</v>
          </cell>
          <cell r="F66">
            <v>2.6308824477817631E-2</v>
          </cell>
          <cell r="G66">
            <v>2.0025338198760859E-2</v>
          </cell>
          <cell r="H66">
            <v>2.6308824477817631E-2</v>
          </cell>
          <cell r="I66">
            <v>2.4566611012093988E-2</v>
          </cell>
          <cell r="J66">
            <v>1.8776463993122314E-2</v>
          </cell>
          <cell r="K66">
            <v>2.6318882119535467E-2</v>
          </cell>
          <cell r="L66">
            <v>2.7303357335282368E-2</v>
          </cell>
          <cell r="M66">
            <v>2.0551116872095931E-2</v>
          </cell>
          <cell r="N66">
            <v>2.605765007027732E-2</v>
          </cell>
          <cell r="O66">
            <v>2.023379462207224E-2</v>
          </cell>
          <cell r="P66">
            <v>2.2460720572580802E-2</v>
          </cell>
          <cell r="Q66">
            <v>0</v>
          </cell>
          <cell r="R66" t="str">
            <v>N.A.</v>
          </cell>
          <cell r="S66" t="str">
            <v>N.A.</v>
          </cell>
          <cell r="T66" t="str">
            <v>N.A.</v>
          </cell>
          <cell r="U66">
            <v>2.3445090990258672E-2</v>
          </cell>
          <cell r="V66">
            <v>3.3775651535928271E-2</v>
          </cell>
          <cell r="W66" t="str">
            <v>N.A.</v>
          </cell>
          <cell r="X66">
            <v>-1.0330560545669599E-2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>
            <v>0.17160397274683856</v>
          </cell>
          <cell r="F67">
            <v>0.15169445426092004</v>
          </cell>
          <cell r="G67">
            <v>0.26783728379215599</v>
          </cell>
          <cell r="H67">
            <v>0.17681292053574219</v>
          </cell>
          <cell r="I67">
            <v>0.20435643781478083</v>
          </cell>
          <cell r="J67">
            <v>0.28690152259928997</v>
          </cell>
          <cell r="K67">
            <v>0.18043773536651408</v>
          </cell>
          <cell r="L67">
            <v>0.19600347437507501</v>
          </cell>
          <cell r="M67">
            <v>0.26109326657530196</v>
          </cell>
          <cell r="N67">
            <v>0.18069896741577218</v>
          </cell>
          <cell r="O67">
            <v>0.26559663111071297</v>
          </cell>
          <cell r="P67">
            <v>0.23102376237160846</v>
          </cell>
          <cell r="Q67">
            <v>0</v>
          </cell>
          <cell r="R67" t="e">
            <v>#DIV/0!</v>
          </cell>
          <cell r="S67" t="e">
            <v>#DIV/0!</v>
          </cell>
          <cell r="T67" t="e">
            <v>#DIV/0!</v>
          </cell>
          <cell r="U67">
            <v>0.22012965226243639</v>
          </cell>
          <cell r="V67">
            <v>0.28064305746560586</v>
          </cell>
          <cell r="W67" t="str">
            <v>N.A.</v>
          </cell>
          <cell r="X67">
            <v>-6.0513405203169474E-2</v>
          </cell>
          <cell r="Y67" t="str">
            <v>N.A.</v>
          </cell>
        </row>
        <row r="68">
          <cell r="B68" t="str">
            <v>No of Concession Transactions</v>
          </cell>
          <cell r="E68">
            <v>20</v>
          </cell>
          <cell r="F68">
            <v>23</v>
          </cell>
          <cell r="G68">
            <v>25</v>
          </cell>
          <cell r="H68">
            <v>20</v>
          </cell>
          <cell r="I68">
            <v>21</v>
          </cell>
          <cell r="J68">
            <v>28</v>
          </cell>
          <cell r="K68">
            <v>22</v>
          </cell>
          <cell r="L68">
            <v>25</v>
          </cell>
          <cell r="M68">
            <v>28</v>
          </cell>
          <cell r="N68">
            <v>21.253</v>
          </cell>
          <cell r="O68">
            <v>30</v>
          </cell>
          <cell r="P68">
            <v>30</v>
          </cell>
          <cell r="Q68">
            <v>0</v>
          </cell>
          <cell r="R68">
            <v>20.744</v>
          </cell>
          <cell r="S68">
            <v>21.744</v>
          </cell>
          <cell r="T68">
            <v>22.744</v>
          </cell>
          <cell r="U68">
            <v>293.25299999999999</v>
          </cell>
          <cell r="V68">
            <v>221</v>
          </cell>
          <cell r="W68" t="str">
            <v>N.A.</v>
          </cell>
          <cell r="X68">
            <v>72.252999999999986</v>
          </cell>
          <cell r="Y68" t="str">
            <v>N.A.</v>
          </cell>
        </row>
        <row r="69">
          <cell r="B69" t="str">
            <v>Strike Rate %(No of Trans/Adm)</v>
          </cell>
          <cell r="E69">
            <v>0.22988505747126436</v>
          </cell>
          <cell r="F69">
            <v>0.25555555555555554</v>
          </cell>
          <cell r="G69">
            <v>0.20833333333333334</v>
          </cell>
          <cell r="H69">
            <v>0.22222222222222221</v>
          </cell>
          <cell r="I69">
            <v>0.21875</v>
          </cell>
          <cell r="J69">
            <v>0.2153846153846154</v>
          </cell>
          <cell r="K69">
            <v>0.24444444444444444</v>
          </cell>
          <cell r="L69">
            <v>0.26315789473684209</v>
          </cell>
          <cell r="M69">
            <v>0.23728813559322035</v>
          </cell>
          <cell r="N69">
            <v>0.23614444444444443</v>
          </cell>
          <cell r="O69">
            <v>0.25</v>
          </cell>
          <cell r="P69">
            <v>0.28301886792452829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0.23803003246753246</v>
          </cell>
          <cell r="V69">
            <v>0.32595870206489674</v>
          </cell>
          <cell r="W69" t="str">
            <v>N.A.</v>
          </cell>
          <cell r="X69">
            <v>-8.7928669597364284E-2</v>
          </cell>
          <cell r="Y69" t="str">
            <v>N.A.</v>
          </cell>
        </row>
        <row r="70">
          <cell r="B70" t="str">
            <v>Ave Sales (Total Sale/No of Trans) (S$)</v>
          </cell>
          <cell r="E70">
            <v>5.22</v>
          </cell>
          <cell r="F70">
            <v>4.6956521739130439</v>
          </cell>
          <cell r="G70">
            <v>5.76</v>
          </cell>
          <cell r="H70">
            <v>5.4</v>
          </cell>
          <cell r="I70">
            <v>5.4857142857142849</v>
          </cell>
          <cell r="J70">
            <v>5.5714285714285712</v>
          </cell>
          <cell r="K70">
            <v>4.9090909090909092</v>
          </cell>
          <cell r="L70">
            <v>4.5599999999999996</v>
          </cell>
          <cell r="M70">
            <v>5.0571428571428569</v>
          </cell>
          <cell r="N70">
            <v>5.0816355338069918</v>
          </cell>
          <cell r="O70">
            <v>4.8</v>
          </cell>
          <cell r="P70">
            <v>4.24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5.0413806508373318</v>
          </cell>
          <cell r="V70">
            <v>3.5452850678733032</v>
          </cell>
          <cell r="W70" t="str">
            <v>N.A.</v>
          </cell>
          <cell r="X70">
            <v>1.4960955829640286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49</v>
          </cell>
          <cell r="F71">
            <v>50</v>
          </cell>
          <cell r="G71">
            <v>58</v>
          </cell>
          <cell r="H71">
            <v>43</v>
          </cell>
          <cell r="I71">
            <v>46</v>
          </cell>
          <cell r="J71">
            <v>68</v>
          </cell>
          <cell r="K71">
            <v>47</v>
          </cell>
          <cell r="L71">
            <v>52</v>
          </cell>
          <cell r="M71">
            <v>59</v>
          </cell>
          <cell r="N71">
            <v>45</v>
          </cell>
          <cell r="O71">
            <v>64</v>
          </cell>
          <cell r="P71">
            <v>61</v>
          </cell>
          <cell r="Q71">
            <v>0</v>
          </cell>
          <cell r="R71">
            <v>43.881999999999998</v>
          </cell>
          <cell r="S71">
            <v>44.881999999999998</v>
          </cell>
          <cell r="T71">
            <v>45.881999999999998</v>
          </cell>
          <cell r="U71">
            <v>642</v>
          </cell>
          <cell r="V71">
            <v>321</v>
          </cell>
          <cell r="W71" t="str">
            <v>N.A.</v>
          </cell>
          <cell r="X71">
            <v>321</v>
          </cell>
          <cell r="Y71" t="str">
            <v>N.A.</v>
          </cell>
        </row>
        <row r="72">
          <cell r="B72" t="str">
            <v>Combo Sales as % of Total Sales</v>
          </cell>
          <cell r="E72">
            <v>0.46934865900383144</v>
          </cell>
          <cell r="F72">
            <v>0.46296296296296297</v>
          </cell>
          <cell r="G72">
            <v>0.40277777777777779</v>
          </cell>
          <cell r="H72">
            <v>0.39814814814814814</v>
          </cell>
          <cell r="I72">
            <v>0.39930555555555558</v>
          </cell>
          <cell r="J72">
            <v>0.4358974358974359</v>
          </cell>
          <cell r="K72">
            <v>0.43518518518518517</v>
          </cell>
          <cell r="L72">
            <v>0.45614035087719296</v>
          </cell>
          <cell r="M72">
            <v>0.41666666666666669</v>
          </cell>
          <cell r="N72">
            <v>0.41666666666666669</v>
          </cell>
          <cell r="O72">
            <v>0.44444444444444442</v>
          </cell>
          <cell r="P72">
            <v>0.47955974842767302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0.43425324675324678</v>
          </cell>
          <cell r="V72">
            <v>0.4096958805781179</v>
          </cell>
          <cell r="W72" t="str">
            <v>N.A.</v>
          </cell>
          <cell r="X72">
            <v>2.4557366175128881E-2</v>
          </cell>
          <cell r="Y72" t="str">
            <v>N.A.</v>
          </cell>
        </row>
        <row r="73">
          <cell r="B73" t="str">
            <v>No of Payroll hours Paid</v>
          </cell>
          <cell r="E73">
            <v>4</v>
          </cell>
          <cell r="F73">
            <v>4</v>
          </cell>
          <cell r="G73">
            <v>5</v>
          </cell>
          <cell r="H73">
            <v>4</v>
          </cell>
          <cell r="I73">
            <v>4</v>
          </cell>
          <cell r="J73">
            <v>5</v>
          </cell>
          <cell r="K73">
            <v>4</v>
          </cell>
          <cell r="L73">
            <v>4</v>
          </cell>
          <cell r="M73">
            <v>5</v>
          </cell>
          <cell r="N73">
            <v>4</v>
          </cell>
          <cell r="O73">
            <v>4</v>
          </cell>
          <cell r="P73">
            <v>5</v>
          </cell>
          <cell r="Q73">
            <v>0</v>
          </cell>
          <cell r="R73">
            <v>4.5860000000000003</v>
          </cell>
          <cell r="S73">
            <v>4.5860000000000003</v>
          </cell>
          <cell r="T73">
            <v>4.5860000000000003</v>
          </cell>
          <cell r="U73">
            <v>92</v>
          </cell>
          <cell r="V73">
            <v>57</v>
          </cell>
          <cell r="W73" t="str">
            <v>N.A.</v>
          </cell>
          <cell r="X73">
            <v>35</v>
          </cell>
          <cell r="Y73" t="str">
            <v>N.A.</v>
          </cell>
        </row>
        <row r="74">
          <cell r="B74" t="str">
            <v>Admissions/labour hour paid</v>
          </cell>
          <cell r="E74">
            <v>12.428571428571429</v>
          </cell>
          <cell r="F74">
            <v>12.857142857142858</v>
          </cell>
          <cell r="G74">
            <v>13.333333333333334</v>
          </cell>
          <cell r="H74">
            <v>12.857142857142858</v>
          </cell>
          <cell r="I74">
            <v>13.714285714285714</v>
          </cell>
          <cell r="J74">
            <v>14.444444444444445</v>
          </cell>
          <cell r="K74">
            <v>12.857142857142858</v>
          </cell>
          <cell r="L74">
            <v>13.571428571428571</v>
          </cell>
          <cell r="M74">
            <v>14.75</v>
          </cell>
          <cell r="N74">
            <v>12.857142857142858</v>
          </cell>
          <cell r="O74">
            <v>13.333333333333334</v>
          </cell>
          <cell r="P74">
            <v>13.25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13.391304347826088</v>
          </cell>
          <cell r="V74">
            <v>11.894736842105264</v>
          </cell>
          <cell r="W74" t="str">
            <v>N.A.</v>
          </cell>
          <cell r="X74">
            <v>1.4965675057208241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32.08625</v>
          </cell>
          <cell r="W77">
            <v>0</v>
          </cell>
          <cell r="X77">
            <v>-4.8987499999999997</v>
          </cell>
          <cell r="Y77">
            <v>27.1875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10.821999999999999</v>
          </cell>
          <cell r="W78">
            <v>0</v>
          </cell>
          <cell r="X78">
            <v>13.178000000000001</v>
          </cell>
          <cell r="Y78">
            <v>24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5.6243333333333325</v>
          </cell>
          <cell r="F82">
            <v>5.6243333333333325</v>
          </cell>
          <cell r="G82">
            <v>5.6243333333333325</v>
          </cell>
          <cell r="H82">
            <v>5.6243333333333325</v>
          </cell>
          <cell r="I82">
            <v>5.6243333333333325</v>
          </cell>
          <cell r="J82">
            <v>5.6243333333333325</v>
          </cell>
          <cell r="K82">
            <v>5.6243333333333325</v>
          </cell>
          <cell r="L82">
            <v>5.6243333333333325</v>
          </cell>
          <cell r="M82">
            <v>5.6243333333333325</v>
          </cell>
          <cell r="N82">
            <v>5.6243333333333325</v>
          </cell>
          <cell r="O82">
            <v>5.6243333333333325</v>
          </cell>
          <cell r="P82">
            <v>5.6243333333333325</v>
          </cell>
          <cell r="T82">
            <v>0</v>
          </cell>
          <cell r="U82">
            <v>67.49199999999999</v>
          </cell>
          <cell r="V82">
            <v>34.58</v>
          </cell>
          <cell r="W82">
            <v>0</v>
          </cell>
          <cell r="X82">
            <v>32.911999999999992</v>
          </cell>
          <cell r="Y82">
            <v>67.49199999999999</v>
          </cell>
        </row>
        <row r="83">
          <cell r="C83">
            <v>0</v>
          </cell>
          <cell r="E83">
            <v>9.8899583333333325</v>
          </cell>
          <cell r="F83">
            <v>9.8899583333333325</v>
          </cell>
          <cell r="G83">
            <v>9.8899583333333325</v>
          </cell>
          <cell r="H83">
            <v>9.8899583333333325</v>
          </cell>
          <cell r="I83">
            <v>9.8899583333333325</v>
          </cell>
          <cell r="J83">
            <v>9.8899583333333325</v>
          </cell>
          <cell r="K83">
            <v>9.8899583333333325</v>
          </cell>
          <cell r="L83">
            <v>9.8899583333333325</v>
          </cell>
          <cell r="M83">
            <v>9.8899583333333325</v>
          </cell>
          <cell r="N83">
            <v>9.8899583333333325</v>
          </cell>
          <cell r="O83">
            <v>9.8899583333333325</v>
          </cell>
          <cell r="P83">
            <v>9.8899583333333325</v>
          </cell>
          <cell r="R83">
            <v>0</v>
          </cell>
          <cell r="S83">
            <v>0</v>
          </cell>
          <cell r="T83">
            <v>0</v>
          </cell>
          <cell r="U83">
            <v>118.67949999999999</v>
          </cell>
          <cell r="V83">
            <v>77.488249999999994</v>
          </cell>
          <cell r="W83">
            <v>0</v>
          </cell>
          <cell r="X83">
            <v>41.191249999999997</v>
          </cell>
          <cell r="Y83">
            <v>118.67949999999999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1.1832</v>
          </cell>
          <cell r="F86">
            <v>1.224</v>
          </cell>
          <cell r="G86">
            <v>1.6320000000000001</v>
          </cell>
          <cell r="H86">
            <v>1.224</v>
          </cell>
          <cell r="I86">
            <v>1.3055999999999999</v>
          </cell>
          <cell r="J86">
            <v>1.768</v>
          </cell>
          <cell r="K86">
            <v>1.224</v>
          </cell>
          <cell r="L86">
            <v>1.292</v>
          </cell>
          <cell r="M86">
            <v>1.6048</v>
          </cell>
          <cell r="N86">
            <v>1.224</v>
          </cell>
          <cell r="O86">
            <v>1.6320000000000001</v>
          </cell>
          <cell r="P86">
            <v>1.4416</v>
          </cell>
          <cell r="U86">
            <v>16.755199999999999</v>
          </cell>
          <cell r="V86">
            <v>8.8581220000000016</v>
          </cell>
          <cell r="W86">
            <v>0</v>
          </cell>
          <cell r="X86">
            <v>7.8970779999999969</v>
          </cell>
          <cell r="Y86">
            <v>16.755199999999999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1.1832</v>
          </cell>
          <cell r="F91">
            <v>1.224</v>
          </cell>
          <cell r="G91">
            <v>1.6320000000000001</v>
          </cell>
          <cell r="H91">
            <v>1.224</v>
          </cell>
          <cell r="I91">
            <v>1.3055999999999999</v>
          </cell>
          <cell r="J91">
            <v>1.768</v>
          </cell>
          <cell r="K91">
            <v>1.224</v>
          </cell>
          <cell r="L91">
            <v>1.292</v>
          </cell>
          <cell r="M91">
            <v>1.6048</v>
          </cell>
          <cell r="N91">
            <v>1.224</v>
          </cell>
          <cell r="O91">
            <v>1.6320000000000001</v>
          </cell>
          <cell r="P91">
            <v>1.4416</v>
          </cell>
          <cell r="U91">
            <v>16.755199999999999</v>
          </cell>
          <cell r="V91">
            <v>8.8581220000000016</v>
          </cell>
          <cell r="W91">
            <v>0</v>
          </cell>
          <cell r="X91">
            <v>7.8970779999999969</v>
          </cell>
          <cell r="Y91">
            <v>16.755199999999999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40.119659546494248</v>
          </cell>
          <cell r="F94">
            <v>40.119659546494248</v>
          </cell>
          <cell r="G94">
            <v>41.219659546494249</v>
          </cell>
          <cell r="H94">
            <v>40.119659546494248</v>
          </cell>
          <cell r="I94">
            <v>40.119659546494248</v>
          </cell>
          <cell r="J94">
            <v>41.219659546494249</v>
          </cell>
          <cell r="K94">
            <v>40.92047609379425</v>
          </cell>
          <cell r="L94">
            <v>40.92047609379425</v>
          </cell>
          <cell r="M94">
            <v>42.020476093794251</v>
          </cell>
          <cell r="N94">
            <v>40.92047609379425</v>
          </cell>
          <cell r="O94">
            <v>42.020476093794251</v>
          </cell>
          <cell r="P94">
            <v>42.020476093794251</v>
          </cell>
          <cell r="T94">
            <v>0</v>
          </cell>
          <cell r="U94">
            <v>491.74081384173098</v>
          </cell>
          <cell r="V94">
            <v>278.19983500000006</v>
          </cell>
          <cell r="W94">
            <v>0</v>
          </cell>
          <cell r="X94">
            <v>213.54097884173092</v>
          </cell>
          <cell r="Y94">
            <v>491.74081384173098</v>
          </cell>
        </row>
        <row r="95">
          <cell r="A95">
            <v>67</v>
          </cell>
          <cell r="B95" t="str">
            <v>Bonus/Commission</v>
          </cell>
          <cell r="E95">
            <v>2.0224695833333333</v>
          </cell>
          <cell r="F95">
            <v>2.0224695833333333</v>
          </cell>
          <cell r="G95">
            <v>2.0224695833333333</v>
          </cell>
          <cell r="H95">
            <v>2.0224695833333333</v>
          </cell>
          <cell r="I95">
            <v>2.0224695833333333</v>
          </cell>
          <cell r="J95">
            <v>2.0224695833333333</v>
          </cell>
          <cell r="K95">
            <v>2.0224695833333333</v>
          </cell>
          <cell r="L95">
            <v>2.0224695833333333</v>
          </cell>
          <cell r="M95">
            <v>2.0224695833333333</v>
          </cell>
          <cell r="N95">
            <v>2.0224695833333333</v>
          </cell>
          <cell r="O95">
            <v>2.0224695833333333</v>
          </cell>
          <cell r="P95">
            <v>2.0224695833333333</v>
          </cell>
          <cell r="T95">
            <v>0</v>
          </cell>
          <cell r="U95">
            <v>24.269634999999997</v>
          </cell>
          <cell r="V95">
            <v>18.586883333333336</v>
          </cell>
          <cell r="W95">
            <v>0</v>
          </cell>
          <cell r="X95">
            <v>5.6827516666666611</v>
          </cell>
          <cell r="Y95">
            <v>24.269634999999997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4.76</v>
          </cell>
          <cell r="W97">
            <v>0</v>
          </cell>
          <cell r="X97">
            <v>1.8760000000000003</v>
          </cell>
          <cell r="Y97">
            <v>6.6360000000000001</v>
          </cell>
        </row>
        <row r="98">
          <cell r="A98">
            <v>70</v>
          </cell>
          <cell r="B98" t="str">
            <v>Miscellaneous</v>
          </cell>
          <cell r="E98">
            <v>0.78439999999999999</v>
          </cell>
          <cell r="F98">
            <v>0.78439999999999999</v>
          </cell>
          <cell r="G98">
            <v>0.78439999999999999</v>
          </cell>
          <cell r="H98">
            <v>0.78439999999999999</v>
          </cell>
          <cell r="I98">
            <v>0.78439999999999999</v>
          </cell>
          <cell r="J98">
            <v>0.78439999999999999</v>
          </cell>
          <cell r="K98">
            <v>0.78439999999999999</v>
          </cell>
          <cell r="L98">
            <v>0.78439999999999999</v>
          </cell>
          <cell r="M98">
            <v>0.78439999999999999</v>
          </cell>
          <cell r="N98">
            <v>0.78439999999999999</v>
          </cell>
          <cell r="O98">
            <v>0.78439999999999999</v>
          </cell>
          <cell r="P98">
            <v>0.78439999999999999</v>
          </cell>
          <cell r="T98">
            <v>0</v>
          </cell>
          <cell r="U98">
            <v>9.4127999999999989</v>
          </cell>
          <cell r="V98">
            <v>5.4904000000000011</v>
          </cell>
          <cell r="W98">
            <v>0</v>
          </cell>
          <cell r="X98">
            <v>3.9223999999999979</v>
          </cell>
          <cell r="Y98">
            <v>9.4127999999999989</v>
          </cell>
        </row>
        <row r="99">
          <cell r="C99">
            <v>0</v>
          </cell>
          <cell r="E99">
            <v>43.479529129827576</v>
          </cell>
          <cell r="F99">
            <v>43.479529129827576</v>
          </cell>
          <cell r="G99">
            <v>44.579529129827577</v>
          </cell>
          <cell r="H99">
            <v>43.479529129827576</v>
          </cell>
          <cell r="I99">
            <v>43.479529129827576</v>
          </cell>
          <cell r="J99">
            <v>44.579529129827577</v>
          </cell>
          <cell r="K99">
            <v>44.280345677127578</v>
          </cell>
          <cell r="L99">
            <v>44.280345677127578</v>
          </cell>
          <cell r="M99">
            <v>45.380345677127579</v>
          </cell>
          <cell r="N99">
            <v>44.280345677127578</v>
          </cell>
          <cell r="O99">
            <v>45.380345677127579</v>
          </cell>
          <cell r="P99">
            <v>45.380345677127579</v>
          </cell>
          <cell r="R99">
            <v>0</v>
          </cell>
          <cell r="S99">
            <v>0</v>
          </cell>
          <cell r="T99">
            <v>0</v>
          </cell>
          <cell r="U99">
            <v>532.05924884173089</v>
          </cell>
          <cell r="V99">
            <v>307.03711833333341</v>
          </cell>
          <cell r="W99">
            <v>0</v>
          </cell>
          <cell r="X99">
            <v>225.02213050839748</v>
          </cell>
          <cell r="Y99">
            <v>532.05924884173089</v>
          </cell>
        </row>
        <row r="100"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9.6349999999999998</v>
          </cell>
          <cell r="W102">
            <v>0</v>
          </cell>
          <cell r="X102">
            <v>5.9649999999999999</v>
          </cell>
          <cell r="Y102">
            <v>15.6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18.335833333333333</v>
          </cell>
          <cell r="W104">
            <v>0</v>
          </cell>
          <cell r="X104">
            <v>5.6641666666666666</v>
          </cell>
          <cell r="Y104">
            <v>24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6.3579999999999988</v>
          </cell>
          <cell r="W105">
            <v>0</v>
          </cell>
          <cell r="X105">
            <v>5.6420000000000012</v>
          </cell>
          <cell r="Y105">
            <v>12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1.5549999999999999</v>
          </cell>
          <cell r="W106">
            <v>0</v>
          </cell>
          <cell r="X106">
            <v>4.4450000000000003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0.24</v>
          </cell>
          <cell r="F108">
            <v>0.24</v>
          </cell>
          <cell r="G108">
            <v>0.24</v>
          </cell>
          <cell r="H108">
            <v>0.24</v>
          </cell>
          <cell r="I108">
            <v>0.24</v>
          </cell>
          <cell r="J108">
            <v>0.24</v>
          </cell>
          <cell r="K108">
            <v>0.24</v>
          </cell>
          <cell r="L108">
            <v>0.24</v>
          </cell>
          <cell r="M108">
            <v>0.24</v>
          </cell>
          <cell r="N108">
            <v>0.24</v>
          </cell>
          <cell r="O108">
            <v>0.24</v>
          </cell>
          <cell r="P108">
            <v>0.24</v>
          </cell>
          <cell r="T108">
            <v>0</v>
          </cell>
          <cell r="U108">
            <v>2.88</v>
          </cell>
          <cell r="V108">
            <v>3.8674779999999984</v>
          </cell>
          <cell r="W108">
            <v>0</v>
          </cell>
          <cell r="X108">
            <v>-0.98747799999999764</v>
          </cell>
          <cell r="Y108">
            <v>2.88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6.4480000000000004</v>
          </cell>
          <cell r="F111">
            <v>6.4480000000000004</v>
          </cell>
          <cell r="G111">
            <v>6.24</v>
          </cell>
          <cell r="H111">
            <v>6.4480000000000004</v>
          </cell>
          <cell r="I111">
            <v>6.24</v>
          </cell>
          <cell r="J111">
            <v>6.4480000000000004</v>
          </cell>
          <cell r="K111">
            <v>6.4480000000000004</v>
          </cell>
          <cell r="L111">
            <v>8.3239999999999998</v>
          </cell>
          <cell r="M111">
            <v>6.4480000000000004</v>
          </cell>
          <cell r="N111">
            <v>6.24</v>
          </cell>
          <cell r="O111">
            <v>6.4480000000000004</v>
          </cell>
          <cell r="P111">
            <v>6.24</v>
          </cell>
          <cell r="T111">
            <v>0</v>
          </cell>
          <cell r="U111">
            <v>78.42</v>
          </cell>
          <cell r="V111">
            <v>56.227000000000004</v>
          </cell>
          <cell r="W111">
            <v>0</v>
          </cell>
          <cell r="X111">
            <v>22.192999999999998</v>
          </cell>
          <cell r="Y111">
            <v>78.42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29.887999999999998</v>
          </cell>
          <cell r="W112">
            <v>0</v>
          </cell>
          <cell r="X112">
            <v>18.112000000000002</v>
          </cell>
          <cell r="Y112">
            <v>48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10.143000000000001</v>
          </cell>
          <cell r="W113">
            <v>0</v>
          </cell>
          <cell r="X113">
            <v>-2.9430000000000023</v>
          </cell>
          <cell r="Y113">
            <v>7.2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2.629</v>
          </cell>
          <cell r="W114">
            <v>0</v>
          </cell>
          <cell r="X114">
            <v>-0.22900000000000009</v>
          </cell>
          <cell r="Y114">
            <v>2.4</v>
          </cell>
        </row>
        <row r="115">
          <cell r="A115">
            <v>84</v>
          </cell>
          <cell r="B115" t="str">
            <v>Freight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T115">
            <v>0</v>
          </cell>
          <cell r="U115">
            <v>0</v>
          </cell>
          <cell r="V115">
            <v>12.696</v>
          </cell>
          <cell r="W115">
            <v>0</v>
          </cell>
          <cell r="X115">
            <v>-12.696</v>
          </cell>
          <cell r="Y115">
            <v>0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2.5</v>
          </cell>
          <cell r="F117">
            <v>2.5</v>
          </cell>
          <cell r="G117">
            <v>2.5</v>
          </cell>
          <cell r="H117">
            <v>2.5</v>
          </cell>
          <cell r="I117">
            <v>2.5</v>
          </cell>
          <cell r="J117">
            <v>2.5</v>
          </cell>
          <cell r="K117">
            <v>2.5</v>
          </cell>
          <cell r="L117">
            <v>2.5</v>
          </cell>
          <cell r="M117">
            <v>2.5</v>
          </cell>
          <cell r="N117">
            <v>2.5</v>
          </cell>
          <cell r="O117">
            <v>2.5</v>
          </cell>
          <cell r="P117">
            <v>2.5</v>
          </cell>
          <cell r="T117">
            <v>0</v>
          </cell>
          <cell r="U117">
            <v>30</v>
          </cell>
          <cell r="V117">
            <v>27.247</v>
          </cell>
          <cell r="W117">
            <v>0</v>
          </cell>
          <cell r="X117">
            <v>2.7530000000000001</v>
          </cell>
          <cell r="Y117">
            <v>30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0.55979529129827588</v>
          </cell>
          <cell r="F119">
            <v>0.55979529129827588</v>
          </cell>
          <cell r="G119">
            <v>0.57079529129827589</v>
          </cell>
          <cell r="H119">
            <v>0.55979529129827588</v>
          </cell>
          <cell r="I119">
            <v>0.55979529129827588</v>
          </cell>
          <cell r="J119">
            <v>0.57079529129827589</v>
          </cell>
          <cell r="K119">
            <v>0.56780345677127586</v>
          </cell>
          <cell r="L119">
            <v>0.56780345677127586</v>
          </cell>
          <cell r="M119">
            <v>0.57880345677127587</v>
          </cell>
          <cell r="N119">
            <v>0.56780345677127586</v>
          </cell>
          <cell r="O119">
            <v>0.57880345677127587</v>
          </cell>
          <cell r="P119">
            <v>0.57880345677127587</v>
          </cell>
          <cell r="T119">
            <v>0</v>
          </cell>
          <cell r="U119">
            <v>6.8205924884173097</v>
          </cell>
          <cell r="V119">
            <v>5.0430672000000012</v>
          </cell>
          <cell r="W119">
            <v>0</v>
          </cell>
          <cell r="X119">
            <v>1.7775252884173085</v>
          </cell>
          <cell r="Y119">
            <v>6.8205924884173097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8.8000000000000007</v>
          </cell>
          <cell r="W120">
            <v>0</v>
          </cell>
          <cell r="X120">
            <v>6.8</v>
          </cell>
          <cell r="Y120">
            <v>15.6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1.44</v>
          </cell>
          <cell r="W124">
            <v>0</v>
          </cell>
          <cell r="X124">
            <v>2.16</v>
          </cell>
          <cell r="Y124">
            <v>3.6</v>
          </cell>
        </row>
        <row r="125">
          <cell r="C125">
            <v>0</v>
          </cell>
          <cell r="E125">
            <v>20.947795291298277</v>
          </cell>
          <cell r="F125">
            <v>20.947795291298277</v>
          </cell>
          <cell r="G125">
            <v>20.750795291298278</v>
          </cell>
          <cell r="H125">
            <v>20.947795291298277</v>
          </cell>
          <cell r="I125">
            <v>20.739795291298279</v>
          </cell>
          <cell r="J125">
            <v>20.958795291298276</v>
          </cell>
          <cell r="K125">
            <v>20.955803456771278</v>
          </cell>
          <cell r="L125">
            <v>22.831803456771279</v>
          </cell>
          <cell r="M125">
            <v>20.966803456771277</v>
          </cell>
          <cell r="N125">
            <v>20.74780345677128</v>
          </cell>
          <cell r="O125">
            <v>20.966803456771277</v>
          </cell>
          <cell r="P125">
            <v>20.758803456771279</v>
          </cell>
          <cell r="R125">
            <v>0</v>
          </cell>
          <cell r="S125">
            <v>0</v>
          </cell>
          <cell r="T125">
            <v>0</v>
          </cell>
          <cell r="U125">
            <v>252.52059248841729</v>
          </cell>
          <cell r="V125">
            <v>193.86437853333331</v>
          </cell>
          <cell r="W125">
            <v>0</v>
          </cell>
          <cell r="X125">
            <v>58.656213955083985</v>
          </cell>
          <cell r="Y125">
            <v>252.52059248841729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8" refreshError="1"/>
      <sheetData sheetId="29" refreshError="1">
        <row r="11">
          <cell r="A11">
            <v>1</v>
          </cell>
          <cell r="B11" t="str">
            <v>Net Film Revenue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A12">
            <v>2</v>
          </cell>
          <cell r="B12" t="str">
            <v>Concession Sales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0.5</v>
          </cell>
          <cell r="F16">
            <v>0.5</v>
          </cell>
          <cell r="G16">
            <v>0.5</v>
          </cell>
          <cell r="H16">
            <v>0.5</v>
          </cell>
          <cell r="I16">
            <v>0.5</v>
          </cell>
          <cell r="J16">
            <v>0.5</v>
          </cell>
          <cell r="K16">
            <v>0.5</v>
          </cell>
          <cell r="L16">
            <v>0.5</v>
          </cell>
          <cell r="M16">
            <v>0.5</v>
          </cell>
          <cell r="N16">
            <v>0.5</v>
          </cell>
          <cell r="O16">
            <v>0.5</v>
          </cell>
          <cell r="P16">
            <v>0.5</v>
          </cell>
          <cell r="R16">
            <v>0</v>
          </cell>
          <cell r="S16">
            <v>0</v>
          </cell>
          <cell r="T16">
            <v>0</v>
          </cell>
          <cell r="U16">
            <v>6</v>
          </cell>
          <cell r="V16">
            <v>13.6</v>
          </cell>
          <cell r="W16">
            <v>5.0979999999999999</v>
          </cell>
          <cell r="X16">
            <v>-7.6</v>
          </cell>
          <cell r="Y16">
            <v>0.90200000000000014</v>
          </cell>
        </row>
        <row r="17">
          <cell r="B17" t="str">
            <v>TOTAL REVENUE</v>
          </cell>
          <cell r="C17">
            <v>0</v>
          </cell>
          <cell r="E17">
            <v>0.5</v>
          </cell>
          <cell r="F17">
            <v>0.5</v>
          </cell>
          <cell r="G17">
            <v>0.5</v>
          </cell>
          <cell r="H17">
            <v>0.5</v>
          </cell>
          <cell r="I17">
            <v>0.5</v>
          </cell>
          <cell r="J17">
            <v>0.5</v>
          </cell>
          <cell r="K17">
            <v>0.5</v>
          </cell>
          <cell r="L17">
            <v>0.5</v>
          </cell>
          <cell r="M17">
            <v>0.5</v>
          </cell>
          <cell r="N17">
            <v>0.5</v>
          </cell>
          <cell r="O17">
            <v>0.5</v>
          </cell>
          <cell r="P17">
            <v>0.5</v>
          </cell>
          <cell r="R17">
            <v>0</v>
          </cell>
          <cell r="S17">
            <v>0</v>
          </cell>
          <cell r="T17">
            <v>0</v>
          </cell>
          <cell r="U17">
            <v>6</v>
          </cell>
          <cell r="V17">
            <v>13.6</v>
          </cell>
          <cell r="W17">
            <v>5.0979999999999999</v>
          </cell>
          <cell r="X17">
            <v>-7.6</v>
          </cell>
          <cell r="Y17">
            <v>0.90200000000000014</v>
          </cell>
        </row>
        <row r="19">
          <cell r="A19">
            <v>7</v>
          </cell>
          <cell r="B19" t="str">
            <v>Film Hire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>
            <v>8</v>
          </cell>
          <cell r="B20" t="str">
            <v>Concession Cost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>
            <v>9</v>
          </cell>
          <cell r="B21" t="str">
            <v>Less Concession Rebates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>
            <v>10</v>
          </cell>
          <cell r="B22" t="str">
            <v>Advertising Cost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-1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90.765082916666657</v>
          </cell>
          <cell r="F24">
            <v>90.765082916666657</v>
          </cell>
          <cell r="G24">
            <v>88.735082916666656</v>
          </cell>
          <cell r="H24">
            <v>87.865082916666665</v>
          </cell>
          <cell r="I24">
            <v>87.865082916666665</v>
          </cell>
          <cell r="J24">
            <v>87.865082916666665</v>
          </cell>
          <cell r="K24">
            <v>89.941772916666679</v>
          </cell>
          <cell r="L24">
            <v>89.941772916666679</v>
          </cell>
          <cell r="M24">
            <v>89.941772916666679</v>
          </cell>
          <cell r="N24">
            <v>89.941772916666679</v>
          </cell>
          <cell r="O24">
            <v>89.941772916666679</v>
          </cell>
          <cell r="P24">
            <v>89.941772916666679</v>
          </cell>
          <cell r="R24">
            <v>0</v>
          </cell>
          <cell r="S24">
            <v>0</v>
          </cell>
          <cell r="T24">
            <v>0</v>
          </cell>
          <cell r="U24">
            <v>1073.511135</v>
          </cell>
          <cell r="V24">
            <v>1092.7482116666667</v>
          </cell>
          <cell r="W24">
            <v>1211.7870000000003</v>
          </cell>
          <cell r="X24">
            <v>-19.237076666666781</v>
          </cell>
          <cell r="Y24">
            <v>-138.27586500000029</v>
          </cell>
        </row>
        <row r="25">
          <cell r="B25" t="str">
            <v>TOTAL COST</v>
          </cell>
          <cell r="C25">
            <v>0</v>
          </cell>
          <cell r="E25">
            <v>90.765082916666657</v>
          </cell>
          <cell r="F25">
            <v>90.765082916666657</v>
          </cell>
          <cell r="G25">
            <v>88.735082916666656</v>
          </cell>
          <cell r="H25">
            <v>87.865082916666665</v>
          </cell>
          <cell r="I25">
            <v>87.865082916666665</v>
          </cell>
          <cell r="J25">
            <v>87.865082916666665</v>
          </cell>
          <cell r="K25">
            <v>89.941772916666679</v>
          </cell>
          <cell r="L25">
            <v>89.941772916666679</v>
          </cell>
          <cell r="M25">
            <v>89.941772916666679</v>
          </cell>
          <cell r="N25">
            <v>89.941772916666679</v>
          </cell>
          <cell r="O25">
            <v>89.941772916666679</v>
          </cell>
          <cell r="P25">
            <v>89.941772916666679</v>
          </cell>
          <cell r="R25">
            <v>0</v>
          </cell>
          <cell r="S25">
            <v>0</v>
          </cell>
          <cell r="T25">
            <v>0</v>
          </cell>
          <cell r="U25">
            <v>1073.511135</v>
          </cell>
          <cell r="V25">
            <v>1092.7482116666667</v>
          </cell>
          <cell r="W25">
            <v>1212.7870000000003</v>
          </cell>
          <cell r="X25">
            <v>-19.237076666666781</v>
          </cell>
          <cell r="Y25">
            <v>-139.27586500000029</v>
          </cell>
        </row>
        <row r="27">
          <cell r="B27" t="str">
            <v>GROSS MARGIN</v>
          </cell>
          <cell r="C27">
            <v>0</v>
          </cell>
          <cell r="E27">
            <v>-90.265082916666657</v>
          </cell>
          <cell r="F27">
            <v>-90.265082916666657</v>
          </cell>
          <cell r="G27">
            <v>-88.235082916666656</v>
          </cell>
          <cell r="H27">
            <v>-87.365082916666665</v>
          </cell>
          <cell r="I27">
            <v>-87.365082916666665</v>
          </cell>
          <cell r="J27">
            <v>-87.365082916666665</v>
          </cell>
          <cell r="K27">
            <v>-89.441772916666679</v>
          </cell>
          <cell r="L27">
            <v>-89.441772916666679</v>
          </cell>
          <cell r="M27">
            <v>-89.441772916666679</v>
          </cell>
          <cell r="N27">
            <v>-89.441772916666679</v>
          </cell>
          <cell r="O27">
            <v>-89.441772916666679</v>
          </cell>
          <cell r="P27">
            <v>-89.441772916666679</v>
          </cell>
          <cell r="R27">
            <v>0</v>
          </cell>
          <cell r="S27">
            <v>0</v>
          </cell>
          <cell r="T27">
            <v>0</v>
          </cell>
          <cell r="U27">
            <v>-1067.511135</v>
          </cell>
          <cell r="V27">
            <v>-1079.1482116666668</v>
          </cell>
          <cell r="W27">
            <v>-1207.6890000000003</v>
          </cell>
          <cell r="X27">
            <v>11.637076666666871</v>
          </cell>
          <cell r="Y27">
            <v>140.17786500000034</v>
          </cell>
        </row>
        <row r="28">
          <cell r="X28">
            <v>0</v>
          </cell>
          <cell r="Y28">
            <v>0</v>
          </cell>
        </row>
        <row r="29">
          <cell r="A29">
            <v>13</v>
          </cell>
          <cell r="B29" t="str">
            <v>Direct Rent</v>
          </cell>
          <cell r="E29">
            <v>20.953899999999997</v>
          </cell>
          <cell r="F29">
            <v>20.953899999999997</v>
          </cell>
          <cell r="G29">
            <v>20.953899999999997</v>
          </cell>
          <cell r="H29">
            <v>20.953899999999997</v>
          </cell>
          <cell r="I29">
            <v>20.953899999999997</v>
          </cell>
          <cell r="J29">
            <v>20.953899999999997</v>
          </cell>
          <cell r="K29">
            <v>20.953899999999997</v>
          </cell>
          <cell r="L29">
            <v>20.953899999999997</v>
          </cell>
          <cell r="M29">
            <v>20.953899999999997</v>
          </cell>
          <cell r="N29">
            <v>20.953899999999997</v>
          </cell>
          <cell r="O29">
            <v>20.953899999999997</v>
          </cell>
          <cell r="P29">
            <v>20.953899999999997</v>
          </cell>
          <cell r="T29">
            <v>0</v>
          </cell>
          <cell r="U29">
            <v>251.44680000000002</v>
          </cell>
          <cell r="V29">
            <v>216.42934491871819</v>
          </cell>
          <cell r="W29">
            <v>199.74</v>
          </cell>
          <cell r="X29">
            <v>35.017455081281838</v>
          </cell>
          <cell r="Y29">
            <v>51.706800000000015</v>
          </cell>
        </row>
        <row r="30">
          <cell r="A30">
            <v>14</v>
          </cell>
          <cell r="B30" t="str">
            <v>Light, Heat and Power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T30">
            <v>0</v>
          </cell>
          <cell r="U30">
            <v>12</v>
          </cell>
          <cell r="V30">
            <v>7.7254799999999983</v>
          </cell>
          <cell r="W30">
            <v>7.9870000000000001</v>
          </cell>
          <cell r="X30">
            <v>4.2745200000000017</v>
          </cell>
          <cell r="Y30">
            <v>4.0129999999999999</v>
          </cell>
        </row>
        <row r="31">
          <cell r="A31">
            <v>15</v>
          </cell>
          <cell r="B31" t="str">
            <v>Repair &amp; Maintenance</v>
          </cell>
          <cell r="E31">
            <v>4.2</v>
          </cell>
          <cell r="F31">
            <v>4.2</v>
          </cell>
          <cell r="G31">
            <v>4.2</v>
          </cell>
          <cell r="H31">
            <v>4.2</v>
          </cell>
          <cell r="I31">
            <v>4.2</v>
          </cell>
          <cell r="J31">
            <v>4.2</v>
          </cell>
          <cell r="K31">
            <v>4.2</v>
          </cell>
          <cell r="L31">
            <v>4.2</v>
          </cell>
          <cell r="M31">
            <v>4.2</v>
          </cell>
          <cell r="N31">
            <v>4.2</v>
          </cell>
          <cell r="O31">
            <v>4.2</v>
          </cell>
          <cell r="P31">
            <v>4.2</v>
          </cell>
          <cell r="T31">
            <v>0</v>
          </cell>
          <cell r="U31">
            <v>50.4</v>
          </cell>
          <cell r="V31">
            <v>71.554509999999993</v>
          </cell>
          <cell r="W31">
            <v>40.314999999999998</v>
          </cell>
          <cell r="X31">
            <v>-21.154509999999981</v>
          </cell>
          <cell r="Y31">
            <v>10.085000000000001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37.070150829166664</v>
          </cell>
          <cell r="F33">
            <v>37.070150829166664</v>
          </cell>
          <cell r="G33">
            <v>37.049850829166672</v>
          </cell>
          <cell r="H33">
            <v>37.041150829166668</v>
          </cell>
          <cell r="I33">
            <v>37.041150829166668</v>
          </cell>
          <cell r="J33">
            <v>37.041150829166668</v>
          </cell>
          <cell r="K33">
            <v>37.061917729166666</v>
          </cell>
          <cell r="L33">
            <v>37.061917729166666</v>
          </cell>
          <cell r="M33">
            <v>37.061917729166666</v>
          </cell>
          <cell r="N33">
            <v>37.061917729166666</v>
          </cell>
          <cell r="O33">
            <v>37.061917729166666</v>
          </cell>
          <cell r="P33">
            <v>37.061917729166666</v>
          </cell>
          <cell r="R33">
            <v>0</v>
          </cell>
          <cell r="S33">
            <v>0</v>
          </cell>
          <cell r="T33">
            <v>0</v>
          </cell>
          <cell r="U33">
            <v>444.68511135000006</v>
          </cell>
          <cell r="V33">
            <v>496.03872999999999</v>
          </cell>
          <cell r="W33">
            <v>694.47800000000007</v>
          </cell>
          <cell r="X33">
            <v>-51.35361864999993</v>
          </cell>
          <cell r="Y33">
            <v>-249.79288865000001</v>
          </cell>
        </row>
        <row r="35">
          <cell r="B35" t="str">
            <v>Total Overhead Expenses</v>
          </cell>
          <cell r="C35">
            <v>0</v>
          </cell>
          <cell r="E35">
            <v>63.224050829166657</v>
          </cell>
          <cell r="F35">
            <v>63.224050829166657</v>
          </cell>
          <cell r="G35">
            <v>63.203750829166665</v>
          </cell>
          <cell r="H35">
            <v>63.195050829166661</v>
          </cell>
          <cell r="I35">
            <v>63.195050829166661</v>
          </cell>
          <cell r="J35">
            <v>63.195050829166661</v>
          </cell>
          <cell r="K35">
            <v>63.215817729166659</v>
          </cell>
          <cell r="L35">
            <v>63.215817729166659</v>
          </cell>
          <cell r="M35">
            <v>63.215817729166659</v>
          </cell>
          <cell r="N35">
            <v>63.215817729166659</v>
          </cell>
          <cell r="O35">
            <v>63.215817729166659</v>
          </cell>
          <cell r="P35">
            <v>63.215817729166659</v>
          </cell>
          <cell r="R35">
            <v>0</v>
          </cell>
          <cell r="S35">
            <v>0</v>
          </cell>
          <cell r="T35">
            <v>0</v>
          </cell>
          <cell r="U35">
            <v>758.53191135000009</v>
          </cell>
          <cell r="V35">
            <v>791.74806491871823</v>
          </cell>
          <cell r="W35">
            <v>942.52</v>
          </cell>
          <cell r="X35">
            <v>-33.216153568718141</v>
          </cell>
          <cell r="Y35">
            <v>-183.98808865000001</v>
          </cell>
        </row>
        <row r="37">
          <cell r="B37" t="str">
            <v>E.B.I.T.D.</v>
          </cell>
          <cell r="C37">
            <v>0</v>
          </cell>
          <cell r="E37">
            <v>-153.48913374583333</v>
          </cell>
          <cell r="F37">
            <v>-153.48913374583333</v>
          </cell>
          <cell r="G37">
            <v>-151.43883374583334</v>
          </cell>
          <cell r="H37">
            <v>-150.56013374583333</v>
          </cell>
          <cell r="I37">
            <v>-150.56013374583333</v>
          </cell>
          <cell r="J37">
            <v>-150.56013374583333</v>
          </cell>
          <cell r="K37">
            <v>-152.65759064583335</v>
          </cell>
          <cell r="L37">
            <v>-152.65759064583335</v>
          </cell>
          <cell r="M37">
            <v>-152.65759064583335</v>
          </cell>
          <cell r="N37">
            <v>-152.65759064583335</v>
          </cell>
          <cell r="O37">
            <v>-152.65759064583335</v>
          </cell>
          <cell r="P37">
            <v>-152.65759064583335</v>
          </cell>
          <cell r="R37">
            <v>0</v>
          </cell>
          <cell r="S37">
            <v>0</v>
          </cell>
          <cell r="T37">
            <v>0</v>
          </cell>
          <cell r="U37">
            <v>-1826.0430463500002</v>
          </cell>
          <cell r="V37">
            <v>-1870.8962765853851</v>
          </cell>
          <cell r="W37">
            <v>-2150.2090000000003</v>
          </cell>
          <cell r="X37">
            <v>44.853230235385013</v>
          </cell>
          <cell r="Y37">
            <v>324.16595365000035</v>
          </cell>
        </row>
        <row r="39">
          <cell r="A39">
            <v>18</v>
          </cell>
          <cell r="B39" t="str">
            <v>Depreciation</v>
          </cell>
          <cell r="E39">
            <v>33.989666666666665</v>
          </cell>
          <cell r="F39">
            <v>33.989666666666665</v>
          </cell>
          <cell r="G39">
            <v>33.989666666666665</v>
          </cell>
          <cell r="H39">
            <v>33.989666666666665</v>
          </cell>
          <cell r="I39">
            <v>33.989666666666665</v>
          </cell>
          <cell r="J39">
            <v>33.989666666666665</v>
          </cell>
          <cell r="K39">
            <v>33.989666666666665</v>
          </cell>
          <cell r="L39">
            <v>33.989666666666665</v>
          </cell>
          <cell r="M39">
            <v>33.989666666666665</v>
          </cell>
          <cell r="N39">
            <v>33.989666666666665</v>
          </cell>
          <cell r="O39">
            <v>33.989666666666665</v>
          </cell>
          <cell r="P39">
            <v>33.989666666666665</v>
          </cell>
          <cell r="T39">
            <v>0</v>
          </cell>
          <cell r="U39">
            <v>407.87599999999998</v>
          </cell>
          <cell r="V39">
            <v>122.57752000000001</v>
          </cell>
          <cell r="W39">
            <v>103.379</v>
          </cell>
          <cell r="X39">
            <v>285.29847999999998</v>
          </cell>
          <cell r="Y39">
            <v>304.49699999999996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47.983849821315353</v>
          </cell>
          <cell r="W40">
            <v>0.125</v>
          </cell>
          <cell r="X40">
            <v>-47.983849821315353</v>
          </cell>
          <cell r="Y40">
            <v>-0.125</v>
          </cell>
        </row>
        <row r="41">
          <cell r="A41">
            <v>20</v>
          </cell>
          <cell r="B41" t="str">
            <v>External Interest</v>
          </cell>
          <cell r="E41">
            <v>127.83253424657536</v>
          </cell>
          <cell r="F41">
            <v>127.19554794520549</v>
          </cell>
          <cell r="G41">
            <v>122.47602739726027</v>
          </cell>
          <cell r="H41">
            <v>124.22294520547948</v>
          </cell>
          <cell r="I41">
            <v>119.59931506849318</v>
          </cell>
          <cell r="J41">
            <v>120.38510273972605</v>
          </cell>
          <cell r="K41">
            <v>118.3998287671233</v>
          </cell>
          <cell r="L41">
            <v>106.36643835616439</v>
          </cell>
          <cell r="M41">
            <v>117.12585616438356</v>
          </cell>
          <cell r="N41">
            <v>112.73116438356166</v>
          </cell>
          <cell r="O41">
            <v>114.04708904109589</v>
          </cell>
          <cell r="P41">
            <v>107.27054794520549</v>
          </cell>
          <cell r="T41">
            <v>0</v>
          </cell>
          <cell r="U41">
            <v>1417.652397260274</v>
          </cell>
          <cell r="V41">
            <v>3.9070800000000001</v>
          </cell>
          <cell r="W41">
            <v>0</v>
          </cell>
          <cell r="X41">
            <v>1413.7453172602741</v>
          </cell>
          <cell r="Y41">
            <v>1417.652397260274</v>
          </cell>
        </row>
        <row r="42">
          <cell r="A42">
            <v>21</v>
          </cell>
          <cell r="B42" t="str">
            <v>Intercompany Interest Income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0.16900000000000001</v>
          </cell>
          <cell r="J43">
            <v>0.222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T43">
            <v>0</v>
          </cell>
          <cell r="U43">
            <v>0.39100000000000001</v>
          </cell>
          <cell r="V43">
            <v>0</v>
          </cell>
          <cell r="W43">
            <v>0</v>
          </cell>
          <cell r="X43">
            <v>0.39100000000000001</v>
          </cell>
          <cell r="Y43">
            <v>0.39100000000000001</v>
          </cell>
        </row>
        <row r="44">
          <cell r="B44" t="str">
            <v>E.B.T.</v>
          </cell>
          <cell r="C44">
            <v>0</v>
          </cell>
          <cell r="E44">
            <v>-315.31133465907533</v>
          </cell>
          <cell r="F44">
            <v>-314.67434835770547</v>
          </cell>
          <cell r="G44">
            <v>-307.90452780976028</v>
          </cell>
          <cell r="H44">
            <v>-308.77274561797947</v>
          </cell>
          <cell r="I44">
            <v>-303.98011548099316</v>
          </cell>
          <cell r="J44">
            <v>-304.71290315222609</v>
          </cell>
          <cell r="K44">
            <v>-305.04708607962334</v>
          </cell>
          <cell r="L44">
            <v>-293.01369566866441</v>
          </cell>
          <cell r="M44">
            <v>-303.77311347688357</v>
          </cell>
          <cell r="N44">
            <v>-299.37842169606165</v>
          </cell>
          <cell r="O44">
            <v>-300.6943463535959</v>
          </cell>
          <cell r="P44">
            <v>-293.91780525770548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-3651.1804436102739</v>
          </cell>
          <cell r="V44">
            <v>-2045.3647264067004</v>
          </cell>
          <cell r="W44">
            <v>-2253.7130000000002</v>
          </cell>
          <cell r="X44">
            <v>-1605.8157172035735</v>
          </cell>
          <cell r="Y44">
            <v>-1397.4674436102737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-18.3</v>
          </cell>
          <cell r="F47">
            <v>-18.3</v>
          </cell>
          <cell r="G47">
            <v>-18.3</v>
          </cell>
          <cell r="H47">
            <v>-18.3</v>
          </cell>
          <cell r="I47">
            <v>-18.3</v>
          </cell>
          <cell r="J47">
            <v>-18.3</v>
          </cell>
          <cell r="K47">
            <v>-18.3</v>
          </cell>
          <cell r="L47">
            <v>-18.3</v>
          </cell>
          <cell r="M47">
            <v>-18.3</v>
          </cell>
          <cell r="N47">
            <v>-18.3</v>
          </cell>
          <cell r="O47">
            <v>-18.3</v>
          </cell>
          <cell r="P47">
            <v>-18.3</v>
          </cell>
          <cell r="R47">
            <v>0</v>
          </cell>
          <cell r="S47">
            <v>0</v>
          </cell>
          <cell r="T47">
            <v>0</v>
          </cell>
          <cell r="U47">
            <v>-219.6</v>
          </cell>
          <cell r="V47">
            <v>-231.23731502155525</v>
          </cell>
          <cell r="W47">
            <v>-52.8</v>
          </cell>
          <cell r="X47">
            <v>11.637315021555196</v>
          </cell>
          <cell r="Y47">
            <v>-166.8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-297.01133465907532</v>
          </cell>
          <cell r="F50">
            <v>-296.37434835770546</v>
          </cell>
          <cell r="G50">
            <v>-289.60452780976027</v>
          </cell>
          <cell r="H50">
            <v>-290.47274561797946</v>
          </cell>
          <cell r="I50">
            <v>-285.68011548099315</v>
          </cell>
          <cell r="J50">
            <v>-286.41290315222608</v>
          </cell>
          <cell r="K50">
            <v>-286.74708607962333</v>
          </cell>
          <cell r="L50">
            <v>-274.7136956686644</v>
          </cell>
          <cell r="M50">
            <v>-285.47311347688355</v>
          </cell>
          <cell r="N50">
            <v>-281.07842169606164</v>
          </cell>
          <cell r="O50">
            <v>-282.39434635359589</v>
          </cell>
          <cell r="P50">
            <v>-275.61780525770547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-3431.580443610274</v>
          </cell>
          <cell r="V50">
            <v>-1814.127411385145</v>
          </cell>
          <cell r="W50">
            <v>-2200.913</v>
          </cell>
          <cell r="X50">
            <v>-1617.4530322251289</v>
          </cell>
          <cell r="Y50">
            <v>-1230.6674436102739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A55">
            <v>28</v>
          </cell>
          <cell r="B55" t="str">
            <v>Admissions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 t="str">
            <v>Utilisation Rate</v>
          </cell>
          <cell r="E56" t="str">
            <v>N.A.</v>
          </cell>
          <cell r="F56" t="str">
            <v>N.A.</v>
          </cell>
          <cell r="G56" t="str">
            <v>N.A.</v>
          </cell>
          <cell r="H56" t="str">
            <v>N.A.</v>
          </cell>
          <cell r="I56" t="str">
            <v>N.A.</v>
          </cell>
          <cell r="J56" t="str">
            <v>N.A.</v>
          </cell>
          <cell r="K56" t="str">
            <v>N.A.</v>
          </cell>
          <cell r="L56" t="str">
            <v>N.A.</v>
          </cell>
          <cell r="M56" t="str">
            <v>N.A.</v>
          </cell>
          <cell r="N56" t="str">
            <v>N.A.</v>
          </cell>
          <cell r="O56" t="str">
            <v>N.A.</v>
          </cell>
          <cell r="P56" t="str">
            <v>N.A.</v>
          </cell>
          <cell r="U56" t="str">
            <v>N.A.</v>
          </cell>
          <cell r="V56" t="str">
            <v>N.A.</v>
          </cell>
          <cell r="W56" t="str">
            <v>N.A.</v>
          </cell>
          <cell r="X56" t="str">
            <v>N.A.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 t="str">
            <v>N.A.</v>
          </cell>
          <cell r="F57" t="str">
            <v>N.A.</v>
          </cell>
          <cell r="G57" t="str">
            <v>N.A.</v>
          </cell>
          <cell r="H57" t="str">
            <v>N.A.</v>
          </cell>
          <cell r="I57" t="str">
            <v>N.A.</v>
          </cell>
          <cell r="J57" t="str">
            <v>N.A.</v>
          </cell>
          <cell r="K57" t="str">
            <v>N.A.</v>
          </cell>
          <cell r="L57" t="str">
            <v>N.A.</v>
          </cell>
          <cell r="M57" t="str">
            <v>N.A.</v>
          </cell>
          <cell r="N57" t="str">
            <v>N.A.</v>
          </cell>
          <cell r="O57" t="str">
            <v>N.A.</v>
          </cell>
          <cell r="P57" t="str">
            <v>N.A.</v>
          </cell>
          <cell r="R57" t="str">
            <v>N.A.</v>
          </cell>
          <cell r="S57" t="str">
            <v>N.A.</v>
          </cell>
          <cell r="T57" t="str">
            <v>N.A.</v>
          </cell>
          <cell r="U57" t="str">
            <v>N.A.</v>
          </cell>
          <cell r="V57" t="str">
            <v>N.A.</v>
          </cell>
          <cell r="W57" t="str">
            <v>N.A.</v>
          </cell>
          <cell r="X57" t="str">
            <v>N.A.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 t="str">
            <v>N.A.</v>
          </cell>
          <cell r="F58" t="str">
            <v>N.A.</v>
          </cell>
          <cell r="G58" t="str">
            <v>N.A.</v>
          </cell>
          <cell r="H58" t="str">
            <v>N.A.</v>
          </cell>
          <cell r="I58" t="str">
            <v>N.A.</v>
          </cell>
          <cell r="J58" t="str">
            <v>N.A.</v>
          </cell>
          <cell r="K58" t="str">
            <v>N.A.</v>
          </cell>
          <cell r="L58" t="str">
            <v>N.A.</v>
          </cell>
          <cell r="M58" t="str">
            <v>N.A.</v>
          </cell>
          <cell r="N58" t="str">
            <v>N.A.</v>
          </cell>
          <cell r="O58" t="str">
            <v>N.A.</v>
          </cell>
          <cell r="P58" t="str">
            <v>N.A.</v>
          </cell>
          <cell r="R58" t="str">
            <v>N.A.</v>
          </cell>
          <cell r="S58" t="str">
            <v>N.A.</v>
          </cell>
          <cell r="T58" t="str">
            <v>N.A.</v>
          </cell>
          <cell r="U58" t="str">
            <v>N.A.</v>
          </cell>
          <cell r="V58" t="str">
            <v>N.A.</v>
          </cell>
          <cell r="W58" t="str">
            <v>N.A.</v>
          </cell>
          <cell r="X58" t="str">
            <v>N.A.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 t="str">
            <v>N.A.</v>
          </cell>
          <cell r="F59" t="str">
            <v>N.A.</v>
          </cell>
          <cell r="G59" t="str">
            <v>N.A.</v>
          </cell>
          <cell r="H59" t="str">
            <v>N.A.</v>
          </cell>
          <cell r="I59" t="str">
            <v>N.A.</v>
          </cell>
          <cell r="J59" t="str">
            <v>N.A.</v>
          </cell>
          <cell r="K59" t="str">
            <v>N.A.</v>
          </cell>
          <cell r="L59" t="str">
            <v>N.A.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W59" t="str">
            <v>N.A.</v>
          </cell>
          <cell r="X59" t="str">
            <v>N.A.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 t="str">
            <v>N.A.</v>
          </cell>
          <cell r="F60" t="str">
            <v>N.A.</v>
          </cell>
          <cell r="G60" t="str">
            <v>N.A.</v>
          </cell>
          <cell r="H60" t="str">
            <v>N.A.</v>
          </cell>
          <cell r="I60" t="str">
            <v>N.A.</v>
          </cell>
          <cell r="J60" t="str">
            <v>N.A.</v>
          </cell>
          <cell r="K60" t="str">
            <v>N.A.</v>
          </cell>
          <cell r="L60" t="str">
            <v>N.A.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W60" t="str">
            <v>N.A.</v>
          </cell>
          <cell r="X60" t="str">
            <v>N.A.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 t="str">
            <v>N.A.</v>
          </cell>
          <cell r="F61" t="str">
            <v>N.A.</v>
          </cell>
          <cell r="G61" t="str">
            <v>N.A.</v>
          </cell>
          <cell r="H61" t="str">
            <v>N.A.</v>
          </cell>
          <cell r="I61" t="str">
            <v>N.A.</v>
          </cell>
          <cell r="J61" t="str">
            <v>N.A.</v>
          </cell>
          <cell r="K61" t="str">
            <v>N.A.</v>
          </cell>
          <cell r="L61" t="str">
            <v>N.A.</v>
          </cell>
          <cell r="M61" t="str">
            <v>N.A.</v>
          </cell>
          <cell r="N61" t="str">
            <v>N.A.</v>
          </cell>
          <cell r="O61" t="str">
            <v>N.A.</v>
          </cell>
          <cell r="P61" t="str">
            <v>N.A.</v>
          </cell>
          <cell r="R61" t="str">
            <v>N.A.</v>
          </cell>
          <cell r="S61" t="str">
            <v>N.A.</v>
          </cell>
          <cell r="T61" t="str">
            <v>N.A.</v>
          </cell>
          <cell r="U61" t="str">
            <v>N.A.</v>
          </cell>
          <cell r="V61" t="str">
            <v>N.A.</v>
          </cell>
          <cell r="W61" t="str">
            <v>N.A.</v>
          </cell>
          <cell r="X61" t="str">
            <v>N.A.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 t="str">
            <v>N.A.</v>
          </cell>
          <cell r="F62" t="str">
            <v>N.A.</v>
          </cell>
          <cell r="G62" t="str">
            <v>N.A.</v>
          </cell>
          <cell r="H62" t="str">
            <v>N.A.</v>
          </cell>
          <cell r="I62" t="str">
            <v>N.A.</v>
          </cell>
          <cell r="J62" t="str">
            <v>N.A.</v>
          </cell>
          <cell r="K62" t="str">
            <v>N.A.</v>
          </cell>
          <cell r="L62" t="str">
            <v>N.A.</v>
          </cell>
          <cell r="M62" t="str">
            <v>N.A.</v>
          </cell>
          <cell r="N62" t="str">
            <v>N.A.</v>
          </cell>
          <cell r="O62" t="str">
            <v>N.A.</v>
          </cell>
          <cell r="P62" t="str">
            <v>N.A.</v>
          </cell>
          <cell r="R62" t="str">
            <v>N.A.</v>
          </cell>
          <cell r="S62" t="str">
            <v>N.A.</v>
          </cell>
          <cell r="T62" t="str">
            <v>N.A.</v>
          </cell>
          <cell r="U62" t="str">
            <v>N.A.</v>
          </cell>
          <cell r="V62" t="str">
            <v>N.A.</v>
          </cell>
          <cell r="W62" t="str">
            <v>N.A.</v>
          </cell>
          <cell r="X62" t="str">
            <v>N.A.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 t="str">
            <v>N.A.</v>
          </cell>
          <cell r="F63" t="str">
            <v>N.A.</v>
          </cell>
          <cell r="G63" t="str">
            <v>N.A.</v>
          </cell>
          <cell r="H63" t="str">
            <v>N.A.</v>
          </cell>
          <cell r="I63" t="str">
            <v>N.A.</v>
          </cell>
          <cell r="J63" t="str">
            <v>N.A.</v>
          </cell>
          <cell r="K63" t="str">
            <v>N.A.</v>
          </cell>
          <cell r="L63" t="str">
            <v>N.A.</v>
          </cell>
          <cell r="M63" t="str">
            <v>N.A.</v>
          </cell>
          <cell r="N63" t="str">
            <v>N.A.</v>
          </cell>
          <cell r="O63" t="str">
            <v>N.A.</v>
          </cell>
          <cell r="P63" t="str">
            <v>N.A.</v>
          </cell>
          <cell r="Q63">
            <v>0</v>
          </cell>
          <cell r="R63" t="str">
            <v>N.A.</v>
          </cell>
          <cell r="S63" t="str">
            <v>N.A.</v>
          </cell>
          <cell r="T63" t="str">
            <v>N.A.</v>
          </cell>
          <cell r="U63" t="str">
            <v>N.A.</v>
          </cell>
          <cell r="V63" t="str">
            <v>N.A.</v>
          </cell>
          <cell r="W63" t="str">
            <v>N.A.</v>
          </cell>
          <cell r="X63" t="str">
            <v>N.A.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 t="str">
            <v>N.A.</v>
          </cell>
          <cell r="F64" t="str">
            <v>N.A.</v>
          </cell>
          <cell r="G64" t="str">
            <v>N.A.</v>
          </cell>
          <cell r="H64" t="str">
            <v>N.A.</v>
          </cell>
          <cell r="I64" t="str">
            <v>N.A.</v>
          </cell>
          <cell r="J64" t="str">
            <v>N.A.</v>
          </cell>
          <cell r="K64" t="str">
            <v>N.A.</v>
          </cell>
          <cell r="L64" t="str">
            <v>N.A.</v>
          </cell>
          <cell r="M64" t="str">
            <v>N.A.</v>
          </cell>
          <cell r="N64" t="str">
            <v>N.A.</v>
          </cell>
          <cell r="O64" t="str">
            <v>N.A.</v>
          </cell>
          <cell r="P64" t="str">
            <v>N.A.</v>
          </cell>
          <cell r="Q64">
            <v>0</v>
          </cell>
          <cell r="R64" t="str">
            <v>N.A.</v>
          </cell>
          <cell r="S64" t="str">
            <v>N.A.</v>
          </cell>
          <cell r="T64" t="str">
            <v>N.A.</v>
          </cell>
          <cell r="U64" t="str">
            <v>N.A.</v>
          </cell>
          <cell r="V64" t="str">
            <v>N.A.</v>
          </cell>
          <cell r="W64" t="str">
            <v>N.A.</v>
          </cell>
          <cell r="X64" t="str">
            <v>N.A.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 t="str">
            <v>N.A.</v>
          </cell>
          <cell r="F65" t="str">
            <v>N.A.</v>
          </cell>
          <cell r="G65" t="str">
            <v>N.A.</v>
          </cell>
          <cell r="H65" t="str">
            <v>N.A.</v>
          </cell>
          <cell r="I65" t="str">
            <v>N.A.</v>
          </cell>
          <cell r="J65" t="str">
            <v>N.A.</v>
          </cell>
          <cell r="K65" t="str">
            <v>N.A.</v>
          </cell>
          <cell r="L65" t="str">
            <v>N.A.</v>
          </cell>
          <cell r="M65" t="str">
            <v>N.A.</v>
          </cell>
          <cell r="N65" t="str">
            <v>N.A.</v>
          </cell>
          <cell r="O65" t="str">
            <v>N.A.</v>
          </cell>
          <cell r="P65" t="str">
            <v>N.A.</v>
          </cell>
          <cell r="Q65">
            <v>0</v>
          </cell>
          <cell r="R65" t="str">
            <v>N.A.</v>
          </cell>
          <cell r="S65" t="str">
            <v>N.A.</v>
          </cell>
          <cell r="T65" t="str">
            <v>N.A.</v>
          </cell>
          <cell r="U65" t="str">
            <v>N.A.</v>
          </cell>
          <cell r="V65" t="str">
            <v>N.A.</v>
          </cell>
          <cell r="W65" t="str">
            <v>N.A.</v>
          </cell>
          <cell r="X65" t="str">
            <v>N.A.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 t="str">
            <v>N.A.</v>
          </cell>
          <cell r="F66" t="str">
            <v>N.A.</v>
          </cell>
          <cell r="G66" t="str">
            <v>N.A.</v>
          </cell>
          <cell r="H66" t="str">
            <v>N.A.</v>
          </cell>
          <cell r="I66" t="str">
            <v>N.A.</v>
          </cell>
          <cell r="J66" t="str">
            <v>N.A.</v>
          </cell>
          <cell r="K66" t="str">
            <v>N.A.</v>
          </cell>
          <cell r="L66" t="str">
            <v>N.A.</v>
          </cell>
          <cell r="M66" t="str">
            <v>N.A.</v>
          </cell>
          <cell r="N66" t="str">
            <v>N.A.</v>
          </cell>
          <cell r="O66" t="str">
            <v>N.A.</v>
          </cell>
          <cell r="P66" t="str">
            <v>N.A.</v>
          </cell>
          <cell r="Q66">
            <v>0</v>
          </cell>
          <cell r="R66" t="str">
            <v>N.A.</v>
          </cell>
          <cell r="S66" t="str">
            <v>N.A.</v>
          </cell>
          <cell r="T66" t="str">
            <v>N.A.</v>
          </cell>
          <cell r="U66" t="str">
            <v>N.A.</v>
          </cell>
          <cell r="V66" t="str">
            <v>N.A.</v>
          </cell>
          <cell r="W66" t="str">
            <v>N.A.</v>
          </cell>
          <cell r="X66" t="str">
            <v>N.A.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 t="str">
            <v>N.A.</v>
          </cell>
          <cell r="F67" t="str">
            <v>N.A.</v>
          </cell>
          <cell r="G67" t="str">
            <v>N.A.</v>
          </cell>
          <cell r="H67" t="str">
            <v>N.A.</v>
          </cell>
          <cell r="I67" t="str">
            <v>N.A.</v>
          </cell>
          <cell r="J67" t="str">
            <v>N.A.</v>
          </cell>
          <cell r="K67" t="str">
            <v>N.A.</v>
          </cell>
          <cell r="L67" t="str">
            <v>N.A.</v>
          </cell>
          <cell r="M67" t="str">
            <v>N.A.</v>
          </cell>
          <cell r="N67" t="str">
            <v>N.A.</v>
          </cell>
          <cell r="O67" t="str">
            <v>N.A.</v>
          </cell>
          <cell r="P67" t="str">
            <v>N.A.</v>
          </cell>
          <cell r="Q67">
            <v>0</v>
          </cell>
          <cell r="R67" t="str">
            <v>N.A.</v>
          </cell>
          <cell r="S67" t="str">
            <v>N.A.</v>
          </cell>
          <cell r="T67" t="str">
            <v>N.A.</v>
          </cell>
          <cell r="U67" t="str">
            <v>N.A.</v>
          </cell>
          <cell r="V67" t="str">
            <v>N.A.</v>
          </cell>
          <cell r="W67" t="str">
            <v>N.A.</v>
          </cell>
          <cell r="X67" t="str">
            <v>N.A.</v>
          </cell>
          <cell r="Y67" t="str">
            <v>N.A.</v>
          </cell>
        </row>
        <row r="68">
          <cell r="B68" t="str">
            <v>No of Concession Transactions</v>
          </cell>
          <cell r="E68" t="str">
            <v>N.A.</v>
          </cell>
          <cell r="F68" t="str">
            <v>N.A.</v>
          </cell>
          <cell r="G68" t="str">
            <v>N.A.</v>
          </cell>
          <cell r="H68" t="str">
            <v>N.A.</v>
          </cell>
          <cell r="I68" t="str">
            <v>N.A.</v>
          </cell>
          <cell r="J68" t="str">
            <v>N.A.</v>
          </cell>
          <cell r="K68" t="str">
            <v>N.A.</v>
          </cell>
          <cell r="L68" t="str">
            <v>N.A.</v>
          </cell>
          <cell r="M68" t="str">
            <v>N.A.</v>
          </cell>
          <cell r="N68" t="str">
            <v>N.A.</v>
          </cell>
          <cell r="O68" t="str">
            <v>N.A.</v>
          </cell>
          <cell r="P68" t="str">
            <v>N.A.</v>
          </cell>
          <cell r="Q68">
            <v>0</v>
          </cell>
          <cell r="R68">
            <v>30.731000000000002</v>
          </cell>
          <cell r="S68">
            <v>31.731000000000002</v>
          </cell>
          <cell r="T68">
            <v>32.731000000000002</v>
          </cell>
          <cell r="U68" t="str">
            <v>N.A.</v>
          </cell>
          <cell r="V68" t="str">
            <v>N.A.</v>
          </cell>
          <cell r="W68" t="str">
            <v>N.A.</v>
          </cell>
          <cell r="X68" t="str">
            <v>N.A.</v>
          </cell>
          <cell r="Y68" t="str">
            <v>N.A.</v>
          </cell>
        </row>
        <row r="69">
          <cell r="B69" t="str">
            <v>Strike Rate %(No of Trans/Adm)</v>
          </cell>
          <cell r="E69" t="str">
            <v>N.A.</v>
          </cell>
          <cell r="F69" t="str">
            <v>N.A.</v>
          </cell>
          <cell r="G69" t="str">
            <v>N.A.</v>
          </cell>
          <cell r="H69" t="str">
            <v>N.A.</v>
          </cell>
          <cell r="I69" t="str">
            <v>N.A.</v>
          </cell>
          <cell r="J69" t="str">
            <v>N.A.</v>
          </cell>
          <cell r="K69" t="str">
            <v>N.A.</v>
          </cell>
          <cell r="L69" t="str">
            <v>N.A.</v>
          </cell>
          <cell r="M69" t="str">
            <v>N.A.</v>
          </cell>
          <cell r="N69" t="str">
            <v>N.A.</v>
          </cell>
          <cell r="O69" t="str">
            <v>N.A.</v>
          </cell>
          <cell r="P69" t="str">
            <v>N.A.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 t="str">
            <v>N.A.</v>
          </cell>
          <cell r="V69" t="str">
            <v>N.A.</v>
          </cell>
          <cell r="W69" t="str">
            <v>N.A.</v>
          </cell>
          <cell r="X69" t="str">
            <v>N.A.</v>
          </cell>
          <cell r="Y69" t="str">
            <v>N.A.</v>
          </cell>
        </row>
        <row r="70">
          <cell r="B70" t="str">
            <v>Ave Sales (Total Sale/No of Trans) (S$)</v>
          </cell>
          <cell r="E70" t="str">
            <v>N.A.</v>
          </cell>
          <cell r="F70" t="str">
            <v>N.A.</v>
          </cell>
          <cell r="G70" t="str">
            <v>N.A.</v>
          </cell>
          <cell r="H70" t="str">
            <v>N.A.</v>
          </cell>
          <cell r="I70" t="str">
            <v>N.A.</v>
          </cell>
          <cell r="J70" t="str">
            <v>N.A.</v>
          </cell>
          <cell r="K70" t="str">
            <v>N.A.</v>
          </cell>
          <cell r="L70" t="str">
            <v>N.A.</v>
          </cell>
          <cell r="M70" t="str">
            <v>N.A.</v>
          </cell>
          <cell r="N70" t="str">
            <v>N.A.</v>
          </cell>
          <cell r="O70" t="str">
            <v>N.A.</v>
          </cell>
          <cell r="P70" t="str">
            <v>N.A.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str">
            <v>N.A.</v>
          </cell>
          <cell r="V70" t="str">
            <v>N.A.</v>
          </cell>
          <cell r="W70" t="str">
            <v>N.A.</v>
          </cell>
          <cell r="X70" t="str">
            <v>N.A.</v>
          </cell>
          <cell r="Y70" t="str">
            <v>N.A.</v>
          </cell>
        </row>
        <row r="71">
          <cell r="B71" t="str">
            <v xml:space="preserve">Total Concession Combo Sales </v>
          </cell>
          <cell r="E71" t="str">
            <v>N.A.</v>
          </cell>
          <cell r="F71" t="str">
            <v>N.A.</v>
          </cell>
          <cell r="G71" t="str">
            <v>N.A.</v>
          </cell>
          <cell r="H71" t="str">
            <v>N.A.</v>
          </cell>
          <cell r="I71" t="str">
            <v>N.A.</v>
          </cell>
          <cell r="J71" t="str">
            <v>N.A.</v>
          </cell>
          <cell r="K71" t="str">
            <v>N.A.</v>
          </cell>
          <cell r="L71" t="str">
            <v>N.A.</v>
          </cell>
          <cell r="M71" t="str">
            <v>N.A.</v>
          </cell>
          <cell r="N71" t="str">
            <v>N.A.</v>
          </cell>
          <cell r="O71" t="str">
            <v>N.A.</v>
          </cell>
          <cell r="P71" t="str">
            <v>N.A.</v>
          </cell>
          <cell r="Q71">
            <v>0</v>
          </cell>
          <cell r="R71">
            <v>74.369</v>
          </cell>
          <cell r="S71">
            <v>75.369</v>
          </cell>
          <cell r="T71">
            <v>76.369</v>
          </cell>
          <cell r="U71" t="str">
            <v>N.A.</v>
          </cell>
          <cell r="V71" t="str">
            <v>N.A.</v>
          </cell>
          <cell r="W71" t="str">
            <v>N.A.</v>
          </cell>
          <cell r="X71" t="str">
            <v>N.A.</v>
          </cell>
          <cell r="Y71" t="str">
            <v>N.A.</v>
          </cell>
        </row>
        <row r="72">
          <cell r="B72" t="str">
            <v>Combo Sales as % of Total Sales</v>
          </cell>
          <cell r="E72" t="str">
            <v>N.A.</v>
          </cell>
          <cell r="F72" t="str">
            <v>N.A.</v>
          </cell>
          <cell r="G72" t="str">
            <v>N.A.</v>
          </cell>
          <cell r="H72" t="str">
            <v>N.A.</v>
          </cell>
          <cell r="I72" t="str">
            <v>N.A.</v>
          </cell>
          <cell r="J72" t="str">
            <v>N.A.</v>
          </cell>
          <cell r="K72" t="str">
            <v>N.A.</v>
          </cell>
          <cell r="L72" t="str">
            <v>N.A.</v>
          </cell>
          <cell r="M72" t="str">
            <v>N.A.</v>
          </cell>
          <cell r="N72" t="str">
            <v>N.A.</v>
          </cell>
          <cell r="O72" t="str">
            <v>N.A.</v>
          </cell>
          <cell r="P72" t="str">
            <v>N.A.</v>
          </cell>
          <cell r="Q72">
            <v>0</v>
          </cell>
          <cell r="R72" t="e">
            <v>#DIV/0!</v>
          </cell>
          <cell r="S72" t="e">
            <v>#DIV/0!</v>
          </cell>
          <cell r="T72" t="e">
            <v>#DIV/0!</v>
          </cell>
          <cell r="U72" t="str">
            <v>N.A.</v>
          </cell>
          <cell r="V72" t="str">
            <v>N.A.</v>
          </cell>
          <cell r="W72" t="str">
            <v>N.A.</v>
          </cell>
          <cell r="X72" t="str">
            <v>N.A.</v>
          </cell>
          <cell r="Y72" t="str">
            <v>N.A.</v>
          </cell>
        </row>
        <row r="73">
          <cell r="B73" t="str">
            <v>No of Payroll hours Paid</v>
          </cell>
          <cell r="E73" t="str">
            <v>N.A.</v>
          </cell>
          <cell r="F73" t="str">
            <v>N.A.</v>
          </cell>
          <cell r="G73" t="str">
            <v>N.A.</v>
          </cell>
          <cell r="H73" t="str">
            <v>N.A.</v>
          </cell>
          <cell r="I73" t="str">
            <v>N.A.</v>
          </cell>
          <cell r="J73" t="str">
            <v>N.A.</v>
          </cell>
          <cell r="K73" t="str">
            <v>N.A.</v>
          </cell>
          <cell r="L73" t="str">
            <v>N.A.</v>
          </cell>
          <cell r="M73" t="str">
            <v>N.A.</v>
          </cell>
          <cell r="N73" t="str">
            <v>N.A.</v>
          </cell>
          <cell r="O73" t="str">
            <v>N.A.</v>
          </cell>
          <cell r="P73" t="str">
            <v>N.A.</v>
          </cell>
          <cell r="Q73">
            <v>0</v>
          </cell>
          <cell r="R73">
            <v>4.5520000000000005</v>
          </cell>
          <cell r="S73">
            <v>4.5520000000000005</v>
          </cell>
          <cell r="T73">
            <v>4.5520000000000005</v>
          </cell>
          <cell r="U73" t="str">
            <v>N.A.</v>
          </cell>
          <cell r="V73" t="str">
            <v>N.A.</v>
          </cell>
          <cell r="W73" t="str">
            <v>N.A.</v>
          </cell>
          <cell r="X73" t="str">
            <v>N.A.</v>
          </cell>
          <cell r="Y73" t="str">
            <v>N.A.</v>
          </cell>
        </row>
        <row r="74">
          <cell r="B74" t="str">
            <v>Admissions/labour hour paid</v>
          </cell>
          <cell r="E74" t="str">
            <v>N.A.</v>
          </cell>
          <cell r="F74" t="str">
            <v>N.A.</v>
          </cell>
          <cell r="G74" t="str">
            <v>N.A.</v>
          </cell>
          <cell r="H74" t="str">
            <v>N.A.</v>
          </cell>
          <cell r="I74" t="str">
            <v>N.A.</v>
          </cell>
          <cell r="J74" t="str">
            <v>N.A.</v>
          </cell>
          <cell r="K74" t="str">
            <v>N.A.</v>
          </cell>
          <cell r="L74" t="str">
            <v>N.A.</v>
          </cell>
          <cell r="M74" t="str">
            <v>N.A.</v>
          </cell>
          <cell r="N74" t="str">
            <v>N.A.</v>
          </cell>
          <cell r="O74" t="str">
            <v>N.A.</v>
          </cell>
          <cell r="P74" t="str">
            <v>N.A.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 t="str">
            <v>N.A.</v>
          </cell>
          <cell r="V74" t="str">
            <v>N.A.</v>
          </cell>
          <cell r="W74" t="str">
            <v>N.A.</v>
          </cell>
          <cell r="X74" t="str">
            <v>N.A.</v>
          </cell>
          <cell r="Y74" t="str">
            <v>N.A.</v>
          </cell>
        </row>
        <row r="75">
          <cell r="A75">
            <v>0</v>
          </cell>
        </row>
        <row r="76">
          <cell r="A76">
            <v>0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T77">
            <v>0</v>
          </cell>
          <cell r="U77">
            <v>0</v>
          </cell>
          <cell r="V77">
            <v>0.5</v>
          </cell>
          <cell r="W77">
            <v>0</v>
          </cell>
          <cell r="X77">
            <v>-0.5</v>
          </cell>
          <cell r="Y77">
            <v>0</v>
          </cell>
        </row>
        <row r="78">
          <cell r="A78">
            <v>53</v>
          </cell>
          <cell r="B78" t="str">
            <v>Auditorium Rentals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0.5</v>
          </cell>
          <cell r="F82">
            <v>0.5</v>
          </cell>
          <cell r="G82">
            <v>0.5</v>
          </cell>
          <cell r="H82">
            <v>0.5</v>
          </cell>
          <cell r="I82">
            <v>0.5</v>
          </cell>
          <cell r="J82">
            <v>0.5</v>
          </cell>
          <cell r="K82">
            <v>0.5</v>
          </cell>
          <cell r="L82">
            <v>0.5</v>
          </cell>
          <cell r="M82">
            <v>0.5</v>
          </cell>
          <cell r="N82">
            <v>0.5</v>
          </cell>
          <cell r="O82">
            <v>0.5</v>
          </cell>
          <cell r="P82">
            <v>0.5</v>
          </cell>
          <cell r="T82">
            <v>0</v>
          </cell>
          <cell r="U82">
            <v>6</v>
          </cell>
          <cell r="V82">
            <v>13</v>
          </cell>
          <cell r="W82">
            <v>5.0979999999999999</v>
          </cell>
          <cell r="X82">
            <v>-7</v>
          </cell>
          <cell r="Y82">
            <v>0.90200000000000014</v>
          </cell>
        </row>
        <row r="83">
          <cell r="C83">
            <v>0</v>
          </cell>
          <cell r="E83">
            <v>0.5</v>
          </cell>
          <cell r="F83">
            <v>0.5</v>
          </cell>
          <cell r="G83">
            <v>0.5</v>
          </cell>
          <cell r="H83">
            <v>0.5</v>
          </cell>
          <cell r="I83">
            <v>0.5</v>
          </cell>
          <cell r="J83">
            <v>0.5</v>
          </cell>
          <cell r="K83">
            <v>0.5</v>
          </cell>
          <cell r="L83">
            <v>0.5</v>
          </cell>
          <cell r="M83">
            <v>0.5</v>
          </cell>
          <cell r="N83">
            <v>0.5</v>
          </cell>
          <cell r="O83">
            <v>0.5</v>
          </cell>
          <cell r="P83">
            <v>0.5</v>
          </cell>
          <cell r="R83">
            <v>0</v>
          </cell>
          <cell r="S83">
            <v>0</v>
          </cell>
          <cell r="T83">
            <v>0</v>
          </cell>
          <cell r="U83">
            <v>6</v>
          </cell>
          <cell r="V83">
            <v>13.5</v>
          </cell>
          <cell r="W83">
            <v>5.0979999999999999</v>
          </cell>
          <cell r="X83">
            <v>-7.5</v>
          </cell>
          <cell r="Y83">
            <v>0.90200000000000014</v>
          </cell>
        </row>
        <row r="84">
          <cell r="X84">
            <v>0</v>
          </cell>
          <cell r="Y84">
            <v>0</v>
          </cell>
        </row>
        <row r="85">
          <cell r="B85" t="str">
            <v>10 Other Cost</v>
          </cell>
          <cell r="X85">
            <v>0</v>
          </cell>
          <cell r="Y85">
            <v>0</v>
          </cell>
        </row>
        <row r="86">
          <cell r="A86">
            <v>61</v>
          </cell>
          <cell r="B86" t="str">
            <v>Authors Rights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X92">
            <v>0</v>
          </cell>
          <cell r="Y92">
            <v>0</v>
          </cell>
        </row>
        <row r="93">
          <cell r="B93" t="str">
            <v>11 Direct Payroll</v>
          </cell>
          <cell r="X93">
            <v>0</v>
          </cell>
          <cell r="Y93">
            <v>0</v>
          </cell>
        </row>
        <row r="94">
          <cell r="A94">
            <v>66</v>
          </cell>
          <cell r="B94" t="str">
            <v>Salaries</v>
          </cell>
          <cell r="E94">
            <v>74.415462083333338</v>
          </cell>
          <cell r="F94">
            <v>74.415462083333338</v>
          </cell>
          <cell r="G94">
            <v>74.415462083333338</v>
          </cell>
          <cell r="H94">
            <v>74.415462083333338</v>
          </cell>
          <cell r="I94">
            <v>74.415462083333338</v>
          </cell>
          <cell r="J94">
            <v>74.415462083333338</v>
          </cell>
          <cell r="K94">
            <v>76.492152083333337</v>
          </cell>
          <cell r="L94">
            <v>76.492152083333337</v>
          </cell>
          <cell r="M94">
            <v>76.492152083333337</v>
          </cell>
          <cell r="N94">
            <v>76.492152083333337</v>
          </cell>
          <cell r="O94">
            <v>76.492152083333337</v>
          </cell>
          <cell r="P94">
            <v>76.492152083333337</v>
          </cell>
          <cell r="Q94">
            <v>0</v>
          </cell>
          <cell r="T94">
            <v>0</v>
          </cell>
          <cell r="U94">
            <v>905.44568500000037</v>
          </cell>
          <cell r="V94">
            <v>921.25519499999984</v>
          </cell>
          <cell r="W94">
            <v>918.11300000000006</v>
          </cell>
          <cell r="X94">
            <v>-15.809509999999477</v>
          </cell>
          <cell r="Y94">
            <v>-12.667314999999689</v>
          </cell>
        </row>
        <row r="95">
          <cell r="A95">
            <v>67</v>
          </cell>
          <cell r="B95" t="str">
            <v>Bonus/Commission</v>
          </cell>
          <cell r="E95">
            <v>5.6696208333333331</v>
          </cell>
          <cell r="F95">
            <v>5.6696208333333331</v>
          </cell>
          <cell r="G95">
            <v>5.6696208333333331</v>
          </cell>
          <cell r="H95">
            <v>5.6696208333333331</v>
          </cell>
          <cell r="I95">
            <v>5.6696208333333331</v>
          </cell>
          <cell r="J95">
            <v>5.6696208333333331</v>
          </cell>
          <cell r="K95">
            <v>5.6696208333333331</v>
          </cell>
          <cell r="L95">
            <v>5.6696208333333331</v>
          </cell>
          <cell r="M95">
            <v>5.6696208333333331</v>
          </cell>
          <cell r="N95">
            <v>5.6696208333333331</v>
          </cell>
          <cell r="O95">
            <v>5.6696208333333331</v>
          </cell>
          <cell r="P95">
            <v>5.6696208333333331</v>
          </cell>
          <cell r="Q95">
            <v>0</v>
          </cell>
          <cell r="T95">
            <v>0</v>
          </cell>
          <cell r="U95">
            <v>68.035449999999997</v>
          </cell>
          <cell r="V95">
            <v>65.161416666666668</v>
          </cell>
          <cell r="W95">
            <v>136.34299999999999</v>
          </cell>
          <cell r="X95">
            <v>2.8740333333333297</v>
          </cell>
          <cell r="Y95">
            <v>-68.307549999999992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1.74</v>
          </cell>
          <cell r="F97">
            <v>1.74</v>
          </cell>
          <cell r="G97">
            <v>1.74</v>
          </cell>
          <cell r="H97">
            <v>1.74</v>
          </cell>
          <cell r="I97">
            <v>1.74</v>
          </cell>
          <cell r="J97">
            <v>1.74</v>
          </cell>
          <cell r="K97">
            <v>1.74</v>
          </cell>
          <cell r="L97">
            <v>1.74</v>
          </cell>
          <cell r="M97">
            <v>1.74</v>
          </cell>
          <cell r="N97">
            <v>1.74</v>
          </cell>
          <cell r="O97">
            <v>1.74</v>
          </cell>
          <cell r="P97">
            <v>1.74</v>
          </cell>
          <cell r="Q97">
            <v>0</v>
          </cell>
          <cell r="T97">
            <v>0</v>
          </cell>
          <cell r="U97">
            <v>20.88</v>
          </cell>
          <cell r="V97">
            <v>15.915600000000001</v>
          </cell>
          <cell r="W97">
            <v>25.748000000000001</v>
          </cell>
          <cell r="X97">
            <v>4.9643999999999942</v>
          </cell>
          <cell r="Y97">
            <v>-4.8680000000000057</v>
          </cell>
        </row>
        <row r="98">
          <cell r="A98">
            <v>70</v>
          </cell>
          <cell r="B98" t="str">
            <v>Miscellaneous</v>
          </cell>
          <cell r="E98">
            <v>8.94</v>
          </cell>
          <cell r="F98">
            <v>8.94</v>
          </cell>
          <cell r="G98">
            <v>6.91</v>
          </cell>
          <cell r="H98">
            <v>6.04</v>
          </cell>
          <cell r="I98">
            <v>6.04</v>
          </cell>
          <cell r="J98">
            <v>6.04</v>
          </cell>
          <cell r="K98">
            <v>6.04</v>
          </cell>
          <cell r="L98">
            <v>6.04</v>
          </cell>
          <cell r="M98">
            <v>6.04</v>
          </cell>
          <cell r="N98">
            <v>6.04</v>
          </cell>
          <cell r="O98">
            <v>6.04</v>
          </cell>
          <cell r="P98">
            <v>6.04</v>
          </cell>
          <cell r="Q98">
            <v>0</v>
          </cell>
          <cell r="T98">
            <v>0</v>
          </cell>
          <cell r="U98">
            <v>79.150000000000006</v>
          </cell>
          <cell r="V98">
            <v>90.41400000000003</v>
          </cell>
          <cell r="W98">
            <v>131.583</v>
          </cell>
          <cell r="X98">
            <v>-11.264000000000024</v>
          </cell>
          <cell r="Y98">
            <v>-52.432999999999993</v>
          </cell>
        </row>
        <row r="99">
          <cell r="C99">
            <v>0</v>
          </cell>
          <cell r="E99">
            <v>90.765082916666657</v>
          </cell>
          <cell r="F99">
            <v>90.765082916666657</v>
          </cell>
          <cell r="G99">
            <v>88.735082916666656</v>
          </cell>
          <cell r="H99">
            <v>87.865082916666665</v>
          </cell>
          <cell r="I99">
            <v>87.865082916666665</v>
          </cell>
          <cell r="J99">
            <v>87.865082916666665</v>
          </cell>
          <cell r="K99">
            <v>89.941772916666679</v>
          </cell>
          <cell r="L99">
            <v>89.941772916666679</v>
          </cell>
          <cell r="M99">
            <v>89.941772916666679</v>
          </cell>
          <cell r="N99">
            <v>89.941772916666679</v>
          </cell>
          <cell r="O99">
            <v>89.941772916666679</v>
          </cell>
          <cell r="P99">
            <v>89.941772916666679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1073.5111350000004</v>
          </cell>
          <cell r="V99">
            <v>1092.7462116666666</v>
          </cell>
          <cell r="W99">
            <v>1211.7870000000003</v>
          </cell>
          <cell r="X99">
            <v>-19.235076666666146</v>
          </cell>
          <cell r="Y99">
            <v>-138.27586499999984</v>
          </cell>
        </row>
        <row r="100">
          <cell r="Q100">
            <v>0</v>
          </cell>
          <cell r="X100">
            <v>0</v>
          </cell>
          <cell r="Y100">
            <v>0</v>
          </cell>
        </row>
        <row r="101">
          <cell r="B101" t="str">
            <v>16 Other Overhead Costs</v>
          </cell>
          <cell r="Q101">
            <v>0</v>
          </cell>
          <cell r="X101">
            <v>0</v>
          </cell>
          <cell r="Y101">
            <v>0</v>
          </cell>
        </row>
        <row r="102">
          <cell r="A102">
            <v>71</v>
          </cell>
          <cell r="B102" t="str">
            <v>Insurance (Other than employee)</v>
          </cell>
          <cell r="E102">
            <v>1.5</v>
          </cell>
          <cell r="F102">
            <v>1.5</v>
          </cell>
          <cell r="G102">
            <v>1.5</v>
          </cell>
          <cell r="H102">
            <v>1.5</v>
          </cell>
          <cell r="I102">
            <v>1.5</v>
          </cell>
          <cell r="J102">
            <v>1.5</v>
          </cell>
          <cell r="K102">
            <v>1.5</v>
          </cell>
          <cell r="L102">
            <v>1.5</v>
          </cell>
          <cell r="M102">
            <v>1.5</v>
          </cell>
          <cell r="N102">
            <v>1.5</v>
          </cell>
          <cell r="O102">
            <v>1.5</v>
          </cell>
          <cell r="P102">
            <v>1.5</v>
          </cell>
          <cell r="Q102">
            <v>0</v>
          </cell>
          <cell r="T102">
            <v>0</v>
          </cell>
          <cell r="U102">
            <v>18</v>
          </cell>
          <cell r="V102">
            <v>15.72799</v>
          </cell>
          <cell r="W102">
            <v>20.826000000000001</v>
          </cell>
          <cell r="X102">
            <v>2.2720099999999999</v>
          </cell>
          <cell r="Y102">
            <v>-2.8260000000000005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9</v>
          </cell>
          <cell r="F104">
            <v>9</v>
          </cell>
          <cell r="G104">
            <v>9</v>
          </cell>
          <cell r="H104">
            <v>9</v>
          </cell>
          <cell r="I104">
            <v>9</v>
          </cell>
          <cell r="J104">
            <v>9</v>
          </cell>
          <cell r="K104">
            <v>9</v>
          </cell>
          <cell r="L104">
            <v>9</v>
          </cell>
          <cell r="M104">
            <v>9</v>
          </cell>
          <cell r="N104">
            <v>9</v>
          </cell>
          <cell r="O104">
            <v>9</v>
          </cell>
          <cell r="P104">
            <v>9</v>
          </cell>
          <cell r="T104">
            <v>0</v>
          </cell>
          <cell r="U104">
            <v>108</v>
          </cell>
          <cell r="V104">
            <v>88.448200000000014</v>
          </cell>
          <cell r="W104">
            <v>70.89</v>
          </cell>
          <cell r="X104">
            <v>19.551799999999986</v>
          </cell>
          <cell r="Y104">
            <v>37.11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52.978819999999992</v>
          </cell>
          <cell r="W105">
            <v>132.49100000000001</v>
          </cell>
          <cell r="X105">
            <v>-40.978819999999992</v>
          </cell>
          <cell r="Y105">
            <v>-120.49100000000001</v>
          </cell>
        </row>
        <row r="106">
          <cell r="A106">
            <v>75</v>
          </cell>
          <cell r="B106" t="str">
            <v>Credit Card Charges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T106">
            <v>0</v>
          </cell>
          <cell r="U106">
            <v>0</v>
          </cell>
          <cell r="V106">
            <v>0.22500000000000001</v>
          </cell>
          <cell r="W106">
            <v>0</v>
          </cell>
          <cell r="X106">
            <v>-0.22500000000000001</v>
          </cell>
          <cell r="Y106">
            <v>0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0.5</v>
          </cell>
          <cell r="F111">
            <v>0.5</v>
          </cell>
          <cell r="G111">
            <v>0.5</v>
          </cell>
          <cell r="H111">
            <v>0.5</v>
          </cell>
          <cell r="I111">
            <v>0.5</v>
          </cell>
          <cell r="J111">
            <v>0.5</v>
          </cell>
          <cell r="K111">
            <v>0.5</v>
          </cell>
          <cell r="L111">
            <v>0.5</v>
          </cell>
          <cell r="M111">
            <v>0.5</v>
          </cell>
          <cell r="N111">
            <v>0.5</v>
          </cell>
          <cell r="O111">
            <v>0.5</v>
          </cell>
          <cell r="P111">
            <v>0.5</v>
          </cell>
          <cell r="T111">
            <v>0</v>
          </cell>
          <cell r="U111">
            <v>6</v>
          </cell>
          <cell r="V111">
            <v>3.9910000000000005</v>
          </cell>
          <cell r="W111">
            <v>3.956</v>
          </cell>
          <cell r="X111">
            <v>2.0089999999999995</v>
          </cell>
          <cell r="Y111">
            <v>2.044</v>
          </cell>
        </row>
        <row r="112">
          <cell r="A112">
            <v>81</v>
          </cell>
          <cell r="B112" t="str">
            <v>Telephone &amp; Faxes</v>
          </cell>
          <cell r="E112">
            <v>10</v>
          </cell>
          <cell r="F112">
            <v>10</v>
          </cell>
          <cell r="G112">
            <v>10</v>
          </cell>
          <cell r="H112">
            <v>10</v>
          </cell>
          <cell r="I112">
            <v>10</v>
          </cell>
          <cell r="J112">
            <v>10</v>
          </cell>
          <cell r="K112">
            <v>10</v>
          </cell>
          <cell r="L112">
            <v>10</v>
          </cell>
          <cell r="M112">
            <v>10</v>
          </cell>
          <cell r="N112">
            <v>10</v>
          </cell>
          <cell r="O112">
            <v>10</v>
          </cell>
          <cell r="P112">
            <v>10</v>
          </cell>
          <cell r="T112">
            <v>0</v>
          </cell>
          <cell r="U112">
            <v>120</v>
          </cell>
          <cell r="V112">
            <v>127.40438999999998</v>
          </cell>
          <cell r="W112">
            <v>98.522999999999996</v>
          </cell>
          <cell r="X112">
            <v>-7.404389999999978</v>
          </cell>
          <cell r="Y112">
            <v>21.477000000000004</v>
          </cell>
        </row>
        <row r="113">
          <cell r="A113">
            <v>82</v>
          </cell>
          <cell r="B113" t="str">
            <v>Stationery &amp; Printing</v>
          </cell>
          <cell r="E113">
            <v>3</v>
          </cell>
          <cell r="F113">
            <v>3</v>
          </cell>
          <cell r="G113">
            <v>3</v>
          </cell>
          <cell r="H113">
            <v>3</v>
          </cell>
          <cell r="I113">
            <v>3</v>
          </cell>
          <cell r="J113">
            <v>3</v>
          </cell>
          <cell r="K113">
            <v>3</v>
          </cell>
          <cell r="L113">
            <v>3</v>
          </cell>
          <cell r="M113">
            <v>3</v>
          </cell>
          <cell r="N113">
            <v>3</v>
          </cell>
          <cell r="O113">
            <v>3</v>
          </cell>
          <cell r="P113">
            <v>3</v>
          </cell>
          <cell r="T113">
            <v>0</v>
          </cell>
          <cell r="U113">
            <v>36</v>
          </cell>
          <cell r="V113">
            <v>34.327619999999996</v>
          </cell>
          <cell r="W113">
            <v>33.523000000000003</v>
          </cell>
          <cell r="X113">
            <v>1.672380000000004</v>
          </cell>
          <cell r="Y113">
            <v>2.4769999999999968</v>
          </cell>
        </row>
        <row r="114">
          <cell r="A114">
            <v>83</v>
          </cell>
          <cell r="B114" t="str">
            <v>Uniforms &amp; Laundry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>
            <v>84</v>
          </cell>
          <cell r="B115" t="str">
            <v>Freight</v>
          </cell>
          <cell r="E115">
            <v>2</v>
          </cell>
          <cell r="F115">
            <v>2</v>
          </cell>
          <cell r="G115">
            <v>2</v>
          </cell>
          <cell r="H115">
            <v>2</v>
          </cell>
          <cell r="I115">
            <v>2</v>
          </cell>
          <cell r="J115">
            <v>2</v>
          </cell>
          <cell r="K115">
            <v>2</v>
          </cell>
          <cell r="L115">
            <v>2</v>
          </cell>
          <cell r="M115">
            <v>2</v>
          </cell>
          <cell r="N115">
            <v>2</v>
          </cell>
          <cell r="O115">
            <v>2</v>
          </cell>
          <cell r="P115">
            <v>2</v>
          </cell>
          <cell r="T115">
            <v>0</v>
          </cell>
          <cell r="U115">
            <v>24</v>
          </cell>
          <cell r="V115">
            <v>12.452110000000003</v>
          </cell>
          <cell r="W115">
            <v>33.911999999999999</v>
          </cell>
          <cell r="X115">
            <v>11.547889999999997</v>
          </cell>
          <cell r="Y115">
            <v>-9.911999999999999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3.7499999999999999E-2</v>
          </cell>
          <cell r="F117">
            <v>3.7499999999999999E-2</v>
          </cell>
          <cell r="G117">
            <v>3.7499999999999999E-2</v>
          </cell>
          <cell r="H117">
            <v>3.7499999999999999E-2</v>
          </cell>
          <cell r="I117">
            <v>3.7499999999999999E-2</v>
          </cell>
          <cell r="J117">
            <v>3.7499999999999999E-2</v>
          </cell>
          <cell r="K117">
            <v>3.7499999999999999E-2</v>
          </cell>
          <cell r="L117">
            <v>3.7499999999999999E-2</v>
          </cell>
          <cell r="M117">
            <v>3.7499999999999999E-2</v>
          </cell>
          <cell r="N117">
            <v>3.7499999999999999E-2</v>
          </cell>
          <cell r="O117">
            <v>3.7499999999999999E-2</v>
          </cell>
          <cell r="P117">
            <v>3.7499999999999999E-2</v>
          </cell>
          <cell r="T117">
            <v>0</v>
          </cell>
          <cell r="U117">
            <v>0.45</v>
          </cell>
          <cell r="V117">
            <v>0.72349999999999992</v>
          </cell>
          <cell r="W117">
            <v>0.77700000000000002</v>
          </cell>
          <cell r="X117">
            <v>-0.27350000000000002</v>
          </cell>
          <cell r="Y117">
            <v>-0.32700000000000012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1.0326508291666667</v>
          </cell>
          <cell r="F119">
            <v>1.0326508291666667</v>
          </cell>
          <cell r="G119">
            <v>1.0123508291666667</v>
          </cell>
          <cell r="H119">
            <v>1.0036508291666666</v>
          </cell>
          <cell r="I119">
            <v>1.0036508291666666</v>
          </cell>
          <cell r="J119">
            <v>1.0036508291666666</v>
          </cell>
          <cell r="K119">
            <v>1.0244177291666667</v>
          </cell>
          <cell r="L119">
            <v>1.0244177291666667</v>
          </cell>
          <cell r="M119">
            <v>1.0244177291666667</v>
          </cell>
          <cell r="N119">
            <v>1.0244177291666667</v>
          </cell>
          <cell r="O119">
            <v>1.0244177291666667</v>
          </cell>
          <cell r="P119">
            <v>1.0244177291666667</v>
          </cell>
          <cell r="T119">
            <v>0</v>
          </cell>
          <cell r="U119">
            <v>12.235111349999997</v>
          </cell>
          <cell r="V119">
            <v>14.345000000000001</v>
          </cell>
          <cell r="W119">
            <v>11.03</v>
          </cell>
          <cell r="X119">
            <v>-2.1098886500000038</v>
          </cell>
          <cell r="Y119">
            <v>1.2051113499999975</v>
          </cell>
        </row>
        <row r="120">
          <cell r="A120">
            <v>89</v>
          </cell>
          <cell r="B120" t="str">
            <v>Security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9</v>
          </cell>
          <cell r="F124">
            <v>9</v>
          </cell>
          <cell r="G124">
            <v>9</v>
          </cell>
          <cell r="H124">
            <v>9</v>
          </cell>
          <cell r="I124">
            <v>9</v>
          </cell>
          <cell r="J124">
            <v>9</v>
          </cell>
          <cell r="K124">
            <v>9</v>
          </cell>
          <cell r="L124">
            <v>9</v>
          </cell>
          <cell r="M124">
            <v>9</v>
          </cell>
          <cell r="N124">
            <v>9</v>
          </cell>
          <cell r="O124">
            <v>9</v>
          </cell>
          <cell r="P124">
            <v>9</v>
          </cell>
          <cell r="T124">
            <v>0</v>
          </cell>
          <cell r="U124">
            <v>108</v>
          </cell>
          <cell r="V124">
            <v>145.4151</v>
          </cell>
          <cell r="W124">
            <v>288.55</v>
          </cell>
          <cell r="X124">
            <v>-37.415099999999995</v>
          </cell>
          <cell r="Y124">
            <v>-180.55</v>
          </cell>
        </row>
        <row r="125">
          <cell r="C125">
            <v>0</v>
          </cell>
          <cell r="E125">
            <v>37.070150829166664</v>
          </cell>
          <cell r="F125">
            <v>37.070150829166664</v>
          </cell>
          <cell r="G125">
            <v>37.049850829166672</v>
          </cell>
          <cell r="H125">
            <v>37.041150829166668</v>
          </cell>
          <cell r="I125">
            <v>37.041150829166668</v>
          </cell>
          <cell r="J125">
            <v>37.041150829166668</v>
          </cell>
          <cell r="K125">
            <v>37.061917729166666</v>
          </cell>
          <cell r="L125">
            <v>37.061917729166666</v>
          </cell>
          <cell r="M125">
            <v>37.061917729166666</v>
          </cell>
          <cell r="N125">
            <v>37.061917729166666</v>
          </cell>
          <cell r="O125">
            <v>37.061917729166666</v>
          </cell>
          <cell r="P125">
            <v>37.061917729166666</v>
          </cell>
          <cell r="R125">
            <v>0</v>
          </cell>
          <cell r="S125">
            <v>0</v>
          </cell>
          <cell r="T125">
            <v>0</v>
          </cell>
          <cell r="U125">
            <v>444.68511135</v>
          </cell>
          <cell r="V125">
            <v>496.03873000000004</v>
          </cell>
          <cell r="W125">
            <v>694.47800000000007</v>
          </cell>
          <cell r="X125">
            <v>-51.353618650000044</v>
          </cell>
          <cell r="Y125">
            <v>-249.79288865000007</v>
          </cell>
        </row>
        <row r="126">
          <cell r="X126">
            <v>0</v>
          </cell>
          <cell r="Y126">
            <v>0</v>
          </cell>
        </row>
        <row r="127">
          <cell r="A127">
            <v>0</v>
          </cell>
          <cell r="B127" t="str">
            <v>23 Adjustments</v>
          </cell>
          <cell r="X127">
            <v>0</v>
          </cell>
          <cell r="Y127">
            <v>0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Mgme fee income - CGV</v>
          </cell>
          <cell r="E129">
            <v>-18.3</v>
          </cell>
          <cell r="F129">
            <v>-18.3</v>
          </cell>
          <cell r="G129">
            <v>-18.3</v>
          </cell>
          <cell r="H129">
            <v>-18.3</v>
          </cell>
          <cell r="I129">
            <v>-18.3</v>
          </cell>
          <cell r="J129">
            <v>-18.3</v>
          </cell>
          <cell r="K129">
            <v>-18.3</v>
          </cell>
          <cell r="L129">
            <v>-18.3</v>
          </cell>
          <cell r="M129">
            <v>-18.3</v>
          </cell>
          <cell r="N129">
            <v>-18.3</v>
          </cell>
          <cell r="O129">
            <v>-18.3</v>
          </cell>
          <cell r="P129">
            <v>-18.3</v>
          </cell>
          <cell r="T129">
            <v>0</v>
          </cell>
          <cell r="U129">
            <v>-219.6</v>
          </cell>
          <cell r="V129">
            <v>-52.8</v>
          </cell>
          <cell r="W129">
            <v>-52.8</v>
          </cell>
          <cell r="X129">
            <v>-166.8</v>
          </cell>
          <cell r="Y129">
            <v>-166.8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>
            <v>0</v>
          </cell>
          <cell r="T132">
            <v>0</v>
          </cell>
          <cell r="X132">
            <v>0</v>
          </cell>
          <cell r="Y132">
            <v>0</v>
          </cell>
        </row>
        <row r="133">
          <cell r="C133">
            <v>0</v>
          </cell>
          <cell r="E133">
            <v>-18.3</v>
          </cell>
          <cell r="F133">
            <v>-18.3</v>
          </cell>
          <cell r="G133">
            <v>-18.3</v>
          </cell>
          <cell r="H133">
            <v>-18.3</v>
          </cell>
          <cell r="I133">
            <v>-18.3</v>
          </cell>
          <cell r="J133">
            <v>-18.3</v>
          </cell>
          <cell r="K133">
            <v>-18.3</v>
          </cell>
          <cell r="L133">
            <v>-18.3</v>
          </cell>
          <cell r="M133">
            <v>-18.3</v>
          </cell>
          <cell r="N133">
            <v>-18.3</v>
          </cell>
          <cell r="O133">
            <v>-18.3</v>
          </cell>
          <cell r="P133">
            <v>-18.3</v>
          </cell>
          <cell r="R133">
            <v>0</v>
          </cell>
          <cell r="S133">
            <v>0</v>
          </cell>
          <cell r="T133">
            <v>0</v>
          </cell>
          <cell r="U133">
            <v>-219.6</v>
          </cell>
          <cell r="V133">
            <v>-52.8</v>
          </cell>
          <cell r="W133">
            <v>-52.8</v>
          </cell>
          <cell r="X133">
            <v>-166.8</v>
          </cell>
          <cell r="Y133">
            <v>-166.8</v>
          </cell>
        </row>
      </sheetData>
      <sheetData sheetId="30">
        <row r="11">
          <cell r="A11">
            <v>1</v>
          </cell>
        </row>
      </sheetData>
      <sheetData sheetId="31">
        <row r="11">
          <cell r="A11">
            <v>1</v>
          </cell>
        </row>
      </sheetData>
      <sheetData sheetId="32">
        <row r="11">
          <cell r="A11">
            <v>1</v>
          </cell>
        </row>
      </sheetData>
      <sheetData sheetId="33">
        <row r="11">
          <cell r="A11">
            <v>1</v>
          </cell>
        </row>
      </sheetData>
      <sheetData sheetId="34">
        <row r="11">
          <cell r="A11">
            <v>1</v>
          </cell>
        </row>
      </sheetData>
      <sheetData sheetId="35">
        <row r="11">
          <cell r="A11">
            <v>1</v>
          </cell>
        </row>
      </sheetData>
      <sheetData sheetId="36">
        <row r="11">
          <cell r="A11">
            <v>1</v>
          </cell>
        </row>
      </sheetData>
      <sheetData sheetId="37">
        <row r="11">
          <cell r="A11">
            <v>1</v>
          </cell>
        </row>
      </sheetData>
      <sheetData sheetId="38">
        <row r="11">
          <cell r="A11">
            <v>1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1">
          <cell r="A11">
            <v>1</v>
          </cell>
        </row>
      </sheetData>
      <sheetData sheetId="46">
        <row r="11">
          <cell r="A11">
            <v>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1">
          <cell r="A11">
            <v>1</v>
          </cell>
        </row>
      </sheetData>
      <sheetData sheetId="53">
        <row r="11">
          <cell r="A11">
            <v>1</v>
          </cell>
        </row>
      </sheetData>
      <sheetData sheetId="54">
        <row r="11">
          <cell r="A11">
            <v>1</v>
          </cell>
        </row>
      </sheetData>
      <sheetData sheetId="55">
        <row r="11">
          <cell r="A11">
            <v>1</v>
          </cell>
        </row>
      </sheetData>
      <sheetData sheetId="56">
        <row r="11">
          <cell r="A11">
            <v>1</v>
          </cell>
        </row>
      </sheetData>
      <sheetData sheetId="57">
        <row r="11">
          <cell r="A11">
            <v>1</v>
          </cell>
        </row>
      </sheetData>
      <sheetData sheetId="58">
        <row r="11">
          <cell r="A11">
            <v>1</v>
          </cell>
        </row>
      </sheetData>
      <sheetData sheetId="59">
        <row r="11">
          <cell r="A11">
            <v>1</v>
          </cell>
        </row>
      </sheetData>
      <sheetData sheetId="60">
        <row r="11">
          <cell r="A11">
            <v>1</v>
          </cell>
        </row>
      </sheetData>
      <sheetData sheetId="61">
        <row r="11">
          <cell r="A11">
            <v>1</v>
          </cell>
        </row>
      </sheetData>
      <sheetData sheetId="62" refreshError="1"/>
      <sheetData sheetId="63" refreshError="1"/>
      <sheetData sheetId="64">
        <row r="11">
          <cell r="A11">
            <v>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1">
          <cell r="A11">
            <v>1</v>
          </cell>
        </row>
      </sheetData>
      <sheetData sheetId="79">
        <row r="11">
          <cell r="A11">
            <v>1</v>
          </cell>
        </row>
      </sheetData>
      <sheetData sheetId="80">
        <row r="11">
          <cell r="A11">
            <v>1</v>
          </cell>
        </row>
      </sheetData>
      <sheetData sheetId="81">
        <row r="11">
          <cell r="A11">
            <v>1</v>
          </cell>
        </row>
      </sheetData>
      <sheetData sheetId="82">
        <row r="11">
          <cell r="A11">
            <v>1</v>
          </cell>
        </row>
      </sheetData>
      <sheetData sheetId="83">
        <row r="11">
          <cell r="A11">
            <v>1</v>
          </cell>
        </row>
      </sheetData>
      <sheetData sheetId="84">
        <row r="11">
          <cell r="A11">
            <v>1</v>
          </cell>
        </row>
      </sheetData>
      <sheetData sheetId="85">
        <row r="11">
          <cell r="A11">
            <v>1</v>
          </cell>
        </row>
      </sheetData>
      <sheetData sheetId="86">
        <row r="11">
          <cell r="A11">
            <v>1</v>
          </cell>
        </row>
      </sheetData>
      <sheetData sheetId="87">
        <row r="11">
          <cell r="A11">
            <v>1</v>
          </cell>
        </row>
      </sheetData>
      <sheetData sheetId="88">
        <row r="11">
          <cell r="A11">
            <v>1</v>
          </cell>
        </row>
      </sheetData>
      <sheetData sheetId="89">
        <row r="11">
          <cell r="A11">
            <v>1</v>
          </cell>
        </row>
      </sheetData>
      <sheetData sheetId="90">
        <row r="11">
          <cell r="A11">
            <v>1</v>
          </cell>
        </row>
      </sheetData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  <sheetName val="Consolidation Q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schedule"/>
      <sheetName val="debt schedule-tyres"/>
      <sheetName val="debt schedule -sugar"/>
      <sheetName val="debt-IDBI"/>
      <sheetName val="debt -ICICI"/>
      <sheetName val="debt -IFCI"/>
      <sheetName val="debt-SBI"/>
      <sheetName val="debt schedule - Corpo"/>
      <sheetName val="debt schedule - JKDPL"/>
      <sheetName val="debt-sugar"/>
      <sheetName val="debt -tyres"/>
      <sheetName val="debt - Corp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CoverSheet"/>
      <sheetName val="debt_schedule"/>
      <sheetName val="debt_schedule-tyres"/>
      <sheetName val="debt_schedule_-sugar"/>
      <sheetName val="debt_-ICICI"/>
      <sheetName val="debt_-IFCI"/>
      <sheetName val="debt_schedule_-_Corpo"/>
      <sheetName val="debt_schedule_-_JKDPL"/>
      <sheetName val="debt_-tyres"/>
      <sheetName val="debt_-_Corp"/>
      <sheetName val="Head_Office-Bud"/>
      <sheetName val="aug stat 06 (2)"/>
      <sheetName val="14-17-23-25  "/>
      <sheetName val="debt_schedule1"/>
      <sheetName val="debt_schedule-tyres1"/>
      <sheetName val="debt_schedule_-sugar1"/>
      <sheetName val="debt_-ICICI1"/>
      <sheetName val="debt_-IFCI1"/>
      <sheetName val="debt_schedule_-_Corpo1"/>
      <sheetName val="debt_schedule_-_JKDPL1"/>
      <sheetName val="debt_-tyres1"/>
      <sheetName val="debt_-_Corp1"/>
      <sheetName val="Head_Office-Bud1"/>
      <sheetName val="aug_stat_06_(2)"/>
      <sheetName val="14-17-23-25__"/>
      <sheetName val="Ann -1"/>
      <sheetName val="Returns (2)"/>
      <sheetName val="Customers Wise"/>
      <sheetName val="OTY"/>
      <sheetName val="GL Tally UpTo Dec'19"/>
      <sheetName val="Sheet1"/>
      <sheetName val="Invoice wise Pivot"/>
      <sheetName val="Sheet3"/>
      <sheetName val="Sheet4"/>
      <sheetName val="Sheet5"/>
      <sheetName val="Master Reg"/>
      <sheetName val="Cut Off"/>
      <sheetName val="Sale Dumpsite Billing PvTable"/>
      <sheetName val="Liquidated Damages"/>
      <sheetName val="Sales-Rate Difference"/>
      <sheetName val="Bend Transfer To Job Work"/>
      <sheetName val="ANN 3"/>
      <sheetName val="Sheet2"/>
      <sheetName val="Chq Payout"/>
      <sheetName val="LOCAL RATES"/>
      <sheetName val="ANALYSIS"/>
      <sheetName val="Interest 30-11-01 not PA 7%"/>
      <sheetName val="x-rate"/>
      <sheetName val="bs &amp; P&amp;l (2)"/>
      <sheetName val="Assumptions"/>
      <sheetName val="Data"/>
      <sheetName val="IMPACT"/>
      <sheetName val="ACCOUNTS"/>
      <sheetName val="인사현황(부서)"/>
      <sheetName val="P&amp;LSC"/>
      <sheetName val="Itercompany"/>
      <sheetName val="CF"/>
      <sheetName val="15"/>
      <sheetName val="Additions9900"/>
      <sheetName val="Challan"/>
      <sheetName val="Macrow"/>
      <sheetName val="BSHEET"/>
      <sheetName val="NC"/>
      <sheetName val="Ageing Due Date"/>
      <sheetName val="Prov. Comm. Inv."/>
      <sheetName val="Cover Page"/>
      <sheetName val="Control"/>
      <sheetName val="PV"/>
      <sheetName val="427"/>
      <sheetName val=" new Codes used"/>
      <sheetName val="MASTER"/>
      <sheetName val="Trial - City"/>
      <sheetName val="Trial - Space"/>
      <sheetName val="Trial - VL"/>
      <sheetName val="gen"/>
      <sheetName val="Validate Circuits"/>
      <sheetName val="Introduction"/>
      <sheetName val="Lg"/>
      <sheetName val="ISO Currency Codes"/>
      <sheetName val="Do not delete"/>
      <sheetName val="Financial Codes"/>
      <sheetName val="Financials"/>
      <sheetName val="Cabinet details"/>
      <sheetName val="XLR_NoRangeSheet"/>
      <sheetName val="Input-Pack Level"/>
      <sheetName val="CII"/>
      <sheetName val="2300"/>
      <sheetName val="Route 1"/>
      <sheetName val="TBAL9697 -group wise  sdpl"/>
      <sheetName val="inputs"/>
      <sheetName val="BUSREP"/>
      <sheetName val="PL"/>
      <sheetName val="Settings"/>
      <sheetName val="#REF"/>
      <sheetName val="MODEL"/>
      <sheetName val="BBH"/>
      <sheetName val="Headcount"/>
      <sheetName val="SCEL Funding"/>
      <sheetName val="CC_map"/>
      <sheetName val="Class_map"/>
      <sheetName val="HOUSE RENT DEPO."/>
      <sheetName val="Bb+Hubs Costs Split NORMALISED"/>
      <sheetName val="Final"/>
      <sheetName val="Summary-Price_New"/>
      <sheetName val="AN-2K"/>
      <sheetName val="Switch V16"/>
      <sheetName val="pl-41a"/>
      <sheetName val="CHG97_98"/>
      <sheetName val="Categ"/>
      <sheetName val="WORKINGS"/>
      <sheetName val="Model (Telecorp)"/>
      <sheetName val="Regions"/>
      <sheetName val="cap"/>
      <sheetName val="Other Revenue Items"/>
      <sheetName val="Mapping-Table "/>
      <sheetName val="TG"/>
      <sheetName val="P&amp;L Input Sheet (TG)"/>
      <sheetName val="Debt schedule-JKI"/>
      <sheetName val="Sch4_14"/>
      <sheetName val="Sch1_3"/>
      <sheetName val="Bal.Sht.Sch."/>
      <sheetName val="Challan-Service"/>
      <sheetName val="SAP GL master"/>
      <sheetName val="Pg_6_7_8_9"/>
      <sheetName val="machines"/>
      <sheetName val="dbase"/>
      <sheetName val="Schedules"/>
      <sheetName val="2003 by Month"/>
      <sheetName val="Input-Pack_Level"/>
      <sheetName val="Debt_schedule-JKI"/>
      <sheetName val="Ann_-1"/>
      <sheetName val="debt_schedule2"/>
      <sheetName val="debt_schedule-tyres2"/>
      <sheetName val="debt_schedule_-sugar2"/>
      <sheetName val="debt_-ICICI2"/>
      <sheetName val="debt_-IFCI2"/>
      <sheetName val="debt_schedule_-_Corpo2"/>
      <sheetName val="debt_schedule_-_JKDPL2"/>
      <sheetName val="debt_-tyres2"/>
      <sheetName val="debt_-_Corp2"/>
      <sheetName val="Head_Office-Bud2"/>
      <sheetName val="Input-Pack_Level1"/>
      <sheetName val="Debt_schedule-JKI1"/>
      <sheetName val="14-17-23-25__1"/>
      <sheetName val="Ann_-11"/>
      <sheetName val="aug_stat_06_(2)1"/>
      <sheetName val="debt_schedule3"/>
      <sheetName val="debt_schedule-tyres3"/>
      <sheetName val="debt_schedule_-sugar3"/>
      <sheetName val="debt_-ICICI3"/>
      <sheetName val="debt_-IFCI3"/>
      <sheetName val="debt_schedule_-_Corpo3"/>
      <sheetName val="debt_schedule_-_JKDPL3"/>
      <sheetName val="debt_-tyres3"/>
      <sheetName val="debt_-_Corp3"/>
      <sheetName val="Head_Office-Bud3"/>
      <sheetName val="Input-Pack_Level2"/>
      <sheetName val="Debt_schedule-JKI2"/>
      <sheetName val="14-17-23-25__2"/>
      <sheetName val="Ann_-12"/>
      <sheetName val="aug_stat_06_(2)2"/>
      <sheetName val="debt_schedule4"/>
      <sheetName val="debt_schedule-tyres4"/>
      <sheetName val="debt_schedule_-sugar4"/>
      <sheetName val="debt_-ICICI4"/>
      <sheetName val="debt_-IFCI4"/>
      <sheetName val="debt_schedule_-_Corpo4"/>
      <sheetName val="debt_schedule_-_JKDPL4"/>
      <sheetName val="debt_-tyres4"/>
      <sheetName val="debt_-_Corp4"/>
      <sheetName val="Head_Office-Bud4"/>
      <sheetName val="Input-Pack_Level3"/>
      <sheetName val="Debt_schedule-JKI3"/>
      <sheetName val="14-17-23-25__3"/>
      <sheetName val="Ann_-13"/>
      <sheetName val="aug_stat_06_(2)3"/>
      <sheetName val="debt_schedule5"/>
      <sheetName val="debt_schedule-tyres5"/>
      <sheetName val="debt_schedule_-sugar5"/>
      <sheetName val="debt_-ICICI5"/>
      <sheetName val="debt_-IFCI5"/>
      <sheetName val="debt_schedule_-_Corpo5"/>
      <sheetName val="debt_schedule_-_JKDPL5"/>
      <sheetName val="debt_-tyres5"/>
      <sheetName val="debt_-_Corp5"/>
      <sheetName val="Head_Office-Bud5"/>
      <sheetName val="Input-Pack_Level4"/>
      <sheetName val="Debt_schedule-JKI4"/>
      <sheetName val="14-17-23-25__4"/>
      <sheetName val="Ann_-14"/>
      <sheetName val="aug_stat_06_(2)4"/>
      <sheetName val="debt_schedule6"/>
      <sheetName val="debt_schedule-tyres6"/>
      <sheetName val="debt_schedule_-sugar6"/>
      <sheetName val="debt_-ICICI6"/>
      <sheetName val="debt_-IFCI6"/>
      <sheetName val="debt_schedule_-_Corpo6"/>
      <sheetName val="debt_schedule_-_JKDPL6"/>
      <sheetName val="debt_-tyres6"/>
      <sheetName val="debt_-_Corp6"/>
      <sheetName val="Head_Office-Bud6"/>
      <sheetName val="Input-Pack_Level5"/>
      <sheetName val="Debt_schedule-JKI5"/>
      <sheetName val="14-17-23-25__5"/>
      <sheetName val="Ann_-15"/>
      <sheetName val="aug_stat_06_(2)5"/>
      <sheetName val="Lists (Hide)"/>
      <sheetName val="UBRS"/>
      <sheetName val="UBSR"/>
      <sheetName val="KPM DT"/>
      <sheetName val="PPAC SUM"/>
      <sheetName val="cdipts"/>
      <sheetName val="employee"/>
      <sheetName val="CS"/>
      <sheetName val="S.Tax Reco"/>
      <sheetName val="PL CE"/>
      <sheetName val="PL FR"/>
      <sheetName val="RW"/>
      <sheetName val="PL UK"/>
      <sheetName val="FilterTable"/>
      <sheetName val="Main_Menu"/>
      <sheetName val="LINKS"/>
      <sheetName val="NonUnitItems"/>
      <sheetName val="CostTable"/>
      <sheetName val="PriceTable"/>
      <sheetName val="Masters"/>
      <sheetName val="Customer Master"/>
      <sheetName val="Database"/>
      <sheetName val="Invoice Entry"/>
      <sheetName val="Validation"/>
      <sheetName val="A-General"/>
      <sheetName val="PROFC"/>
      <sheetName val="PROFE"/>
      <sheetName val="환율"/>
      <sheetName val="R - Seats Requirement"/>
      <sheetName val="Historical Data 1"/>
      <sheetName val="FORECAST"/>
      <sheetName val="New Business"/>
      <sheetName val="Seat Data"/>
      <sheetName val="Checklist"/>
      <sheetName val="Cash Flow - CY Workings"/>
      <sheetName val="april200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Costing"/>
      <sheetName val="D&amp;C_Pkg"/>
      <sheetName val="CostDetails"/>
      <sheetName val="sortpart"/>
      <sheetName val="Yarn Rates"/>
      <sheetName val="QUATERLY YARN RATES"/>
      <sheetName val="Input_B_V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Banquet Equipment"/>
      <sheetName val="China Bqt RS ADD RM STAFF"/>
      <sheetName val="Cleaning Equipment"/>
      <sheetName val="Dining Accessories"/>
      <sheetName val="Engineering Tools"/>
      <sheetName val="Glassware BQT STAFF"/>
      <sheetName val="Minor Electrical Equipment"/>
      <sheetName val="Guestr.HSK Acc"/>
      <sheetName val="Material Trucks"/>
      <sheetName val="Office Furniture"/>
      <sheetName val="Recreational Equipment"/>
      <sheetName val="Shelving &amp; Lockers"/>
      <sheetName val="Silverware"/>
      <sheetName val="Uniforms"/>
      <sheetName val="Vehicles"/>
      <sheetName val="F&amp;B Special"/>
    </sheetNames>
    <sheetDataSet>
      <sheetData sheetId="0"/>
      <sheetData sheetId="1" refreshError="1">
        <row r="4">
          <cell r="L4" t="str">
            <v>Key -2</v>
          </cell>
          <cell r="M4" t="str">
            <v>Dyes</v>
          </cell>
          <cell r="N4" t="str">
            <v>Chemical</v>
          </cell>
          <cell r="O4" t="str">
            <v>PTR</v>
          </cell>
          <cell r="P4" t="str">
            <v>CDR</v>
          </cell>
          <cell r="Q4" t="str">
            <v>FSG</v>
          </cell>
          <cell r="R4" t="str">
            <v>Dyes</v>
          </cell>
          <cell r="S4" t="str">
            <v>Chem</v>
          </cell>
          <cell r="T4" t="str">
            <v>Total</v>
          </cell>
          <cell r="U4" t="str">
            <v>Pkg Cost</v>
          </cell>
        </row>
        <row r="5">
          <cell r="L5" t="str">
            <v>ExportTargetWaverlyUSABath76x142L</v>
          </cell>
          <cell r="M5">
            <v>1.21</v>
          </cell>
          <cell r="N5">
            <v>9.81</v>
          </cell>
          <cell r="R5">
            <v>1.21</v>
          </cell>
          <cell r="S5">
            <v>9.81</v>
          </cell>
          <cell r="T5">
            <v>11.02</v>
          </cell>
          <cell r="U5">
            <v>8.43</v>
          </cell>
        </row>
        <row r="6">
          <cell r="L6" t="str">
            <v>ExportTargetWaverlyUSABath76x142M</v>
          </cell>
          <cell r="M6">
            <v>4.22</v>
          </cell>
          <cell r="N6">
            <v>9.7200000000000006</v>
          </cell>
          <cell r="R6">
            <v>4.22</v>
          </cell>
          <cell r="S6">
            <v>9.7200000000000006</v>
          </cell>
          <cell r="T6">
            <v>13.940000000000001</v>
          </cell>
          <cell r="U6">
            <v>8.43</v>
          </cell>
        </row>
        <row r="7">
          <cell r="L7" t="str">
            <v>ExportTargetWaverlyUSABath76x142D</v>
          </cell>
          <cell r="M7">
            <v>14.66</v>
          </cell>
          <cell r="N7">
            <v>9.98</v>
          </cell>
          <cell r="R7">
            <v>14.66</v>
          </cell>
          <cell r="S7">
            <v>9.98</v>
          </cell>
          <cell r="T7">
            <v>24.64</v>
          </cell>
          <cell r="U7">
            <v>8.43</v>
          </cell>
        </row>
        <row r="8">
          <cell r="L8" t="str">
            <v>ExportTargetWaverlyUSAHand41x76L</v>
          </cell>
          <cell r="M8">
            <v>1.21</v>
          </cell>
          <cell r="N8">
            <v>9.81</v>
          </cell>
          <cell r="R8">
            <v>1.21</v>
          </cell>
          <cell r="S8">
            <v>9.81</v>
          </cell>
          <cell r="T8">
            <v>11.02</v>
          </cell>
          <cell r="U8">
            <v>19.39</v>
          </cell>
        </row>
        <row r="9">
          <cell r="L9" t="str">
            <v>ExportTargetWaverlyUSAHand41x76M</v>
          </cell>
          <cell r="M9">
            <v>4.22</v>
          </cell>
          <cell r="N9">
            <v>9.7200000000000006</v>
          </cell>
          <cell r="R9">
            <v>4.22</v>
          </cell>
          <cell r="S9">
            <v>9.7200000000000006</v>
          </cell>
          <cell r="T9">
            <v>13.940000000000001</v>
          </cell>
          <cell r="U9">
            <v>19.39</v>
          </cell>
        </row>
        <row r="10">
          <cell r="L10" t="str">
            <v>ExportTargetWaverlyUSAHand41x76D</v>
          </cell>
          <cell r="M10">
            <v>14.66</v>
          </cell>
          <cell r="N10">
            <v>9.98</v>
          </cell>
          <cell r="R10">
            <v>14.66</v>
          </cell>
          <cell r="S10">
            <v>9.98</v>
          </cell>
          <cell r="T10">
            <v>24.64</v>
          </cell>
          <cell r="U10">
            <v>19.39</v>
          </cell>
        </row>
        <row r="11">
          <cell r="L11" t="str">
            <v>ExportTargetWaverlyUSAWash30x30L</v>
          </cell>
          <cell r="M11">
            <v>1.21</v>
          </cell>
          <cell r="N11">
            <v>9.81</v>
          </cell>
          <cell r="R11">
            <v>1.21</v>
          </cell>
          <cell r="S11">
            <v>9.81</v>
          </cell>
          <cell r="T11">
            <v>11.02</v>
          </cell>
          <cell r="U11">
            <v>49.08</v>
          </cell>
        </row>
        <row r="12">
          <cell r="L12" t="str">
            <v>ExportTargetWaverlyUSAWash30x30M</v>
          </cell>
          <cell r="M12">
            <v>4.22</v>
          </cell>
          <cell r="N12">
            <v>9.7200000000000006</v>
          </cell>
          <cell r="R12">
            <v>4.22</v>
          </cell>
          <cell r="S12">
            <v>9.7200000000000006</v>
          </cell>
          <cell r="T12">
            <v>13.940000000000001</v>
          </cell>
          <cell r="U12">
            <v>49.08</v>
          </cell>
        </row>
        <row r="13">
          <cell r="L13" t="str">
            <v>ExportTargetWaverlyUSAWash30x30D</v>
          </cell>
          <cell r="M13">
            <v>14.66</v>
          </cell>
          <cell r="N13">
            <v>9.98</v>
          </cell>
          <cell r="R13">
            <v>14.66</v>
          </cell>
          <cell r="S13">
            <v>9.98</v>
          </cell>
          <cell r="T13">
            <v>24.64</v>
          </cell>
          <cell r="U13">
            <v>49.08</v>
          </cell>
        </row>
        <row r="14">
          <cell r="L14" t="str">
            <v>ExportWalmartHome TrendsUSABath76x132L</v>
          </cell>
          <cell r="M14">
            <v>1.21</v>
          </cell>
          <cell r="N14">
            <v>9.81</v>
          </cell>
          <cell r="R14">
            <v>1.21</v>
          </cell>
          <cell r="S14">
            <v>9.81</v>
          </cell>
          <cell r="T14">
            <v>11.02</v>
          </cell>
          <cell r="U14">
            <v>7.81</v>
          </cell>
        </row>
        <row r="15">
          <cell r="L15" t="str">
            <v>ExportWalmartHome TrendsUSABath76x132M</v>
          </cell>
          <cell r="M15">
            <v>4.22</v>
          </cell>
          <cell r="N15">
            <v>9.7200000000000006</v>
          </cell>
          <cell r="R15">
            <v>4.22</v>
          </cell>
          <cell r="S15">
            <v>9.7200000000000006</v>
          </cell>
          <cell r="T15">
            <v>13.940000000000001</v>
          </cell>
          <cell r="U15">
            <v>7.81</v>
          </cell>
        </row>
        <row r="16">
          <cell r="L16" t="str">
            <v>ExportWalmartHome TrendsUSABath76x132D</v>
          </cell>
          <cell r="M16">
            <v>14.66</v>
          </cell>
          <cell r="N16">
            <v>9.98</v>
          </cell>
          <cell r="R16">
            <v>14.66</v>
          </cell>
          <cell r="S16">
            <v>9.98</v>
          </cell>
          <cell r="T16">
            <v>24.64</v>
          </cell>
          <cell r="U16">
            <v>7.81</v>
          </cell>
        </row>
        <row r="17">
          <cell r="L17" t="str">
            <v>ExportWalmartHome TrendsUSAHand41x69L</v>
          </cell>
          <cell r="M17">
            <v>1.21</v>
          </cell>
          <cell r="N17">
            <v>9.81</v>
          </cell>
          <cell r="R17">
            <v>1.21</v>
          </cell>
          <cell r="S17">
            <v>9.81</v>
          </cell>
          <cell r="T17">
            <v>11.02</v>
          </cell>
          <cell r="U17">
            <v>13.26</v>
          </cell>
        </row>
        <row r="18">
          <cell r="L18" t="str">
            <v>ExportWalmartHome TrendsUSAHand41x69M</v>
          </cell>
          <cell r="M18">
            <v>4.22</v>
          </cell>
          <cell r="N18">
            <v>9.7200000000000006</v>
          </cell>
          <cell r="R18">
            <v>4.22</v>
          </cell>
          <cell r="S18">
            <v>9.7200000000000006</v>
          </cell>
          <cell r="T18">
            <v>13.940000000000001</v>
          </cell>
          <cell r="U18">
            <v>13.26</v>
          </cell>
        </row>
        <row r="19">
          <cell r="L19" t="str">
            <v>ExportWalmartHome TrendsUSAHand41x69D</v>
          </cell>
          <cell r="M19">
            <v>14.66</v>
          </cell>
          <cell r="N19">
            <v>9.98</v>
          </cell>
          <cell r="R19">
            <v>14.66</v>
          </cell>
          <cell r="S19">
            <v>9.98</v>
          </cell>
          <cell r="T19">
            <v>24.64</v>
          </cell>
          <cell r="U19">
            <v>13.26</v>
          </cell>
        </row>
        <row r="20">
          <cell r="L20" t="str">
            <v>ExportWalmartHome TrendsUSAWash33x33L</v>
          </cell>
          <cell r="M20">
            <v>1.21</v>
          </cell>
          <cell r="N20">
            <v>9.81</v>
          </cell>
          <cell r="R20">
            <v>1.21</v>
          </cell>
          <cell r="S20">
            <v>9.81</v>
          </cell>
          <cell r="T20">
            <v>11.02</v>
          </cell>
          <cell r="U20">
            <v>49.58</v>
          </cell>
        </row>
        <row r="21">
          <cell r="L21" t="str">
            <v>ExportWalmartHome TrendsUSAWash33x33M</v>
          </cell>
          <cell r="M21">
            <v>4.22</v>
          </cell>
          <cell r="N21">
            <v>9.7200000000000006</v>
          </cell>
          <cell r="R21">
            <v>4.22</v>
          </cell>
          <cell r="S21">
            <v>9.7200000000000006</v>
          </cell>
          <cell r="T21">
            <v>13.940000000000001</v>
          </cell>
          <cell r="U21">
            <v>49.58</v>
          </cell>
        </row>
        <row r="22">
          <cell r="L22" t="str">
            <v>ExportWalmartHome TrendsUSAWash33x33D</v>
          </cell>
          <cell r="M22">
            <v>14.66</v>
          </cell>
          <cell r="N22">
            <v>9.98</v>
          </cell>
          <cell r="R22">
            <v>14.66</v>
          </cell>
          <cell r="S22">
            <v>9.98</v>
          </cell>
          <cell r="T22">
            <v>24.64</v>
          </cell>
          <cell r="U22">
            <v>49.58</v>
          </cell>
        </row>
        <row r="23">
          <cell r="L23" t="str">
            <v>ExportMill WorkingCannon LandmarkUSABath76x137L</v>
          </cell>
          <cell r="M23">
            <v>1.21</v>
          </cell>
          <cell r="N23">
            <v>9.81</v>
          </cell>
          <cell r="R23">
            <v>1.21</v>
          </cell>
          <cell r="S23">
            <v>9.81</v>
          </cell>
          <cell r="T23">
            <v>11.02</v>
          </cell>
          <cell r="U23">
            <v>12.35</v>
          </cell>
        </row>
        <row r="24">
          <cell r="L24" t="str">
            <v>ExportMill WorkingCannon LandmarkUSABath76x137M</v>
          </cell>
          <cell r="M24">
            <v>4.22</v>
          </cell>
          <cell r="N24">
            <v>9.7200000000000006</v>
          </cell>
          <cell r="R24">
            <v>4.22</v>
          </cell>
          <cell r="S24">
            <v>9.7200000000000006</v>
          </cell>
          <cell r="T24">
            <v>13.940000000000001</v>
          </cell>
          <cell r="U24">
            <v>12.35</v>
          </cell>
        </row>
        <row r="25">
          <cell r="L25" t="str">
            <v>ExportMill WorkingCannon LandmarkUSABath76x137D</v>
          </cell>
          <cell r="M25">
            <v>14.66</v>
          </cell>
          <cell r="N25">
            <v>9.98</v>
          </cell>
          <cell r="R25">
            <v>14.66</v>
          </cell>
          <cell r="S25">
            <v>9.98</v>
          </cell>
          <cell r="T25">
            <v>24.64</v>
          </cell>
          <cell r="U25">
            <v>12.35</v>
          </cell>
        </row>
        <row r="26">
          <cell r="L26" t="str">
            <v>ExportMill WorkingCannon LandmarkUSAHand41x76L</v>
          </cell>
          <cell r="M26">
            <v>1.21</v>
          </cell>
          <cell r="N26">
            <v>9.81</v>
          </cell>
          <cell r="R26">
            <v>1.21</v>
          </cell>
          <cell r="S26">
            <v>9.81</v>
          </cell>
          <cell r="T26">
            <v>11.02</v>
          </cell>
          <cell r="U26">
            <v>24.95</v>
          </cell>
        </row>
        <row r="27">
          <cell r="L27" t="str">
            <v>ExportMill WorkingCannon LandmarkUSAHand41x76M</v>
          </cell>
          <cell r="M27">
            <v>4.22</v>
          </cell>
          <cell r="N27">
            <v>9.7200000000000006</v>
          </cell>
          <cell r="R27">
            <v>4.22</v>
          </cell>
          <cell r="S27">
            <v>9.7200000000000006</v>
          </cell>
          <cell r="T27">
            <v>13.940000000000001</v>
          </cell>
          <cell r="U27">
            <v>24.95</v>
          </cell>
        </row>
        <row r="28">
          <cell r="L28" t="str">
            <v>ExportMill WorkingCannon LandmarkUSAHand41x76D</v>
          </cell>
          <cell r="M28">
            <v>14.66</v>
          </cell>
          <cell r="N28">
            <v>9.98</v>
          </cell>
          <cell r="R28">
            <v>14.66</v>
          </cell>
          <cell r="S28">
            <v>9.98</v>
          </cell>
          <cell r="T28">
            <v>24.64</v>
          </cell>
          <cell r="U28">
            <v>24.95</v>
          </cell>
        </row>
        <row r="29">
          <cell r="L29" t="str">
            <v>ExportMill WorkingCannon LandmarkUSAWash33x33L</v>
          </cell>
          <cell r="M29">
            <v>1.21</v>
          </cell>
          <cell r="N29">
            <v>9.81</v>
          </cell>
          <cell r="R29">
            <v>1.21</v>
          </cell>
          <cell r="S29">
            <v>9.81</v>
          </cell>
          <cell r="T29">
            <v>11.02</v>
          </cell>
          <cell r="U29">
            <v>47.86</v>
          </cell>
        </row>
        <row r="30">
          <cell r="L30" t="str">
            <v>ExportMill WorkingCannon LandmarkUSAWash33x33M</v>
          </cell>
          <cell r="M30">
            <v>4.22</v>
          </cell>
          <cell r="N30">
            <v>9.7200000000000006</v>
          </cell>
          <cell r="R30">
            <v>4.22</v>
          </cell>
          <cell r="S30">
            <v>9.7200000000000006</v>
          </cell>
          <cell r="T30">
            <v>13.940000000000001</v>
          </cell>
          <cell r="U30">
            <v>47.86</v>
          </cell>
        </row>
        <row r="31">
          <cell r="L31" t="str">
            <v>ExportMill WorkingCannon LandmarkUSAWash33x33D</v>
          </cell>
          <cell r="M31">
            <v>14.66</v>
          </cell>
          <cell r="N31">
            <v>9.98</v>
          </cell>
          <cell r="R31">
            <v>14.66</v>
          </cell>
          <cell r="S31">
            <v>9.98</v>
          </cell>
          <cell r="T31">
            <v>24.64</v>
          </cell>
          <cell r="U31">
            <v>47.86</v>
          </cell>
        </row>
        <row r="32">
          <cell r="L32" t="str">
            <v>ExportMill WorkingCannon MilestoneUSABath76x137L</v>
          </cell>
          <cell r="M32">
            <v>1.21</v>
          </cell>
          <cell r="N32">
            <v>9.81</v>
          </cell>
          <cell r="R32">
            <v>1.21</v>
          </cell>
          <cell r="S32">
            <v>9.81</v>
          </cell>
          <cell r="T32">
            <v>11.02</v>
          </cell>
          <cell r="U32">
            <v>12.35</v>
          </cell>
        </row>
        <row r="33">
          <cell r="L33" t="str">
            <v>ExportMill WorkingCannon MilestoneUSABath76x137M</v>
          </cell>
          <cell r="M33">
            <v>4.22</v>
          </cell>
          <cell r="N33">
            <v>9.7200000000000006</v>
          </cell>
          <cell r="R33">
            <v>4.22</v>
          </cell>
          <cell r="S33">
            <v>9.7200000000000006</v>
          </cell>
          <cell r="T33">
            <v>13.940000000000001</v>
          </cell>
          <cell r="U33">
            <v>12.35</v>
          </cell>
        </row>
        <row r="34">
          <cell r="L34" t="str">
            <v>ExportMill WorkingCannon MilestoneUSABath76x137D</v>
          </cell>
          <cell r="M34">
            <v>14.66</v>
          </cell>
          <cell r="N34">
            <v>9.98</v>
          </cell>
          <cell r="R34">
            <v>14.66</v>
          </cell>
          <cell r="S34">
            <v>9.98</v>
          </cell>
          <cell r="T34">
            <v>24.64</v>
          </cell>
          <cell r="U34">
            <v>12.35</v>
          </cell>
        </row>
        <row r="35">
          <cell r="L35" t="str">
            <v>ExportMill WorkingCannon MilestoneUSAHand41x76L</v>
          </cell>
          <cell r="M35">
            <v>1.21</v>
          </cell>
          <cell r="N35">
            <v>9.81</v>
          </cell>
          <cell r="R35">
            <v>1.21</v>
          </cell>
          <cell r="S35">
            <v>9.81</v>
          </cell>
          <cell r="T35">
            <v>11.02</v>
          </cell>
          <cell r="U35">
            <v>24.95</v>
          </cell>
        </row>
        <row r="36">
          <cell r="L36" t="str">
            <v>ExportMill WorkingCannon MilestoneUSAHand41x76M</v>
          </cell>
          <cell r="M36">
            <v>4.22</v>
          </cell>
          <cell r="N36">
            <v>9.7200000000000006</v>
          </cell>
          <cell r="R36">
            <v>4.22</v>
          </cell>
          <cell r="S36">
            <v>9.7200000000000006</v>
          </cell>
          <cell r="T36">
            <v>13.940000000000001</v>
          </cell>
          <cell r="U36">
            <v>24.95</v>
          </cell>
        </row>
        <row r="37">
          <cell r="L37" t="str">
            <v>ExportMill WorkingCannon MilestoneUSAHand41x76D</v>
          </cell>
          <cell r="M37">
            <v>14.66</v>
          </cell>
          <cell r="N37">
            <v>9.98</v>
          </cell>
          <cell r="R37">
            <v>14.66</v>
          </cell>
          <cell r="S37">
            <v>9.98</v>
          </cell>
          <cell r="T37">
            <v>24.64</v>
          </cell>
          <cell r="U37">
            <v>24.95</v>
          </cell>
        </row>
        <row r="38">
          <cell r="L38" t="str">
            <v>ExportMill WorkingCannon MilestoneUSAWash33x33L</v>
          </cell>
          <cell r="M38">
            <v>1.21</v>
          </cell>
          <cell r="N38">
            <v>9.81</v>
          </cell>
          <cell r="R38">
            <v>1.21</v>
          </cell>
          <cell r="S38">
            <v>9.81</v>
          </cell>
          <cell r="T38">
            <v>11.02</v>
          </cell>
          <cell r="U38">
            <v>47.86</v>
          </cell>
        </row>
        <row r="39">
          <cell r="L39" t="str">
            <v>ExportMill WorkingCannon MilestoneUSAWash33x33M</v>
          </cell>
          <cell r="M39">
            <v>4.22</v>
          </cell>
          <cell r="N39">
            <v>9.7200000000000006</v>
          </cell>
          <cell r="R39">
            <v>4.22</v>
          </cell>
          <cell r="S39">
            <v>9.7200000000000006</v>
          </cell>
          <cell r="T39">
            <v>13.940000000000001</v>
          </cell>
          <cell r="U39">
            <v>47.86</v>
          </cell>
        </row>
        <row r="40">
          <cell r="L40" t="str">
            <v>ExportMill WorkingCannon MilestoneUSAWash33x33D</v>
          </cell>
          <cell r="M40">
            <v>14.66</v>
          </cell>
          <cell r="N40">
            <v>9.98</v>
          </cell>
          <cell r="R40">
            <v>14.66</v>
          </cell>
          <cell r="S40">
            <v>9.98</v>
          </cell>
          <cell r="T40">
            <v>24.64</v>
          </cell>
          <cell r="U40">
            <v>47.86</v>
          </cell>
        </row>
        <row r="41">
          <cell r="L41" t="str">
            <v>ExportWelspun USAEsplamaUSABath76x137L</v>
          </cell>
          <cell r="M41">
            <v>1.21</v>
          </cell>
          <cell r="N41">
            <v>9.81</v>
          </cell>
          <cell r="R41">
            <v>1.21</v>
          </cell>
          <cell r="S41">
            <v>9.81</v>
          </cell>
          <cell r="T41">
            <v>11.02</v>
          </cell>
          <cell r="U41">
            <v>4.83</v>
          </cell>
        </row>
        <row r="42">
          <cell r="L42" t="str">
            <v>ExportWelspun USAEsplamaUSABath76x137M</v>
          </cell>
          <cell r="M42">
            <v>4.22</v>
          </cell>
          <cell r="N42">
            <v>9.7200000000000006</v>
          </cell>
          <cell r="R42">
            <v>4.22</v>
          </cell>
          <cell r="S42">
            <v>9.7200000000000006</v>
          </cell>
          <cell r="T42">
            <v>13.940000000000001</v>
          </cell>
          <cell r="U42">
            <v>4.83</v>
          </cell>
        </row>
        <row r="43">
          <cell r="L43" t="str">
            <v>ExportWelspun USAEsplamaUSABath76x137D</v>
          </cell>
          <cell r="M43">
            <v>14.66</v>
          </cell>
          <cell r="N43">
            <v>9.98</v>
          </cell>
          <cell r="R43">
            <v>14.66</v>
          </cell>
          <cell r="S43">
            <v>9.98</v>
          </cell>
          <cell r="T43">
            <v>24.64</v>
          </cell>
          <cell r="U43">
            <v>4.83</v>
          </cell>
        </row>
        <row r="44">
          <cell r="L44" t="str">
            <v>ExportWelspun USAEsplamaUSAHand41x71L</v>
          </cell>
          <cell r="M44">
            <v>1.21</v>
          </cell>
          <cell r="N44">
            <v>9.81</v>
          </cell>
          <cell r="R44">
            <v>1.21</v>
          </cell>
          <cell r="S44">
            <v>9.81</v>
          </cell>
          <cell r="T44">
            <v>11.02</v>
          </cell>
          <cell r="U44">
            <v>10.32</v>
          </cell>
        </row>
        <row r="45">
          <cell r="L45" t="str">
            <v>ExportWelspun USAEsplamaUSAHand41x71M</v>
          </cell>
          <cell r="M45">
            <v>4.22</v>
          </cell>
          <cell r="N45">
            <v>9.7200000000000006</v>
          </cell>
          <cell r="R45">
            <v>4.22</v>
          </cell>
          <cell r="S45">
            <v>9.7200000000000006</v>
          </cell>
          <cell r="T45">
            <v>13.940000000000001</v>
          </cell>
          <cell r="U45">
            <v>10.32</v>
          </cell>
        </row>
        <row r="46">
          <cell r="L46" t="str">
            <v>ExportWelspun USAEsplamaUSAHand41x71D</v>
          </cell>
          <cell r="M46">
            <v>14.66</v>
          </cell>
          <cell r="N46">
            <v>9.98</v>
          </cell>
          <cell r="R46">
            <v>14.66</v>
          </cell>
          <cell r="S46">
            <v>9.98</v>
          </cell>
          <cell r="T46">
            <v>24.64</v>
          </cell>
          <cell r="U46">
            <v>10.32</v>
          </cell>
        </row>
        <row r="47">
          <cell r="L47" t="str">
            <v>ExportWelspun USAEsplamaUSAWash33x33L</v>
          </cell>
          <cell r="M47">
            <v>1.21</v>
          </cell>
          <cell r="N47">
            <v>9.81</v>
          </cell>
          <cell r="R47">
            <v>1.21</v>
          </cell>
          <cell r="S47">
            <v>9.81</v>
          </cell>
          <cell r="T47">
            <v>11.02</v>
          </cell>
          <cell r="U47">
            <v>25.14</v>
          </cell>
        </row>
        <row r="48">
          <cell r="L48" t="str">
            <v>ExportWelspun USAEsplamaUSAWash33x33M</v>
          </cell>
          <cell r="M48">
            <v>4.22</v>
          </cell>
          <cell r="N48">
            <v>9.7200000000000006</v>
          </cell>
          <cell r="R48">
            <v>4.22</v>
          </cell>
          <cell r="S48">
            <v>9.7200000000000006</v>
          </cell>
          <cell r="T48">
            <v>13.940000000000001</v>
          </cell>
          <cell r="U48">
            <v>25.14</v>
          </cell>
        </row>
        <row r="49">
          <cell r="L49" t="str">
            <v>ExportWelspun USAEsplamaUSAWash33x33D</v>
          </cell>
          <cell r="M49">
            <v>14.66</v>
          </cell>
          <cell r="N49">
            <v>9.98</v>
          </cell>
          <cell r="R49">
            <v>14.66</v>
          </cell>
          <cell r="S49">
            <v>9.98</v>
          </cell>
          <cell r="T49">
            <v>24.64</v>
          </cell>
          <cell r="U49">
            <v>25.14</v>
          </cell>
        </row>
        <row r="50">
          <cell r="L50" t="str">
            <v>ExportLNTManorUSABath76x147L</v>
          </cell>
          <cell r="M50">
            <v>1.21</v>
          </cell>
          <cell r="N50">
            <v>9.81</v>
          </cell>
          <cell r="R50">
            <v>1.21</v>
          </cell>
          <cell r="S50">
            <v>9.81</v>
          </cell>
          <cell r="T50">
            <v>11.02</v>
          </cell>
          <cell r="U50">
            <v>13.19</v>
          </cell>
        </row>
        <row r="51">
          <cell r="L51" t="str">
            <v>ExportLNTManorUSABath76x147M</v>
          </cell>
          <cell r="M51">
            <v>4.22</v>
          </cell>
          <cell r="N51">
            <v>9.7200000000000006</v>
          </cell>
          <cell r="R51">
            <v>4.22</v>
          </cell>
          <cell r="S51">
            <v>9.7200000000000006</v>
          </cell>
          <cell r="T51">
            <v>13.940000000000001</v>
          </cell>
          <cell r="U51">
            <v>13.19</v>
          </cell>
        </row>
        <row r="52">
          <cell r="L52" t="str">
            <v>ExportLNTManorUSABath76x147D</v>
          </cell>
          <cell r="M52">
            <v>14.66</v>
          </cell>
          <cell r="N52">
            <v>9.98</v>
          </cell>
          <cell r="R52">
            <v>14.66</v>
          </cell>
          <cell r="S52">
            <v>9.98</v>
          </cell>
          <cell r="T52">
            <v>24.64</v>
          </cell>
          <cell r="U52">
            <v>13.19</v>
          </cell>
        </row>
        <row r="53">
          <cell r="L53" t="str">
            <v>ExportLNTManorUSAHand51x76L</v>
          </cell>
          <cell r="M53">
            <v>1.21</v>
          </cell>
          <cell r="N53">
            <v>9.81</v>
          </cell>
          <cell r="R53">
            <v>1.21</v>
          </cell>
          <cell r="S53">
            <v>9.81</v>
          </cell>
          <cell r="T53">
            <v>11.02</v>
          </cell>
          <cell r="U53">
            <v>15.63</v>
          </cell>
        </row>
        <row r="54">
          <cell r="L54" t="str">
            <v>ExportLNTManorUSAHand51x76M</v>
          </cell>
          <cell r="M54">
            <v>4.22</v>
          </cell>
          <cell r="N54">
            <v>9.7200000000000006</v>
          </cell>
          <cell r="R54">
            <v>4.22</v>
          </cell>
          <cell r="S54">
            <v>9.7200000000000006</v>
          </cell>
          <cell r="T54">
            <v>13.940000000000001</v>
          </cell>
          <cell r="U54">
            <v>15.63</v>
          </cell>
        </row>
        <row r="55">
          <cell r="L55" t="str">
            <v>ExportLNTManorUSAHand51x76D</v>
          </cell>
          <cell r="M55">
            <v>14.66</v>
          </cell>
          <cell r="N55">
            <v>9.98</v>
          </cell>
          <cell r="R55">
            <v>14.66</v>
          </cell>
          <cell r="S55">
            <v>9.98</v>
          </cell>
          <cell r="T55">
            <v>24.64</v>
          </cell>
          <cell r="U55">
            <v>15.63</v>
          </cell>
        </row>
        <row r="56">
          <cell r="L56" t="str">
            <v>ExportLNTManorUSAWash33x33L</v>
          </cell>
          <cell r="M56">
            <v>1.21</v>
          </cell>
          <cell r="N56">
            <v>9.81</v>
          </cell>
          <cell r="R56">
            <v>1.21</v>
          </cell>
          <cell r="S56">
            <v>9.81</v>
          </cell>
          <cell r="T56">
            <v>11.02</v>
          </cell>
          <cell r="U56">
            <v>60.77</v>
          </cell>
        </row>
        <row r="57">
          <cell r="L57" t="str">
            <v>ExportLNTManorUSAWash33x33M</v>
          </cell>
          <cell r="M57">
            <v>4.22</v>
          </cell>
          <cell r="N57">
            <v>9.7200000000000006</v>
          </cell>
          <cell r="R57">
            <v>4.22</v>
          </cell>
          <cell r="S57">
            <v>9.7200000000000006</v>
          </cell>
          <cell r="T57">
            <v>13.940000000000001</v>
          </cell>
          <cell r="U57">
            <v>60.77</v>
          </cell>
        </row>
        <row r="58">
          <cell r="L58" t="str">
            <v>ExportLNTManorUSAWash33x33D</v>
          </cell>
          <cell r="M58">
            <v>14.66</v>
          </cell>
          <cell r="N58">
            <v>9.98</v>
          </cell>
          <cell r="R58">
            <v>14.66</v>
          </cell>
          <cell r="S58">
            <v>9.98</v>
          </cell>
          <cell r="T58">
            <v>24.64</v>
          </cell>
          <cell r="U58">
            <v>60.77</v>
          </cell>
        </row>
        <row r="59">
          <cell r="L59" t="str">
            <v>ExportLNTNewUSABath76x147L</v>
          </cell>
          <cell r="M59">
            <v>1.21</v>
          </cell>
          <cell r="N59">
            <v>9.81</v>
          </cell>
          <cell r="R59">
            <v>1.21</v>
          </cell>
          <cell r="S59">
            <v>9.81</v>
          </cell>
          <cell r="T59">
            <v>11.02</v>
          </cell>
          <cell r="U59">
            <v>13.19</v>
          </cell>
        </row>
        <row r="60">
          <cell r="L60" t="str">
            <v>ExportLNTNewUSABath76x147M</v>
          </cell>
          <cell r="M60">
            <v>4.22</v>
          </cell>
          <cell r="N60">
            <v>9.7200000000000006</v>
          </cell>
          <cell r="R60">
            <v>4.22</v>
          </cell>
          <cell r="S60">
            <v>9.7200000000000006</v>
          </cell>
          <cell r="T60">
            <v>13.940000000000001</v>
          </cell>
          <cell r="U60">
            <v>13.19</v>
          </cell>
        </row>
        <row r="61">
          <cell r="L61" t="str">
            <v>ExportLNTNewUSABath76x147D</v>
          </cell>
          <cell r="M61">
            <v>14.66</v>
          </cell>
          <cell r="N61">
            <v>9.98</v>
          </cell>
          <cell r="R61">
            <v>14.66</v>
          </cell>
          <cell r="S61">
            <v>9.98</v>
          </cell>
          <cell r="T61">
            <v>24.64</v>
          </cell>
          <cell r="U61">
            <v>13.19</v>
          </cell>
        </row>
        <row r="62">
          <cell r="L62" t="str">
            <v>ExportLNTNewUSAHand51x76L</v>
          </cell>
          <cell r="M62">
            <v>1.21</v>
          </cell>
          <cell r="N62">
            <v>9.81</v>
          </cell>
          <cell r="R62">
            <v>1.21</v>
          </cell>
          <cell r="S62">
            <v>9.81</v>
          </cell>
          <cell r="T62">
            <v>11.02</v>
          </cell>
          <cell r="U62">
            <v>15.63</v>
          </cell>
        </row>
        <row r="63">
          <cell r="L63" t="str">
            <v>ExportLNTNewUSAHand51x76M</v>
          </cell>
          <cell r="M63">
            <v>4.22</v>
          </cell>
          <cell r="N63">
            <v>9.7200000000000006</v>
          </cell>
          <cell r="R63">
            <v>4.22</v>
          </cell>
          <cell r="S63">
            <v>9.7200000000000006</v>
          </cell>
          <cell r="T63">
            <v>13.940000000000001</v>
          </cell>
          <cell r="U63">
            <v>15.63</v>
          </cell>
        </row>
        <row r="64">
          <cell r="L64" t="str">
            <v>ExportLNTNewUSAHand51x76D</v>
          </cell>
          <cell r="M64">
            <v>14.66</v>
          </cell>
          <cell r="N64">
            <v>9.98</v>
          </cell>
          <cell r="R64">
            <v>14.66</v>
          </cell>
          <cell r="S64">
            <v>9.98</v>
          </cell>
          <cell r="T64">
            <v>24.64</v>
          </cell>
          <cell r="U64">
            <v>15.63</v>
          </cell>
        </row>
        <row r="65">
          <cell r="L65" t="str">
            <v>ExportLNTNewUSAWash33x33L</v>
          </cell>
          <cell r="M65">
            <v>1.21</v>
          </cell>
          <cell r="N65">
            <v>9.81</v>
          </cell>
          <cell r="R65">
            <v>1.21</v>
          </cell>
          <cell r="S65">
            <v>9.81</v>
          </cell>
          <cell r="T65">
            <v>11.02</v>
          </cell>
          <cell r="U65">
            <v>60.77</v>
          </cell>
        </row>
        <row r="66">
          <cell r="L66" t="str">
            <v>ExportLNTNewUSAWash33x33M</v>
          </cell>
          <cell r="M66">
            <v>4.22</v>
          </cell>
          <cell r="N66">
            <v>9.7200000000000006</v>
          </cell>
          <cell r="R66">
            <v>4.22</v>
          </cell>
          <cell r="S66">
            <v>9.7200000000000006</v>
          </cell>
          <cell r="T66">
            <v>13.940000000000001</v>
          </cell>
          <cell r="U66">
            <v>60.77</v>
          </cell>
        </row>
        <row r="67">
          <cell r="L67" t="str">
            <v>ExportLNTNewUSAWash33x33D</v>
          </cell>
          <cell r="M67">
            <v>14.66</v>
          </cell>
          <cell r="N67">
            <v>9.98</v>
          </cell>
          <cell r="R67">
            <v>14.66</v>
          </cell>
          <cell r="S67">
            <v>9.98</v>
          </cell>
          <cell r="T67">
            <v>24.64</v>
          </cell>
          <cell r="U67">
            <v>60.77</v>
          </cell>
        </row>
        <row r="68">
          <cell r="L68" t="str">
            <v>ExportKohlsBig One StripeUSABath76x137L</v>
          </cell>
          <cell r="M68">
            <v>1.21</v>
          </cell>
          <cell r="N68">
            <v>9.81</v>
          </cell>
          <cell r="R68">
            <v>1.21</v>
          </cell>
          <cell r="S68">
            <v>9.81</v>
          </cell>
          <cell r="T68">
            <v>11.02</v>
          </cell>
          <cell r="U68">
            <v>9.26</v>
          </cell>
        </row>
        <row r="69">
          <cell r="L69" t="str">
            <v>ExportKohlsBig One StripeUSABath76x137M</v>
          </cell>
          <cell r="M69">
            <v>4.22</v>
          </cell>
          <cell r="N69">
            <v>9.7200000000000006</v>
          </cell>
          <cell r="R69">
            <v>4.22</v>
          </cell>
          <cell r="S69">
            <v>9.7200000000000006</v>
          </cell>
          <cell r="T69">
            <v>13.940000000000001</v>
          </cell>
          <cell r="U69">
            <v>9.26</v>
          </cell>
        </row>
        <row r="70">
          <cell r="L70" t="str">
            <v>ExportKohlsBig One StripeUSABath76x137D</v>
          </cell>
          <cell r="M70">
            <v>14.66</v>
          </cell>
          <cell r="N70">
            <v>9.98</v>
          </cell>
          <cell r="R70">
            <v>14.66</v>
          </cell>
          <cell r="S70">
            <v>9.98</v>
          </cell>
          <cell r="T70">
            <v>24.64</v>
          </cell>
          <cell r="U70">
            <v>9.26</v>
          </cell>
        </row>
        <row r="71">
          <cell r="L71" t="str">
            <v>ExportKohlsBig One StripeUSAHand41x71L</v>
          </cell>
          <cell r="M71">
            <v>1.21</v>
          </cell>
          <cell r="N71">
            <v>9.81</v>
          </cell>
          <cell r="R71">
            <v>1.21</v>
          </cell>
          <cell r="S71">
            <v>9.81</v>
          </cell>
          <cell r="T71">
            <v>11.02</v>
          </cell>
          <cell r="U71">
            <v>9.61</v>
          </cell>
        </row>
        <row r="72">
          <cell r="L72" t="str">
            <v>ExportKohlsBig One StripeUSAHand41x71M</v>
          </cell>
          <cell r="M72">
            <v>4.22</v>
          </cell>
          <cell r="N72">
            <v>9.7200000000000006</v>
          </cell>
          <cell r="R72">
            <v>4.22</v>
          </cell>
          <cell r="S72">
            <v>9.7200000000000006</v>
          </cell>
          <cell r="T72">
            <v>13.940000000000001</v>
          </cell>
          <cell r="U72">
            <v>9.61</v>
          </cell>
        </row>
        <row r="73">
          <cell r="L73" t="str">
            <v>ExportKohlsBig One StripeUSAHand41x71D</v>
          </cell>
          <cell r="M73">
            <v>14.66</v>
          </cell>
          <cell r="N73">
            <v>9.98</v>
          </cell>
          <cell r="R73">
            <v>14.66</v>
          </cell>
          <cell r="S73">
            <v>9.98</v>
          </cell>
          <cell r="T73">
            <v>24.64</v>
          </cell>
          <cell r="U73">
            <v>9.61</v>
          </cell>
        </row>
        <row r="74">
          <cell r="L74" t="str">
            <v>ExportKohlsBig One StripeUSAWash30x30L</v>
          </cell>
          <cell r="M74">
            <v>1.21</v>
          </cell>
          <cell r="N74">
            <v>9.81</v>
          </cell>
          <cell r="R74">
            <v>1.21</v>
          </cell>
          <cell r="S74">
            <v>9.81</v>
          </cell>
          <cell r="T74">
            <v>11.02</v>
          </cell>
          <cell r="U74">
            <v>32.75</v>
          </cell>
        </row>
        <row r="75">
          <cell r="L75" t="str">
            <v>ExportKohlsBig One StripeUSAWash30x30M</v>
          </cell>
          <cell r="M75">
            <v>4.22</v>
          </cell>
          <cell r="N75">
            <v>9.7200000000000006</v>
          </cell>
          <cell r="R75">
            <v>4.22</v>
          </cell>
          <cell r="S75">
            <v>9.7200000000000006</v>
          </cell>
          <cell r="T75">
            <v>13.940000000000001</v>
          </cell>
          <cell r="U75">
            <v>32.75</v>
          </cell>
        </row>
        <row r="76">
          <cell r="L76" t="str">
            <v>ExportKohlsBig One StripeUSAWash30x30D</v>
          </cell>
          <cell r="M76">
            <v>14.66</v>
          </cell>
          <cell r="N76">
            <v>9.98</v>
          </cell>
          <cell r="R76">
            <v>14.66</v>
          </cell>
          <cell r="S76">
            <v>9.98</v>
          </cell>
          <cell r="T76">
            <v>24.64</v>
          </cell>
          <cell r="U76">
            <v>32.75</v>
          </cell>
        </row>
        <row r="77">
          <cell r="L77" t="str">
            <v>ExportKohlsBig One SolidUSABath76x137L</v>
          </cell>
          <cell r="M77">
            <v>1.21</v>
          </cell>
          <cell r="N77">
            <v>9.81</v>
          </cell>
          <cell r="R77">
            <v>1.21</v>
          </cell>
          <cell r="S77">
            <v>9.81</v>
          </cell>
          <cell r="T77">
            <v>11.02</v>
          </cell>
          <cell r="U77">
            <v>9.26</v>
          </cell>
        </row>
        <row r="78">
          <cell r="L78" t="str">
            <v>ExportKohlsBig One SolidUSABath76x137M</v>
          </cell>
          <cell r="M78">
            <v>4.22</v>
          </cell>
          <cell r="N78">
            <v>9.7200000000000006</v>
          </cell>
          <cell r="R78">
            <v>4.22</v>
          </cell>
          <cell r="S78">
            <v>9.7200000000000006</v>
          </cell>
          <cell r="T78">
            <v>13.940000000000001</v>
          </cell>
          <cell r="U78">
            <v>9.26</v>
          </cell>
        </row>
        <row r="79">
          <cell r="L79" t="str">
            <v>ExportKohlsBig One SolidUSABath76x137D</v>
          </cell>
          <cell r="M79">
            <v>14.66</v>
          </cell>
          <cell r="N79">
            <v>9.98</v>
          </cell>
          <cell r="R79">
            <v>14.66</v>
          </cell>
          <cell r="S79">
            <v>9.98</v>
          </cell>
          <cell r="T79">
            <v>24.64</v>
          </cell>
          <cell r="U79">
            <v>9.26</v>
          </cell>
        </row>
        <row r="80">
          <cell r="L80" t="str">
            <v>ExportKohlsBig One SolidUSAHand41x71L</v>
          </cell>
          <cell r="M80">
            <v>1.21</v>
          </cell>
          <cell r="N80">
            <v>9.81</v>
          </cell>
          <cell r="R80">
            <v>1.21</v>
          </cell>
          <cell r="S80">
            <v>9.81</v>
          </cell>
          <cell r="T80">
            <v>11.02</v>
          </cell>
          <cell r="U80">
            <v>9.61</v>
          </cell>
        </row>
        <row r="81">
          <cell r="L81" t="str">
            <v>ExportKohlsBig One SolidUSAHand41x71M</v>
          </cell>
          <cell r="M81">
            <v>4.22</v>
          </cell>
          <cell r="N81">
            <v>9.7200000000000006</v>
          </cell>
          <cell r="R81">
            <v>4.22</v>
          </cell>
          <cell r="S81">
            <v>9.7200000000000006</v>
          </cell>
          <cell r="T81">
            <v>13.940000000000001</v>
          </cell>
          <cell r="U81">
            <v>9.61</v>
          </cell>
        </row>
        <row r="82">
          <cell r="L82" t="str">
            <v>ExportKohlsBig One SolidUSAHand41x71D</v>
          </cell>
          <cell r="M82">
            <v>14.66</v>
          </cell>
          <cell r="N82">
            <v>9.98</v>
          </cell>
          <cell r="R82">
            <v>14.66</v>
          </cell>
          <cell r="S82">
            <v>9.98</v>
          </cell>
          <cell r="T82">
            <v>24.64</v>
          </cell>
          <cell r="U82">
            <v>9.61</v>
          </cell>
        </row>
        <row r="83">
          <cell r="L83" t="str">
            <v>ExportKohlsBig One SolidUSAWash30x30L</v>
          </cell>
          <cell r="M83">
            <v>1.21</v>
          </cell>
          <cell r="N83">
            <v>9.81</v>
          </cell>
          <cell r="R83">
            <v>1.21</v>
          </cell>
          <cell r="S83">
            <v>9.81</v>
          </cell>
          <cell r="T83">
            <v>11.02</v>
          </cell>
          <cell r="U83">
            <v>32.75</v>
          </cell>
        </row>
        <row r="84">
          <cell r="L84" t="str">
            <v>ExportKohlsBig One SolidUSAWash30x30M</v>
          </cell>
          <cell r="M84">
            <v>4.22</v>
          </cell>
          <cell r="N84">
            <v>9.7200000000000006</v>
          </cell>
          <cell r="R84">
            <v>4.22</v>
          </cell>
          <cell r="S84">
            <v>9.7200000000000006</v>
          </cell>
          <cell r="T84">
            <v>13.940000000000001</v>
          </cell>
          <cell r="U84">
            <v>32.75</v>
          </cell>
        </row>
        <row r="85">
          <cell r="L85" t="str">
            <v>ExportKohlsBig One SolidUSAWash30x30D</v>
          </cell>
          <cell r="M85">
            <v>14.66</v>
          </cell>
          <cell r="N85">
            <v>9.98</v>
          </cell>
          <cell r="R85">
            <v>14.66</v>
          </cell>
          <cell r="S85">
            <v>9.98</v>
          </cell>
          <cell r="T85">
            <v>24.64</v>
          </cell>
          <cell r="U85">
            <v>32.75</v>
          </cell>
        </row>
        <row r="86">
          <cell r="L86" t="str">
            <v>ExportIst New Buyer00Bath76x137L</v>
          </cell>
          <cell r="M86">
            <v>1.21</v>
          </cell>
          <cell r="N86">
            <v>9.81</v>
          </cell>
          <cell r="R86">
            <v>1.21</v>
          </cell>
          <cell r="S86">
            <v>9.81</v>
          </cell>
          <cell r="T86">
            <v>11.02</v>
          </cell>
          <cell r="U86">
            <v>12.35</v>
          </cell>
        </row>
        <row r="87">
          <cell r="L87" t="str">
            <v>ExportIst New Buyer00Bath76x137M</v>
          </cell>
          <cell r="M87">
            <v>4.22</v>
          </cell>
          <cell r="N87">
            <v>9.7200000000000006</v>
          </cell>
          <cell r="R87">
            <v>4.22</v>
          </cell>
          <cell r="S87">
            <v>9.7200000000000006</v>
          </cell>
          <cell r="T87">
            <v>13.940000000000001</v>
          </cell>
          <cell r="U87">
            <v>12.35</v>
          </cell>
        </row>
        <row r="88">
          <cell r="L88" t="str">
            <v>ExportIst New Buyer00Bath76x137D</v>
          </cell>
          <cell r="M88">
            <v>14.66</v>
          </cell>
          <cell r="N88">
            <v>9.98</v>
          </cell>
          <cell r="R88">
            <v>14.66</v>
          </cell>
          <cell r="S88">
            <v>9.98</v>
          </cell>
          <cell r="T88">
            <v>24.64</v>
          </cell>
          <cell r="U88">
            <v>12.35</v>
          </cell>
        </row>
        <row r="89">
          <cell r="L89" t="str">
            <v>ExportIst New Buyer00Hand41x76L</v>
          </cell>
          <cell r="M89">
            <v>1.21</v>
          </cell>
          <cell r="N89">
            <v>9.81</v>
          </cell>
          <cell r="R89">
            <v>1.21</v>
          </cell>
          <cell r="S89">
            <v>9.81</v>
          </cell>
          <cell r="T89">
            <v>11.02</v>
          </cell>
          <cell r="U89">
            <v>24.95</v>
          </cell>
        </row>
        <row r="90">
          <cell r="L90" t="str">
            <v>ExportIst New Buyer00Hand41x76M</v>
          </cell>
          <cell r="M90">
            <v>4.22</v>
          </cell>
          <cell r="N90">
            <v>9.7200000000000006</v>
          </cell>
          <cell r="R90">
            <v>4.22</v>
          </cell>
          <cell r="S90">
            <v>9.7200000000000006</v>
          </cell>
          <cell r="T90">
            <v>13.940000000000001</v>
          </cell>
          <cell r="U90">
            <v>24.95</v>
          </cell>
        </row>
        <row r="91">
          <cell r="L91" t="str">
            <v>ExportIst New Buyer00Hand41x76D</v>
          </cell>
          <cell r="M91">
            <v>14.66</v>
          </cell>
          <cell r="N91">
            <v>9.98</v>
          </cell>
          <cell r="R91">
            <v>14.66</v>
          </cell>
          <cell r="S91">
            <v>9.98</v>
          </cell>
          <cell r="T91">
            <v>24.64</v>
          </cell>
          <cell r="U91">
            <v>24.95</v>
          </cell>
        </row>
        <row r="92">
          <cell r="L92" t="str">
            <v>ExportIst New Buyer00Wash33x33L</v>
          </cell>
          <cell r="M92">
            <v>1.21</v>
          </cell>
          <cell r="N92">
            <v>9.81</v>
          </cell>
          <cell r="R92">
            <v>1.21</v>
          </cell>
          <cell r="S92">
            <v>9.81</v>
          </cell>
          <cell r="T92">
            <v>11.02</v>
          </cell>
          <cell r="U92">
            <v>47.86</v>
          </cell>
        </row>
        <row r="93">
          <cell r="L93" t="str">
            <v>ExportIst New Buyer00Wash33x33M</v>
          </cell>
          <cell r="M93">
            <v>4.22</v>
          </cell>
          <cell r="N93">
            <v>9.7200000000000006</v>
          </cell>
          <cell r="R93">
            <v>4.22</v>
          </cell>
          <cell r="S93">
            <v>9.7200000000000006</v>
          </cell>
          <cell r="T93">
            <v>13.940000000000001</v>
          </cell>
          <cell r="U93">
            <v>47.86</v>
          </cell>
        </row>
        <row r="94">
          <cell r="L94" t="str">
            <v>ExportIst New Buyer00Wash33x33D</v>
          </cell>
          <cell r="M94">
            <v>14.66</v>
          </cell>
          <cell r="N94">
            <v>9.98</v>
          </cell>
          <cell r="R94">
            <v>14.66</v>
          </cell>
          <cell r="S94">
            <v>9.98</v>
          </cell>
          <cell r="T94">
            <v>24.64</v>
          </cell>
          <cell r="U94">
            <v>47.86</v>
          </cell>
        </row>
        <row r="95">
          <cell r="L95" t="str">
            <v>Export2nd New Buyer00Bath76x137L</v>
          </cell>
          <cell r="M95">
            <v>1.21</v>
          </cell>
          <cell r="N95">
            <v>9.81</v>
          </cell>
          <cell r="R95">
            <v>1.21</v>
          </cell>
          <cell r="S95">
            <v>9.81</v>
          </cell>
          <cell r="T95">
            <v>11.02</v>
          </cell>
          <cell r="U95">
            <v>12.35</v>
          </cell>
        </row>
        <row r="96">
          <cell r="L96" t="str">
            <v>Export2nd New Buyer00Bath76x137M</v>
          </cell>
          <cell r="M96">
            <v>4.22</v>
          </cell>
          <cell r="N96">
            <v>9.7200000000000006</v>
          </cell>
          <cell r="R96">
            <v>4.22</v>
          </cell>
          <cell r="S96">
            <v>9.7200000000000006</v>
          </cell>
          <cell r="T96">
            <v>13.940000000000001</v>
          </cell>
          <cell r="U96">
            <v>12.35</v>
          </cell>
        </row>
        <row r="97">
          <cell r="L97" t="str">
            <v>Export2nd New Buyer00Bath76x137D</v>
          </cell>
          <cell r="M97">
            <v>14.66</v>
          </cell>
          <cell r="N97">
            <v>9.98</v>
          </cell>
          <cell r="R97">
            <v>14.66</v>
          </cell>
          <cell r="S97">
            <v>9.98</v>
          </cell>
          <cell r="T97">
            <v>24.64</v>
          </cell>
          <cell r="U97">
            <v>12.35</v>
          </cell>
        </row>
        <row r="98">
          <cell r="L98" t="str">
            <v>Export2nd New Buyer00Hand41x76L</v>
          </cell>
          <cell r="M98">
            <v>1.21</v>
          </cell>
          <cell r="N98">
            <v>9.81</v>
          </cell>
          <cell r="R98">
            <v>1.21</v>
          </cell>
          <cell r="S98">
            <v>9.81</v>
          </cell>
          <cell r="T98">
            <v>11.02</v>
          </cell>
          <cell r="U98">
            <v>24.95</v>
          </cell>
        </row>
        <row r="99">
          <cell r="L99" t="str">
            <v>Export2nd New Buyer00Hand41x76M</v>
          </cell>
          <cell r="M99">
            <v>4.22</v>
          </cell>
          <cell r="N99">
            <v>9.7200000000000006</v>
          </cell>
          <cell r="R99">
            <v>4.22</v>
          </cell>
          <cell r="S99">
            <v>9.7200000000000006</v>
          </cell>
          <cell r="T99">
            <v>13.940000000000001</v>
          </cell>
          <cell r="U99">
            <v>24.95</v>
          </cell>
        </row>
        <row r="100">
          <cell r="L100" t="str">
            <v>Export2nd New Buyer00Hand41x76D</v>
          </cell>
          <cell r="M100">
            <v>14.66</v>
          </cell>
          <cell r="N100">
            <v>9.98</v>
          </cell>
          <cell r="R100">
            <v>14.66</v>
          </cell>
          <cell r="S100">
            <v>9.98</v>
          </cell>
          <cell r="T100">
            <v>24.64</v>
          </cell>
          <cell r="U100">
            <v>24.95</v>
          </cell>
        </row>
        <row r="101">
          <cell r="L101" t="str">
            <v>Export2nd New Buyer00Wash33x33L</v>
          </cell>
          <cell r="M101">
            <v>1.21</v>
          </cell>
          <cell r="N101">
            <v>9.81</v>
          </cell>
          <cell r="R101">
            <v>1.21</v>
          </cell>
          <cell r="S101">
            <v>9.81</v>
          </cell>
          <cell r="T101">
            <v>11.02</v>
          </cell>
          <cell r="U101">
            <v>47.86</v>
          </cell>
        </row>
        <row r="102">
          <cell r="L102" t="str">
            <v>Export2nd New Buyer00Wash33x33M</v>
          </cell>
          <cell r="M102">
            <v>4.22</v>
          </cell>
          <cell r="N102">
            <v>9.7200000000000006</v>
          </cell>
          <cell r="R102">
            <v>4.22</v>
          </cell>
          <cell r="S102">
            <v>9.7200000000000006</v>
          </cell>
          <cell r="T102">
            <v>13.940000000000001</v>
          </cell>
          <cell r="U102">
            <v>47.86</v>
          </cell>
        </row>
        <row r="103">
          <cell r="L103" t="str">
            <v>Export2nd New Buyer00Wash33x33D</v>
          </cell>
          <cell r="M103">
            <v>14.66</v>
          </cell>
          <cell r="N103">
            <v>9.98</v>
          </cell>
          <cell r="R103">
            <v>14.66</v>
          </cell>
          <cell r="S103">
            <v>9.98</v>
          </cell>
          <cell r="T103">
            <v>24.64</v>
          </cell>
          <cell r="U103">
            <v>47.86</v>
          </cell>
        </row>
        <row r="104">
          <cell r="L104" t="str">
            <v>Export3rd New Buyer00Bath0x0L</v>
          </cell>
          <cell r="M104">
            <v>1.21</v>
          </cell>
          <cell r="N104">
            <v>9.81</v>
          </cell>
          <cell r="R104">
            <v>1.21</v>
          </cell>
          <cell r="S104">
            <v>9.81</v>
          </cell>
          <cell r="T104">
            <v>11.02</v>
          </cell>
          <cell r="U104">
            <v>0</v>
          </cell>
        </row>
        <row r="105">
          <cell r="L105" t="str">
            <v>Export3rd New Buyer00Bath0x0M</v>
          </cell>
          <cell r="M105">
            <v>4.22</v>
          </cell>
          <cell r="N105">
            <v>9.7200000000000006</v>
          </cell>
          <cell r="R105">
            <v>4.22</v>
          </cell>
          <cell r="S105">
            <v>9.7200000000000006</v>
          </cell>
          <cell r="T105">
            <v>13.940000000000001</v>
          </cell>
          <cell r="U105">
            <v>0</v>
          </cell>
        </row>
        <row r="106">
          <cell r="L106" t="str">
            <v>Export3rd New Buyer00Bath0x0D</v>
          </cell>
          <cell r="M106">
            <v>14.66</v>
          </cell>
          <cell r="N106">
            <v>9.98</v>
          </cell>
          <cell r="R106">
            <v>14.66</v>
          </cell>
          <cell r="S106">
            <v>9.98</v>
          </cell>
          <cell r="T106">
            <v>24.64</v>
          </cell>
          <cell r="U106">
            <v>0</v>
          </cell>
        </row>
      </sheetData>
      <sheetData sheetId="2" refreshError="1">
        <row r="4">
          <cell r="K4" t="str">
            <v>Key -3</v>
          </cell>
          <cell r="L4" t="str">
            <v>Key -2</v>
          </cell>
          <cell r="M4" t="str">
            <v>Pile 1</v>
          </cell>
          <cell r="N4" t="str">
            <v>Pile 2</v>
          </cell>
          <cell r="O4" t="str">
            <v>Ground</v>
          </cell>
          <cell r="P4" t="str">
            <v>Weft  1</v>
          </cell>
          <cell r="Q4" t="str">
            <v xml:space="preserve">Weft 2 </v>
          </cell>
          <cell r="R4" t="str">
            <v xml:space="preserve">Weft 3 </v>
          </cell>
          <cell r="S4" t="str">
            <v xml:space="preserve">Weft 4 </v>
          </cell>
          <cell r="T4" t="str">
            <v>Grey Wt</v>
          </cell>
          <cell r="U4" t="str">
            <v>Net Wt</v>
          </cell>
          <cell r="V4" t="str">
            <v>FRC%</v>
          </cell>
          <cell r="W4" t="str">
            <v>Rem/Oth Waste%</v>
          </cell>
          <cell r="X4" t="str">
            <v>Sizing Gain-Pile%</v>
          </cell>
          <cell r="Y4" t="str">
            <v>SizingGain-Grnd %</v>
          </cell>
          <cell r="Z4" t="str">
            <v>Wt Loss %</v>
          </cell>
          <cell r="AA4" t="str">
            <v>Hard Waste %</v>
          </cell>
          <cell r="AB4" t="str">
            <v>GSM Var %</v>
          </cell>
          <cell r="AC4" t="str">
            <v>FRC</v>
          </cell>
          <cell r="AD4" t="str">
            <v>Rem/Oth Waste</v>
          </cell>
          <cell r="AE4" t="str">
            <v>Sizing Wt Gain-Pile</v>
          </cell>
          <cell r="AF4" t="str">
            <v>Sizing Wt Gain-Grnd</v>
          </cell>
          <cell r="AG4" t="str">
            <v>Wt Loss</v>
          </cell>
          <cell r="AH4" t="str">
            <v xml:space="preserve">Hard Waste </v>
          </cell>
          <cell r="AI4" t="str">
            <v xml:space="preserve">GSM Var </v>
          </cell>
          <cell r="AJ4" t="str">
            <v>Total Waste</v>
          </cell>
          <cell r="AK4" t="str">
            <v>Yarn Consumn</v>
          </cell>
          <cell r="AL4" t="str">
            <v>Pile 1</v>
          </cell>
          <cell r="AM4" t="str">
            <v>Pile  2</v>
          </cell>
          <cell r="AN4" t="str">
            <v>Ground</v>
          </cell>
          <cell r="AO4" t="str">
            <v>Weft  1</v>
          </cell>
          <cell r="AP4" t="str">
            <v xml:space="preserve">Weft 2 </v>
          </cell>
          <cell r="AQ4" t="str">
            <v xml:space="preserve">Weft 3 </v>
          </cell>
          <cell r="AR4" t="str">
            <v xml:space="preserve">Weft 4 </v>
          </cell>
          <cell r="AS4" t="str">
            <v>Pile 1</v>
          </cell>
          <cell r="AT4" t="str">
            <v>Pile 2</v>
          </cell>
          <cell r="AU4" t="str">
            <v>Ground</v>
          </cell>
          <cell r="AV4" t="str">
            <v>Weft  1</v>
          </cell>
          <cell r="AW4" t="str">
            <v xml:space="preserve">Weft 2 </v>
          </cell>
          <cell r="AX4" t="str">
            <v xml:space="preserve">Weft 3 </v>
          </cell>
          <cell r="AY4" t="str">
            <v xml:space="preserve">Weft 4 </v>
          </cell>
          <cell r="AZ4" t="str">
            <v xml:space="preserve">Pile </v>
          </cell>
          <cell r="BA4" t="str">
            <v>Ground</v>
          </cell>
          <cell r="BB4" t="str">
            <v>Weft  1</v>
          </cell>
          <cell r="BC4" t="str">
            <v xml:space="preserve">Weft 2 </v>
          </cell>
          <cell r="BD4" t="str">
            <v xml:space="preserve">Weft 3 </v>
          </cell>
          <cell r="BE4" t="str">
            <v>FRC</v>
          </cell>
          <cell r="BF4" t="str">
            <v>Rem/Oth Waste</v>
          </cell>
          <cell r="BG4" t="str">
            <v>Sizing Gain-Pile</v>
          </cell>
          <cell r="BH4" t="str">
            <v xml:space="preserve">SizingGain-Grnd </v>
          </cell>
          <cell r="BI4" t="str">
            <v xml:space="preserve">Wt Loss </v>
          </cell>
          <cell r="BJ4" t="str">
            <v xml:space="preserve">Hard Waste </v>
          </cell>
          <cell r="BK4" t="str">
            <v xml:space="preserve">GSM Var </v>
          </cell>
          <cell r="BL4" t="str">
            <v>Total Recovery</v>
          </cell>
          <cell r="BM4" t="str">
            <v>FRC</v>
          </cell>
          <cell r="BN4" t="str">
            <v>Rem/Oth Waste</v>
          </cell>
          <cell r="BO4" t="str">
            <v>Sizing Gain-Pile</v>
          </cell>
          <cell r="BP4" t="str">
            <v xml:space="preserve">SizingGain-Grnd </v>
          </cell>
          <cell r="BQ4" t="str">
            <v xml:space="preserve">Wt Loss </v>
          </cell>
          <cell r="BR4" t="str">
            <v xml:space="preserve">Hard Waste </v>
          </cell>
          <cell r="BS4" t="str">
            <v xml:space="preserve">GSM Var </v>
          </cell>
          <cell r="BT4" t="str">
            <v>Total Recovery</v>
          </cell>
          <cell r="BU4" t="str">
            <v>Gross</v>
          </cell>
          <cell r="BV4" t="str">
            <v>Waste Recovery</v>
          </cell>
          <cell r="BW4" t="str">
            <v>Net Cost</v>
          </cell>
          <cell r="BX4" t="str">
            <v>Gross</v>
          </cell>
          <cell r="BY4" t="str">
            <v>Waste Recovery</v>
          </cell>
          <cell r="BZ4" t="str">
            <v>Net Cost</v>
          </cell>
          <cell r="CA4" t="str">
            <v>Gross</v>
          </cell>
          <cell r="CB4" t="str">
            <v>Waste Recovery</v>
          </cell>
          <cell r="CC4" t="str">
            <v>Net Cost</v>
          </cell>
          <cell r="CD4" t="str">
            <v>Vikol -Qty gms/pc</v>
          </cell>
          <cell r="CE4" t="str">
            <v>Vikol -Rate</v>
          </cell>
          <cell r="CF4" t="str">
            <v>Vikol -Cost Rs/fsd kg</v>
          </cell>
          <cell r="CG4" t="str">
            <v>Sizabond -Qty</v>
          </cell>
          <cell r="CH4" t="str">
            <v>Sizabond -Rate</v>
          </cell>
          <cell r="CI4" t="str">
            <v>Sizabond -Cost</v>
          </cell>
          <cell r="CJ4" t="str">
            <v>Total Sizing Cost</v>
          </cell>
          <cell r="CK4" t="str">
            <v>Steam -Sizing-Pile</v>
          </cell>
          <cell r="CL4" t="str">
            <v>Steam -Sizing-Ground</v>
          </cell>
          <cell r="CM4" t="str">
            <v>Steam -Process</v>
          </cell>
          <cell r="CN4" t="str">
            <v>Steam Cost Total</v>
          </cell>
          <cell r="CO4" t="str">
            <v>Water -Sizing</v>
          </cell>
          <cell r="CP4" t="str">
            <v>Water -Process</v>
          </cell>
          <cell r="CQ4" t="str">
            <v>Water Total</v>
          </cell>
          <cell r="CR4" t="str">
            <v>Dyes</v>
          </cell>
          <cell r="CS4" t="str">
            <v>Chemical</v>
          </cell>
          <cell r="CT4" t="str">
            <v>Pkg Cost</v>
          </cell>
          <cell r="CU4" t="str">
            <v xml:space="preserve">Others </v>
          </cell>
          <cell r="CV4" t="str">
            <v>Total cost</v>
          </cell>
        </row>
        <row r="5">
          <cell r="K5" t="str">
            <v>ExportTargetWaverlyUSABath76x142L</v>
          </cell>
          <cell r="L5">
            <v>0</v>
          </cell>
          <cell r="M5">
            <v>483.24</v>
          </cell>
          <cell r="N5">
            <v>0</v>
          </cell>
          <cell r="O5">
            <v>74.06</v>
          </cell>
          <cell r="P5">
            <v>89.668999999999997</v>
          </cell>
          <cell r="Q5">
            <v>34.369999999999997</v>
          </cell>
          <cell r="R5">
            <v>9.0609999999999999</v>
          </cell>
          <cell r="S5">
            <v>0</v>
          </cell>
          <cell r="T5">
            <v>690.4</v>
          </cell>
          <cell r="U5">
            <v>642.07199999999989</v>
          </cell>
          <cell r="V5">
            <v>2.5000000000000001E-3</v>
          </cell>
          <cell r="W5">
            <v>0</v>
          </cell>
          <cell r="X5">
            <v>-1.3999999999999999E-2</v>
          </cell>
          <cell r="Y5">
            <v>-2.5000000000000001E-2</v>
          </cell>
          <cell r="Z5">
            <v>7.0000000000000173E-2</v>
          </cell>
          <cell r="AA5">
            <v>1.4999999999999999E-2</v>
          </cell>
          <cell r="AB5">
            <v>0.01</v>
          </cell>
          <cell r="AC5">
            <v>1.6092030075187966</v>
          </cell>
          <cell r="AD5">
            <v>0</v>
          </cell>
          <cell r="AE5">
            <v>-6.7653599999999994</v>
          </cell>
          <cell r="AF5">
            <v>-1.8515000000000001</v>
          </cell>
          <cell r="AG5">
            <v>48.328000000000117</v>
          </cell>
          <cell r="AH5">
            <v>9.7777461928933995</v>
          </cell>
          <cell r="AI5">
            <v>6.4855757575757575</v>
          </cell>
          <cell r="AJ5">
            <v>57.583664957988077</v>
          </cell>
          <cell r="AK5">
            <v>699.65566495798794</v>
          </cell>
          <cell r="AL5" t="str">
            <v>1/13  Comb</v>
          </cell>
          <cell r="AM5">
            <v>0</v>
          </cell>
          <cell r="AN5" t="str">
            <v>2/30  KC</v>
          </cell>
          <cell r="AO5" t="str">
            <v xml:space="preserve">1/16OE  </v>
          </cell>
          <cell r="AP5" t="str">
            <v>2/20  KC</v>
          </cell>
          <cell r="AQ5" t="str">
            <v>/450  Den</v>
          </cell>
          <cell r="AR5">
            <v>0</v>
          </cell>
          <cell r="AS5">
            <v>96.5</v>
          </cell>
          <cell r="AT5">
            <v>0</v>
          </cell>
          <cell r="AU5">
            <v>118.5</v>
          </cell>
          <cell r="AV5">
            <v>77.75</v>
          </cell>
          <cell r="AW5">
            <v>107.5</v>
          </cell>
          <cell r="AX5">
            <v>127.25</v>
          </cell>
          <cell r="AY5">
            <v>0</v>
          </cell>
          <cell r="AZ5">
            <v>46.632660000000001</v>
          </cell>
          <cell r="BA5">
            <v>8.776110000000001</v>
          </cell>
          <cell r="BB5">
            <v>6.9717647499999993</v>
          </cell>
          <cell r="BC5">
            <v>3.6947749999999995</v>
          </cell>
          <cell r="BD5">
            <v>1.15301225</v>
          </cell>
          <cell r="BE5">
            <v>0.15669759263157892</v>
          </cell>
          <cell r="BF5">
            <v>0</v>
          </cell>
          <cell r="BI5">
            <v>0</v>
          </cell>
          <cell r="BJ5">
            <v>0.95211684456852785</v>
          </cell>
          <cell r="BK5">
            <v>0.63153878242424255</v>
          </cell>
          <cell r="BL5">
            <v>1.7403532196243492</v>
          </cell>
          <cell r="BM5">
            <v>-4.0230075187969914E-2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-0.24444365482233499</v>
          </cell>
          <cell r="BS5">
            <v>0</v>
          </cell>
          <cell r="BT5">
            <v>-0.28467373001030488</v>
          </cell>
          <cell r="BU5">
            <v>99.896690642561367</v>
          </cell>
          <cell r="BV5">
            <v>-0.35406091370558368</v>
          </cell>
          <cell r="BW5">
            <v>99.542629728855786</v>
          </cell>
          <cell r="BX5">
            <v>107.41579638985094</v>
          </cell>
          <cell r="BY5">
            <v>-0.38071065989847708</v>
          </cell>
          <cell r="BZ5">
            <v>107.03508572995246</v>
          </cell>
          <cell r="CA5">
            <v>107.41579638985094</v>
          </cell>
          <cell r="CB5">
            <v>-0.44336730150248715</v>
          </cell>
          <cell r="CC5">
            <v>106.97242908834845</v>
          </cell>
          <cell r="CD5">
            <v>6.7653599999999994</v>
          </cell>
          <cell r="CE5">
            <v>200</v>
          </cell>
          <cell r="CF5">
            <v>2.1073524464546036</v>
          </cell>
          <cell r="CG5">
            <v>1.8515000000000001</v>
          </cell>
          <cell r="CH5">
            <v>140</v>
          </cell>
          <cell r="CI5">
            <v>0.40370861834809818</v>
          </cell>
          <cell r="CJ5">
            <v>2.5110610648027016</v>
          </cell>
          <cell r="CK5">
            <v>0.67736328636040821</v>
          </cell>
          <cell r="CL5">
            <v>0.10381078757522522</v>
          </cell>
          <cell r="CM5">
            <v>2.903225806451613</v>
          </cell>
          <cell r="CN5">
            <v>3.6843998803872466</v>
          </cell>
          <cell r="CO5">
            <v>1.4074103838821817E-2</v>
          </cell>
          <cell r="CP5">
            <v>1.2795698924731187</v>
          </cell>
          <cell r="CQ5">
            <v>1.2936439963119406</v>
          </cell>
          <cell r="CR5">
            <v>1.21</v>
          </cell>
          <cell r="CS5">
            <v>9.81</v>
          </cell>
          <cell r="CT5">
            <v>8.43</v>
          </cell>
          <cell r="CU5">
            <v>0</v>
          </cell>
          <cell r="CV5">
            <v>133.91153402985034</v>
          </cell>
        </row>
        <row r="6">
          <cell r="K6" t="str">
            <v>ExportTargetWaverlyUSABath76x142M</v>
          </cell>
          <cell r="L6">
            <v>0</v>
          </cell>
          <cell r="M6">
            <v>483.24</v>
          </cell>
          <cell r="N6">
            <v>0</v>
          </cell>
          <cell r="O6">
            <v>74.06</v>
          </cell>
          <cell r="P6">
            <v>89.668999999999997</v>
          </cell>
          <cell r="Q6">
            <v>34.369999999999997</v>
          </cell>
          <cell r="R6">
            <v>9.0609999999999999</v>
          </cell>
          <cell r="S6">
            <v>0</v>
          </cell>
          <cell r="T6">
            <v>690.4</v>
          </cell>
          <cell r="U6">
            <v>642.07199999999989</v>
          </cell>
          <cell r="V6">
            <v>2.5000000000000001E-3</v>
          </cell>
          <cell r="W6">
            <v>0</v>
          </cell>
          <cell r="X6">
            <v>-1.3999999999999999E-2</v>
          </cell>
          <cell r="Y6">
            <v>-2.5000000000000001E-2</v>
          </cell>
          <cell r="Z6">
            <v>7.0000000000000173E-2</v>
          </cell>
          <cell r="AA6">
            <v>1.4999999999999999E-2</v>
          </cell>
          <cell r="AB6">
            <v>0.01</v>
          </cell>
          <cell r="AC6">
            <v>1.6092030075187966</v>
          </cell>
          <cell r="AD6">
            <v>0</v>
          </cell>
          <cell r="AE6">
            <v>-6.7653599999999994</v>
          </cell>
          <cell r="AF6">
            <v>-1.8515000000000001</v>
          </cell>
          <cell r="AG6">
            <v>48.328000000000117</v>
          </cell>
          <cell r="AH6">
            <v>9.7777461928933995</v>
          </cell>
          <cell r="AI6">
            <v>6.4855757575757575</v>
          </cell>
          <cell r="AJ6">
            <v>57.583664957988077</v>
          </cell>
          <cell r="AK6">
            <v>699.65566495798794</v>
          </cell>
          <cell r="AL6" t="str">
            <v>1/13  Comb</v>
          </cell>
          <cell r="AM6">
            <v>0</v>
          </cell>
          <cell r="AN6" t="str">
            <v>2/30  KC</v>
          </cell>
          <cell r="AO6" t="str">
            <v xml:space="preserve">1/16OE  </v>
          </cell>
          <cell r="AP6" t="str">
            <v>2/20  KC</v>
          </cell>
          <cell r="AQ6" t="str">
            <v>/450  Den</v>
          </cell>
          <cell r="AR6">
            <v>0</v>
          </cell>
          <cell r="AS6">
            <v>96.5</v>
          </cell>
          <cell r="AT6">
            <v>0</v>
          </cell>
          <cell r="AU6">
            <v>118.5</v>
          </cell>
          <cell r="AV6">
            <v>77.75</v>
          </cell>
          <cell r="AW6">
            <v>107.5</v>
          </cell>
          <cell r="AX6">
            <v>127.25</v>
          </cell>
          <cell r="AY6">
            <v>0</v>
          </cell>
          <cell r="AZ6">
            <v>46.632660000000001</v>
          </cell>
          <cell r="BA6">
            <v>8.776110000000001</v>
          </cell>
          <cell r="BB6">
            <v>6.9717647499999993</v>
          </cell>
          <cell r="BC6">
            <v>3.6947749999999995</v>
          </cell>
          <cell r="BD6">
            <v>1.15301225</v>
          </cell>
          <cell r="BE6">
            <v>0.15669759263157892</v>
          </cell>
          <cell r="BF6">
            <v>0</v>
          </cell>
          <cell r="BI6">
            <v>0</v>
          </cell>
          <cell r="BJ6">
            <v>0.95211684456852785</v>
          </cell>
          <cell r="BK6">
            <v>0.63153878242424255</v>
          </cell>
          <cell r="BL6">
            <v>1.7403532196243492</v>
          </cell>
          <cell r="BM6">
            <v>-4.0230075187969914E-2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-0.24444365482233499</v>
          </cell>
          <cell r="BS6">
            <v>0</v>
          </cell>
          <cell r="BT6">
            <v>-0.28467373001030488</v>
          </cell>
          <cell r="BU6">
            <v>99.896690642561367</v>
          </cell>
          <cell r="BV6">
            <v>-0.35406091370558368</v>
          </cell>
          <cell r="BW6">
            <v>99.542629728855786</v>
          </cell>
          <cell r="BX6">
            <v>107.41579638985094</v>
          </cell>
          <cell r="BY6">
            <v>-0.38071065989847708</v>
          </cell>
          <cell r="BZ6">
            <v>107.03508572995246</v>
          </cell>
          <cell r="CA6">
            <v>107.41579638985094</v>
          </cell>
          <cell r="CB6">
            <v>-0.44336730150248715</v>
          </cell>
          <cell r="CC6">
            <v>106.97242908834845</v>
          </cell>
          <cell r="CD6">
            <v>6.7653599999999994</v>
          </cell>
          <cell r="CE6">
            <v>200</v>
          </cell>
          <cell r="CF6">
            <v>2.1073524464546036</v>
          </cell>
          <cell r="CG6">
            <v>1.8515000000000001</v>
          </cell>
          <cell r="CH6">
            <v>140</v>
          </cell>
          <cell r="CI6">
            <v>0.40370861834809818</v>
          </cell>
          <cell r="CJ6">
            <v>2.5110610648027016</v>
          </cell>
          <cell r="CK6">
            <v>0.67736328636040821</v>
          </cell>
          <cell r="CL6">
            <v>0.10381078757522522</v>
          </cell>
          <cell r="CM6">
            <v>2.903225806451613</v>
          </cell>
          <cell r="CN6">
            <v>3.6843998803872466</v>
          </cell>
          <cell r="CO6">
            <v>1.4074103838821817E-2</v>
          </cell>
          <cell r="CP6">
            <v>1.2795698924731187</v>
          </cell>
          <cell r="CQ6">
            <v>1.2936439963119406</v>
          </cell>
          <cell r="CR6">
            <v>4.22</v>
          </cell>
          <cell r="CS6">
            <v>9.7200000000000006</v>
          </cell>
          <cell r="CT6">
            <v>8.43</v>
          </cell>
          <cell r="CU6">
            <v>0</v>
          </cell>
          <cell r="CV6">
            <v>136.83153402985033</v>
          </cell>
        </row>
        <row r="7">
          <cell r="K7" t="str">
            <v>ExportTargetWaverlyUSABath76x142D</v>
          </cell>
          <cell r="L7">
            <v>0</v>
          </cell>
          <cell r="M7">
            <v>483.24</v>
          </cell>
          <cell r="N7">
            <v>0</v>
          </cell>
          <cell r="O7">
            <v>74.06</v>
          </cell>
          <cell r="P7">
            <v>89.668999999999997</v>
          </cell>
          <cell r="Q7">
            <v>34.369999999999997</v>
          </cell>
          <cell r="R7">
            <v>9.0609999999999999</v>
          </cell>
          <cell r="S7">
            <v>0</v>
          </cell>
          <cell r="T7">
            <v>690.4</v>
          </cell>
          <cell r="U7">
            <v>642.07199999999989</v>
          </cell>
          <cell r="V7">
            <v>2.5000000000000001E-3</v>
          </cell>
          <cell r="W7">
            <v>0</v>
          </cell>
          <cell r="X7">
            <v>-1.3999999999999999E-2</v>
          </cell>
          <cell r="Y7">
            <v>-2.5000000000000001E-2</v>
          </cell>
          <cell r="Z7">
            <v>7.0000000000000173E-2</v>
          </cell>
          <cell r="AA7">
            <v>1.4999999999999999E-2</v>
          </cell>
          <cell r="AB7">
            <v>0.01</v>
          </cell>
          <cell r="AC7">
            <v>1.6092030075187966</v>
          </cell>
          <cell r="AD7">
            <v>0</v>
          </cell>
          <cell r="AE7">
            <v>-6.7653599999999994</v>
          </cell>
          <cell r="AF7">
            <v>-1.8515000000000001</v>
          </cell>
          <cell r="AG7">
            <v>48.328000000000117</v>
          </cell>
          <cell r="AH7">
            <v>9.7777461928933995</v>
          </cell>
          <cell r="AI7">
            <v>6.4855757575757575</v>
          </cell>
          <cell r="AJ7">
            <v>57.583664957988077</v>
          </cell>
          <cell r="AK7">
            <v>699.65566495798794</v>
          </cell>
          <cell r="AL7" t="str">
            <v>1/13  Comb</v>
          </cell>
          <cell r="AM7">
            <v>0</v>
          </cell>
          <cell r="AN7" t="str">
            <v>2/30  KC</v>
          </cell>
          <cell r="AO7" t="str">
            <v xml:space="preserve">1/16OE  </v>
          </cell>
          <cell r="AP7" t="str">
            <v>2/20  KC</v>
          </cell>
          <cell r="AQ7" t="str">
            <v>/450  Den</v>
          </cell>
          <cell r="AR7">
            <v>0</v>
          </cell>
          <cell r="AS7">
            <v>96.5</v>
          </cell>
          <cell r="AT7">
            <v>0</v>
          </cell>
          <cell r="AU7">
            <v>118.5</v>
          </cell>
          <cell r="AV7">
            <v>77.75</v>
          </cell>
          <cell r="AW7">
            <v>107.5</v>
          </cell>
          <cell r="AX7">
            <v>127.25</v>
          </cell>
          <cell r="AY7">
            <v>0</v>
          </cell>
          <cell r="AZ7">
            <v>46.632660000000001</v>
          </cell>
          <cell r="BA7">
            <v>8.776110000000001</v>
          </cell>
          <cell r="BB7">
            <v>6.9717647499999993</v>
          </cell>
          <cell r="BC7">
            <v>3.6947749999999995</v>
          </cell>
          <cell r="BD7">
            <v>1.15301225</v>
          </cell>
          <cell r="BE7">
            <v>0.15669759263157892</v>
          </cell>
          <cell r="BF7">
            <v>0</v>
          </cell>
          <cell r="BI7">
            <v>0</v>
          </cell>
          <cell r="BJ7">
            <v>0.95211684456852785</v>
          </cell>
          <cell r="BK7">
            <v>0.63153878242424255</v>
          </cell>
          <cell r="BL7">
            <v>1.7403532196243492</v>
          </cell>
          <cell r="BM7">
            <v>-4.0230075187969914E-2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-0.24444365482233499</v>
          </cell>
          <cell r="BS7">
            <v>0</v>
          </cell>
          <cell r="BT7">
            <v>-0.28467373001030488</v>
          </cell>
          <cell r="BU7">
            <v>99.896690642561367</v>
          </cell>
          <cell r="BV7">
            <v>-0.35406091370558368</v>
          </cell>
          <cell r="BW7">
            <v>99.542629728855786</v>
          </cell>
          <cell r="BX7">
            <v>107.41579638985094</v>
          </cell>
          <cell r="BY7">
            <v>-0.38071065989847708</v>
          </cell>
          <cell r="BZ7">
            <v>107.03508572995246</v>
          </cell>
          <cell r="CA7">
            <v>107.41579638985094</v>
          </cell>
          <cell r="CB7">
            <v>-0.44336730150248715</v>
          </cell>
          <cell r="CC7">
            <v>106.97242908834845</v>
          </cell>
          <cell r="CD7">
            <v>6.7653599999999994</v>
          </cell>
          <cell r="CE7">
            <v>200</v>
          </cell>
          <cell r="CF7">
            <v>2.1073524464546036</v>
          </cell>
          <cell r="CG7">
            <v>1.8515000000000001</v>
          </cell>
          <cell r="CH7">
            <v>140</v>
          </cell>
          <cell r="CI7">
            <v>0.40370861834809818</v>
          </cell>
          <cell r="CJ7">
            <v>2.5110610648027016</v>
          </cell>
          <cell r="CK7">
            <v>0.67736328636040821</v>
          </cell>
          <cell r="CL7">
            <v>0.10381078757522522</v>
          </cell>
          <cell r="CM7">
            <v>2.903225806451613</v>
          </cell>
          <cell r="CN7">
            <v>3.6843998803872466</v>
          </cell>
          <cell r="CO7">
            <v>1.4074103838821817E-2</v>
          </cell>
          <cell r="CP7">
            <v>1.2795698924731187</v>
          </cell>
          <cell r="CQ7">
            <v>1.2936439963119406</v>
          </cell>
          <cell r="CR7">
            <v>14.66</v>
          </cell>
          <cell r="CS7">
            <v>9.98</v>
          </cell>
          <cell r="CT7">
            <v>8.43</v>
          </cell>
          <cell r="CU7">
            <v>0</v>
          </cell>
          <cell r="CV7">
            <v>147.53153402985035</v>
          </cell>
        </row>
        <row r="8">
          <cell r="K8" t="str">
            <v>ExportTargetWaverlyUSAHand41x76L</v>
          </cell>
          <cell r="L8">
            <v>0</v>
          </cell>
          <cell r="M8">
            <v>133.83000000000001</v>
          </cell>
          <cell r="N8">
            <v>0</v>
          </cell>
          <cell r="O8">
            <v>22.79</v>
          </cell>
          <cell r="P8">
            <v>29.478000000000002</v>
          </cell>
          <cell r="Q8">
            <v>15.87</v>
          </cell>
          <cell r="R8">
            <v>3.7370000000000001</v>
          </cell>
          <cell r="S8">
            <v>0</v>
          </cell>
          <cell r="T8">
            <v>205.70500000000001</v>
          </cell>
          <cell r="U8">
            <v>191.30564999999999</v>
          </cell>
          <cell r="V8">
            <v>2.5000000000000001E-3</v>
          </cell>
          <cell r="W8">
            <v>0</v>
          </cell>
          <cell r="X8">
            <v>-1.3999999999999999E-2</v>
          </cell>
          <cell r="Y8">
            <v>-2.5000000000000001E-2</v>
          </cell>
          <cell r="Z8">
            <v>7.0000000000000173E-2</v>
          </cell>
          <cell r="AA8">
            <v>1.4999999999999999E-2</v>
          </cell>
          <cell r="AB8">
            <v>0.01</v>
          </cell>
          <cell r="AC8">
            <v>0.47946278195488717</v>
          </cell>
          <cell r="AD8">
            <v>0</v>
          </cell>
          <cell r="AE8">
            <v>-1.8736200000000001</v>
          </cell>
          <cell r="AF8">
            <v>-0.56974999999999998</v>
          </cell>
          <cell r="AG8">
            <v>14.399350000000036</v>
          </cell>
          <cell r="AH8">
            <v>2.9132840101522843</v>
          </cell>
          <cell r="AI8">
            <v>1.9323803030303028</v>
          </cell>
          <cell r="AJ8">
            <v>17.281107095137511</v>
          </cell>
          <cell r="AK8">
            <v>208.5867570951375</v>
          </cell>
          <cell r="AL8" t="str">
            <v>1/13  Comb</v>
          </cell>
          <cell r="AM8">
            <v>0</v>
          </cell>
          <cell r="AN8" t="str">
            <v>2/30  KC</v>
          </cell>
          <cell r="AO8" t="str">
            <v xml:space="preserve">1/16OE  </v>
          </cell>
          <cell r="AP8" t="str">
            <v>2/20  KC</v>
          </cell>
          <cell r="AQ8" t="str">
            <v>/450  Den</v>
          </cell>
          <cell r="AR8">
            <v>0</v>
          </cell>
          <cell r="AS8">
            <v>96.5</v>
          </cell>
          <cell r="AT8">
            <v>0</v>
          </cell>
          <cell r="AU8">
            <v>118.5</v>
          </cell>
          <cell r="AV8">
            <v>77.75</v>
          </cell>
          <cell r="AW8">
            <v>107.5</v>
          </cell>
          <cell r="AX8">
            <v>127.25</v>
          </cell>
          <cell r="AY8">
            <v>0</v>
          </cell>
          <cell r="AZ8">
            <v>12.914595000000002</v>
          </cell>
          <cell r="BA8">
            <v>2.700615</v>
          </cell>
          <cell r="BB8">
            <v>2.2919145000000003</v>
          </cell>
          <cell r="BC8">
            <v>1.7060249999999999</v>
          </cell>
          <cell r="BD8">
            <v>0.47553325000000002</v>
          </cell>
          <cell r="BE8">
            <v>4.6823245507518797E-2</v>
          </cell>
          <cell r="BF8">
            <v>0</v>
          </cell>
          <cell r="BI8">
            <v>0</v>
          </cell>
          <cell r="BJ8">
            <v>0.28450469478426399</v>
          </cell>
          <cell r="BK8">
            <v>0.18871186825757577</v>
          </cell>
          <cell r="BL8">
            <v>0.52003980854935861</v>
          </cell>
          <cell r="BM8">
            <v>-1.1986569548872179E-2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-7.2832100253807111E-2</v>
          </cell>
          <cell r="BS8">
            <v>0</v>
          </cell>
          <cell r="BT8">
            <v>-8.4818669802679297E-2</v>
          </cell>
          <cell r="BU8">
            <v>100.18581249142881</v>
          </cell>
          <cell r="BV8">
            <v>-0.35406091370558379</v>
          </cell>
          <cell r="BW8">
            <v>99.831751577723225</v>
          </cell>
          <cell r="BX8">
            <v>107.72668009831055</v>
          </cell>
          <cell r="BY8">
            <v>-0.38071065989847724</v>
          </cell>
          <cell r="BZ8">
            <v>107.34596943841207</v>
          </cell>
          <cell r="CA8">
            <v>107.72668009831055</v>
          </cell>
          <cell r="CB8">
            <v>-0.44336730150248727</v>
          </cell>
          <cell r="CC8">
            <v>107.28331279680806</v>
          </cell>
          <cell r="CD8">
            <v>1.8736200000000001</v>
          </cell>
          <cell r="CE8">
            <v>200</v>
          </cell>
          <cell r="CF8">
            <v>1.9587712124550425</v>
          </cell>
          <cell r="CG8">
            <v>0.56974999999999998</v>
          </cell>
          <cell r="CH8">
            <v>140</v>
          </cell>
          <cell r="CI8">
            <v>0.41695057098418165</v>
          </cell>
          <cell r="CJ8">
            <v>2.3757217834392241</v>
          </cell>
          <cell r="CK8">
            <v>0.62960503257483513</v>
          </cell>
          <cell r="CL8">
            <v>0.10721586111021811</v>
          </cell>
          <cell r="CM8">
            <v>2.903225806451613</v>
          </cell>
          <cell r="CN8">
            <v>3.6400467001366663</v>
          </cell>
          <cell r="CO8">
            <v>1.3081793454610465E-2</v>
          </cell>
          <cell r="CP8">
            <v>1.2795698924731187</v>
          </cell>
          <cell r="CQ8">
            <v>1.2926516859277291</v>
          </cell>
          <cell r="CR8">
            <v>1.21</v>
          </cell>
          <cell r="CS8">
            <v>9.81</v>
          </cell>
          <cell r="CT8">
            <v>19.39</v>
          </cell>
          <cell r="CU8">
            <v>0</v>
          </cell>
          <cell r="CV8">
            <v>145.00173296631166</v>
          </cell>
        </row>
        <row r="9">
          <cell r="K9" t="str">
            <v>ExportTargetWaverlyUSAHand41x76M</v>
          </cell>
          <cell r="L9">
            <v>0</v>
          </cell>
          <cell r="M9">
            <v>133.83000000000001</v>
          </cell>
          <cell r="N9">
            <v>0</v>
          </cell>
          <cell r="O9">
            <v>22.79</v>
          </cell>
          <cell r="P9">
            <v>29.478000000000002</v>
          </cell>
          <cell r="Q9">
            <v>15.87</v>
          </cell>
          <cell r="R9">
            <v>3.7370000000000001</v>
          </cell>
          <cell r="S9">
            <v>0</v>
          </cell>
          <cell r="T9">
            <v>205.70500000000001</v>
          </cell>
          <cell r="U9">
            <v>191.30564999999999</v>
          </cell>
          <cell r="V9">
            <v>2.5000000000000001E-3</v>
          </cell>
          <cell r="W9">
            <v>0</v>
          </cell>
          <cell r="X9">
            <v>-1.3999999999999999E-2</v>
          </cell>
          <cell r="Y9">
            <v>-2.5000000000000001E-2</v>
          </cell>
          <cell r="Z9">
            <v>7.0000000000000173E-2</v>
          </cell>
          <cell r="AA9">
            <v>1.4999999999999999E-2</v>
          </cell>
          <cell r="AB9">
            <v>0.01</v>
          </cell>
          <cell r="AC9">
            <v>0.47946278195488717</v>
          </cell>
          <cell r="AD9">
            <v>0</v>
          </cell>
          <cell r="AE9">
            <v>-1.8736200000000001</v>
          </cell>
          <cell r="AF9">
            <v>-0.56974999999999998</v>
          </cell>
          <cell r="AG9">
            <v>14.399350000000036</v>
          </cell>
          <cell r="AH9">
            <v>2.9132840101522843</v>
          </cell>
          <cell r="AI9">
            <v>1.9323803030303028</v>
          </cell>
          <cell r="AJ9">
            <v>17.281107095137511</v>
          </cell>
          <cell r="AK9">
            <v>208.5867570951375</v>
          </cell>
          <cell r="AL9" t="str">
            <v>1/13  Comb</v>
          </cell>
          <cell r="AM9">
            <v>0</v>
          </cell>
          <cell r="AN9" t="str">
            <v>2/30  KC</v>
          </cell>
          <cell r="AO9" t="str">
            <v xml:space="preserve">1/16OE  </v>
          </cell>
          <cell r="AP9" t="str">
            <v>2/20  KC</v>
          </cell>
          <cell r="AQ9" t="str">
            <v>/450  Den</v>
          </cell>
          <cell r="AR9">
            <v>0</v>
          </cell>
          <cell r="AS9">
            <v>96.5</v>
          </cell>
          <cell r="AT9">
            <v>0</v>
          </cell>
          <cell r="AU9">
            <v>118.5</v>
          </cell>
          <cell r="AV9">
            <v>77.75</v>
          </cell>
          <cell r="AW9">
            <v>107.5</v>
          </cell>
          <cell r="AX9">
            <v>127.25</v>
          </cell>
          <cell r="AY9">
            <v>0</v>
          </cell>
          <cell r="AZ9">
            <v>12.914595000000002</v>
          </cell>
          <cell r="BA9">
            <v>2.700615</v>
          </cell>
          <cell r="BB9">
            <v>2.2919145000000003</v>
          </cell>
          <cell r="BC9">
            <v>1.7060249999999999</v>
          </cell>
          <cell r="BD9">
            <v>0.47553325000000002</v>
          </cell>
          <cell r="BE9">
            <v>4.6823245507518797E-2</v>
          </cell>
          <cell r="BF9">
            <v>0</v>
          </cell>
          <cell r="BI9">
            <v>0</v>
          </cell>
          <cell r="BJ9">
            <v>0.28450469478426399</v>
          </cell>
          <cell r="BK9">
            <v>0.18871186825757577</v>
          </cell>
          <cell r="BL9">
            <v>0.52003980854935861</v>
          </cell>
          <cell r="BM9">
            <v>-1.1986569548872179E-2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-7.2832100253807111E-2</v>
          </cell>
          <cell r="BS9">
            <v>0</v>
          </cell>
          <cell r="BT9">
            <v>-8.4818669802679297E-2</v>
          </cell>
          <cell r="BU9">
            <v>100.18581249142881</v>
          </cell>
          <cell r="BV9">
            <v>-0.35406091370558379</v>
          </cell>
          <cell r="BW9">
            <v>99.831751577723225</v>
          </cell>
          <cell r="BX9">
            <v>107.72668009831055</v>
          </cell>
          <cell r="BY9">
            <v>-0.38071065989847724</v>
          </cell>
          <cell r="BZ9">
            <v>107.34596943841207</v>
          </cell>
          <cell r="CA9">
            <v>107.72668009831055</v>
          </cell>
          <cell r="CB9">
            <v>-0.44336730150248727</v>
          </cell>
          <cell r="CC9">
            <v>107.28331279680806</v>
          </cell>
          <cell r="CD9">
            <v>1.8736200000000001</v>
          </cell>
          <cell r="CE9">
            <v>200</v>
          </cell>
          <cell r="CF9">
            <v>1.9587712124550425</v>
          </cell>
          <cell r="CG9">
            <v>0.56974999999999998</v>
          </cell>
          <cell r="CH9">
            <v>140</v>
          </cell>
          <cell r="CI9">
            <v>0.41695057098418165</v>
          </cell>
          <cell r="CJ9">
            <v>2.3757217834392241</v>
          </cell>
          <cell r="CK9">
            <v>0.62960503257483513</v>
          </cell>
          <cell r="CL9">
            <v>0.10721586111021811</v>
          </cell>
          <cell r="CM9">
            <v>2.903225806451613</v>
          </cell>
          <cell r="CN9">
            <v>3.6400467001366663</v>
          </cell>
          <cell r="CO9">
            <v>1.3081793454610465E-2</v>
          </cell>
          <cell r="CP9">
            <v>1.2795698924731187</v>
          </cell>
          <cell r="CQ9">
            <v>1.2926516859277291</v>
          </cell>
          <cell r="CR9">
            <v>4.22</v>
          </cell>
          <cell r="CS9">
            <v>9.7200000000000006</v>
          </cell>
          <cell r="CT9">
            <v>19.39</v>
          </cell>
          <cell r="CU9">
            <v>0</v>
          </cell>
          <cell r="CV9">
            <v>147.92173296631165</v>
          </cell>
        </row>
        <row r="10">
          <cell r="K10" t="str">
            <v>ExportTargetWaverlyUSAHand41x76D</v>
          </cell>
          <cell r="L10">
            <v>0</v>
          </cell>
          <cell r="M10">
            <v>133.83000000000001</v>
          </cell>
          <cell r="N10">
            <v>0</v>
          </cell>
          <cell r="O10">
            <v>22.79</v>
          </cell>
          <cell r="P10">
            <v>29.478000000000002</v>
          </cell>
          <cell r="Q10">
            <v>15.87</v>
          </cell>
          <cell r="R10">
            <v>3.7370000000000001</v>
          </cell>
          <cell r="S10">
            <v>0</v>
          </cell>
          <cell r="T10">
            <v>205.70500000000001</v>
          </cell>
          <cell r="U10">
            <v>191.30564999999999</v>
          </cell>
          <cell r="V10">
            <v>2.5000000000000001E-3</v>
          </cell>
          <cell r="W10">
            <v>0</v>
          </cell>
          <cell r="X10">
            <v>-1.3999999999999999E-2</v>
          </cell>
          <cell r="Y10">
            <v>-2.5000000000000001E-2</v>
          </cell>
          <cell r="Z10">
            <v>7.0000000000000173E-2</v>
          </cell>
          <cell r="AA10">
            <v>1.4999999999999999E-2</v>
          </cell>
          <cell r="AB10">
            <v>0.01</v>
          </cell>
          <cell r="AC10">
            <v>0.47946278195488717</v>
          </cell>
          <cell r="AD10">
            <v>0</v>
          </cell>
          <cell r="AE10">
            <v>-1.8736200000000001</v>
          </cell>
          <cell r="AF10">
            <v>-0.56974999999999998</v>
          </cell>
          <cell r="AG10">
            <v>14.399350000000036</v>
          </cell>
          <cell r="AH10">
            <v>2.9132840101522843</v>
          </cell>
          <cell r="AI10">
            <v>1.9323803030303028</v>
          </cell>
          <cell r="AJ10">
            <v>17.281107095137511</v>
          </cell>
          <cell r="AK10">
            <v>208.5867570951375</v>
          </cell>
          <cell r="AL10" t="str">
            <v>1/13  Comb</v>
          </cell>
          <cell r="AM10">
            <v>0</v>
          </cell>
          <cell r="AN10" t="str">
            <v>2/30  KC</v>
          </cell>
          <cell r="AO10" t="str">
            <v xml:space="preserve">1/16OE  </v>
          </cell>
          <cell r="AP10" t="str">
            <v>2/20  KC</v>
          </cell>
          <cell r="AQ10" t="str">
            <v>/450  Den</v>
          </cell>
          <cell r="AR10">
            <v>0</v>
          </cell>
          <cell r="AS10">
            <v>96.5</v>
          </cell>
          <cell r="AT10">
            <v>0</v>
          </cell>
          <cell r="AU10">
            <v>118.5</v>
          </cell>
          <cell r="AV10">
            <v>77.75</v>
          </cell>
          <cell r="AW10">
            <v>107.5</v>
          </cell>
          <cell r="AX10">
            <v>127.25</v>
          </cell>
          <cell r="AY10">
            <v>0</v>
          </cell>
          <cell r="AZ10">
            <v>12.914595000000002</v>
          </cell>
          <cell r="BA10">
            <v>2.700615</v>
          </cell>
          <cell r="BB10">
            <v>2.2919145000000003</v>
          </cell>
          <cell r="BC10">
            <v>1.7060249999999999</v>
          </cell>
          <cell r="BD10">
            <v>0.47553325000000002</v>
          </cell>
          <cell r="BE10">
            <v>4.6823245507518797E-2</v>
          </cell>
          <cell r="BF10">
            <v>0</v>
          </cell>
          <cell r="BI10">
            <v>0</v>
          </cell>
          <cell r="BJ10">
            <v>0.28450469478426399</v>
          </cell>
          <cell r="BK10">
            <v>0.18871186825757577</v>
          </cell>
          <cell r="BL10">
            <v>0.52003980854935861</v>
          </cell>
          <cell r="BM10">
            <v>-1.1986569548872179E-2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-7.2832100253807111E-2</v>
          </cell>
          <cell r="BS10">
            <v>0</v>
          </cell>
          <cell r="BT10">
            <v>-8.4818669802679297E-2</v>
          </cell>
          <cell r="BU10">
            <v>100.18581249142881</v>
          </cell>
          <cell r="BV10">
            <v>-0.35406091370558379</v>
          </cell>
          <cell r="BW10">
            <v>99.831751577723225</v>
          </cell>
          <cell r="BX10">
            <v>107.72668009831055</v>
          </cell>
          <cell r="BY10">
            <v>-0.38071065989847724</v>
          </cell>
          <cell r="BZ10">
            <v>107.34596943841207</v>
          </cell>
          <cell r="CA10">
            <v>107.72668009831055</v>
          </cell>
          <cell r="CB10">
            <v>-0.44336730150248727</v>
          </cell>
          <cell r="CC10">
            <v>107.28331279680806</v>
          </cell>
          <cell r="CD10">
            <v>1.8736200000000001</v>
          </cell>
          <cell r="CE10">
            <v>200</v>
          </cell>
          <cell r="CF10">
            <v>1.9587712124550425</v>
          </cell>
          <cell r="CG10">
            <v>0.56974999999999998</v>
          </cell>
          <cell r="CH10">
            <v>140</v>
          </cell>
          <cell r="CI10">
            <v>0.41695057098418165</v>
          </cell>
          <cell r="CJ10">
            <v>2.3757217834392241</v>
          </cell>
          <cell r="CK10">
            <v>0.62960503257483513</v>
          </cell>
          <cell r="CL10">
            <v>0.10721586111021811</v>
          </cell>
          <cell r="CM10">
            <v>2.903225806451613</v>
          </cell>
          <cell r="CN10">
            <v>3.6400467001366663</v>
          </cell>
          <cell r="CO10">
            <v>1.3081793454610465E-2</v>
          </cell>
          <cell r="CP10">
            <v>1.2795698924731187</v>
          </cell>
          <cell r="CQ10">
            <v>1.2926516859277291</v>
          </cell>
          <cell r="CR10">
            <v>14.66</v>
          </cell>
          <cell r="CS10">
            <v>9.98</v>
          </cell>
          <cell r="CT10">
            <v>19.39</v>
          </cell>
          <cell r="CU10">
            <v>0</v>
          </cell>
          <cell r="CV10">
            <v>158.62173296631167</v>
          </cell>
        </row>
        <row r="11">
          <cell r="K11" t="str">
            <v>ExportTargetWaverlyUSAWash30x30L</v>
          </cell>
          <cell r="L11">
            <v>0</v>
          </cell>
          <cell r="M11">
            <v>36.840000000000003</v>
          </cell>
          <cell r="N11">
            <v>0</v>
          </cell>
          <cell r="O11">
            <v>7.97</v>
          </cell>
          <cell r="P11">
            <v>9.52</v>
          </cell>
          <cell r="Q11">
            <v>7.02</v>
          </cell>
          <cell r="R11">
            <v>1.052</v>
          </cell>
          <cell r="S11">
            <v>0</v>
          </cell>
          <cell r="T11">
            <v>62.401999999999994</v>
          </cell>
          <cell r="U11">
            <v>58.03385999999999</v>
          </cell>
          <cell r="V11">
            <v>2.5000000000000001E-3</v>
          </cell>
          <cell r="W11">
            <v>0</v>
          </cell>
          <cell r="X11">
            <v>-1.3999999999999999E-2</v>
          </cell>
          <cell r="Y11">
            <v>-2.5000000000000001E-2</v>
          </cell>
          <cell r="Z11">
            <v>7.0000000000000062E-2</v>
          </cell>
          <cell r="AA11">
            <v>1.4999999999999999E-2</v>
          </cell>
          <cell r="AB11">
            <v>0.01</v>
          </cell>
          <cell r="AC11">
            <v>0.14544827067669169</v>
          </cell>
          <cell r="AD11">
            <v>0</v>
          </cell>
          <cell r="AE11">
            <v>-0.51576</v>
          </cell>
          <cell r="AF11">
            <v>-0.19925000000000001</v>
          </cell>
          <cell r="AG11">
            <v>4.368140000000003</v>
          </cell>
          <cell r="AH11">
            <v>0.88376436548223336</v>
          </cell>
          <cell r="AI11">
            <v>0.58620060606060598</v>
          </cell>
          <cell r="AJ11">
            <v>5.2685432422195344</v>
          </cell>
          <cell r="AK11">
            <v>63.302403242219526</v>
          </cell>
          <cell r="AL11" t="str">
            <v>1/13  Comb</v>
          </cell>
          <cell r="AM11">
            <v>0</v>
          </cell>
          <cell r="AN11" t="str">
            <v>2/30  KC</v>
          </cell>
          <cell r="AO11" t="str">
            <v xml:space="preserve">1/16OE  </v>
          </cell>
          <cell r="AP11" t="str">
            <v>2/20  KC</v>
          </cell>
          <cell r="AQ11" t="str">
            <v>/450  Den</v>
          </cell>
          <cell r="AR11">
            <v>0</v>
          </cell>
          <cell r="AS11">
            <v>96.5</v>
          </cell>
          <cell r="AT11">
            <v>0</v>
          </cell>
          <cell r="AU11">
            <v>118.5</v>
          </cell>
          <cell r="AV11">
            <v>77.75</v>
          </cell>
          <cell r="AW11">
            <v>107.5</v>
          </cell>
          <cell r="AX11">
            <v>127.25</v>
          </cell>
          <cell r="AY11">
            <v>0</v>
          </cell>
          <cell r="AZ11">
            <v>3.5550600000000006</v>
          </cell>
          <cell r="BA11">
            <v>0.94444499999999998</v>
          </cell>
          <cell r="BB11">
            <v>0.74017999999999995</v>
          </cell>
          <cell r="BC11">
            <v>0.75464999999999993</v>
          </cell>
          <cell r="BD11">
            <v>0.13386700000000001</v>
          </cell>
          <cell r="BE11">
            <v>1.4283779097744361E-2</v>
          </cell>
          <cell r="BF11">
            <v>0</v>
          </cell>
          <cell r="BI11">
            <v>0</v>
          </cell>
          <cell r="BJ11">
            <v>8.6790271979695438E-2</v>
          </cell>
          <cell r="BK11">
            <v>5.7567958181818188E-2</v>
          </cell>
          <cell r="BL11">
            <v>0.15864200925925798</v>
          </cell>
          <cell r="BM11">
            <v>-3.6362067669172926E-3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-2.2094109137055836E-2</v>
          </cell>
          <cell r="BS11">
            <v>0</v>
          </cell>
          <cell r="BT11">
            <v>-2.5730315903973129E-2</v>
          </cell>
          <cell r="BU11">
            <v>100.74747619081535</v>
          </cell>
          <cell r="BV11">
            <v>-0.35406091370558374</v>
          </cell>
          <cell r="BW11">
            <v>100.39341527710977</v>
          </cell>
          <cell r="BX11">
            <v>108.33061956001652</v>
          </cell>
          <cell r="BY11">
            <v>-0.38071065989847719</v>
          </cell>
          <cell r="BZ11">
            <v>107.94990890011803</v>
          </cell>
          <cell r="CA11">
            <v>108.33061956001652</v>
          </cell>
          <cell r="CB11">
            <v>-0.44336730150248721</v>
          </cell>
          <cell r="CC11">
            <v>107.88725225851402</v>
          </cell>
          <cell r="CD11">
            <v>0.51576</v>
          </cell>
          <cell r="CE11">
            <v>200</v>
          </cell>
          <cell r="CF11">
            <v>1.7774450984304684</v>
          </cell>
          <cell r="CG11">
            <v>0.19925000000000001</v>
          </cell>
          <cell r="CH11">
            <v>140</v>
          </cell>
          <cell r="CI11">
            <v>0.4806676653939615</v>
          </cell>
          <cell r="CJ11">
            <v>2.25811276382443</v>
          </cell>
          <cell r="CK11">
            <v>0.57132163878122189</v>
          </cell>
          <cell r="CL11">
            <v>0.12360025681559007</v>
          </cell>
          <cell r="CM11">
            <v>2.903225806451613</v>
          </cell>
          <cell r="CN11">
            <v>3.5981477020484247</v>
          </cell>
          <cell r="CO11">
            <v>1.1870794050232057E-2</v>
          </cell>
          <cell r="CP11">
            <v>1.2795698924731185</v>
          </cell>
          <cell r="CQ11">
            <v>1.2914406865233505</v>
          </cell>
          <cell r="CR11">
            <v>1.21</v>
          </cell>
          <cell r="CS11">
            <v>9.81</v>
          </cell>
          <cell r="CT11">
            <v>49.08</v>
          </cell>
          <cell r="CU11">
            <v>0</v>
          </cell>
          <cell r="CV11">
            <v>175.13495341091021</v>
          </cell>
        </row>
        <row r="12">
          <cell r="K12" t="str">
            <v>ExportTargetWaverlyUSAWash30x30M</v>
          </cell>
          <cell r="L12">
            <v>0</v>
          </cell>
          <cell r="M12">
            <v>36.840000000000003</v>
          </cell>
          <cell r="N12">
            <v>0</v>
          </cell>
          <cell r="O12">
            <v>7.97</v>
          </cell>
          <cell r="P12">
            <v>9.52</v>
          </cell>
          <cell r="Q12">
            <v>7.02</v>
          </cell>
          <cell r="R12">
            <v>1.052</v>
          </cell>
          <cell r="S12">
            <v>0</v>
          </cell>
          <cell r="T12">
            <v>62.401999999999994</v>
          </cell>
          <cell r="U12">
            <v>58.03385999999999</v>
          </cell>
          <cell r="V12">
            <v>2.5000000000000001E-3</v>
          </cell>
          <cell r="W12">
            <v>0</v>
          </cell>
          <cell r="X12">
            <v>-1.3999999999999999E-2</v>
          </cell>
          <cell r="Y12">
            <v>-2.5000000000000001E-2</v>
          </cell>
          <cell r="Z12">
            <v>7.0000000000000062E-2</v>
          </cell>
          <cell r="AA12">
            <v>1.4999999999999999E-2</v>
          </cell>
          <cell r="AB12">
            <v>0.01</v>
          </cell>
          <cell r="AC12">
            <v>0.14544827067669169</v>
          </cell>
          <cell r="AD12">
            <v>0</v>
          </cell>
          <cell r="AE12">
            <v>-0.51576</v>
          </cell>
          <cell r="AF12">
            <v>-0.19925000000000001</v>
          </cell>
          <cell r="AG12">
            <v>4.368140000000003</v>
          </cell>
          <cell r="AH12">
            <v>0.88376436548223336</v>
          </cell>
          <cell r="AI12">
            <v>0.58620060606060598</v>
          </cell>
          <cell r="AJ12">
            <v>5.2685432422195344</v>
          </cell>
          <cell r="AK12">
            <v>63.302403242219526</v>
          </cell>
          <cell r="AL12" t="str">
            <v>1/13  Comb</v>
          </cell>
          <cell r="AM12">
            <v>0</v>
          </cell>
          <cell r="AN12" t="str">
            <v>2/30  KC</v>
          </cell>
          <cell r="AO12" t="str">
            <v xml:space="preserve">1/16OE  </v>
          </cell>
          <cell r="AP12" t="str">
            <v>2/20  KC</v>
          </cell>
          <cell r="AQ12" t="str">
            <v>/450  Den</v>
          </cell>
          <cell r="AR12">
            <v>0</v>
          </cell>
          <cell r="AS12">
            <v>96.5</v>
          </cell>
          <cell r="AT12">
            <v>0</v>
          </cell>
          <cell r="AU12">
            <v>118.5</v>
          </cell>
          <cell r="AV12">
            <v>77.75</v>
          </cell>
          <cell r="AW12">
            <v>107.5</v>
          </cell>
          <cell r="AX12">
            <v>127.25</v>
          </cell>
          <cell r="AY12">
            <v>0</v>
          </cell>
          <cell r="AZ12">
            <v>3.5550600000000006</v>
          </cell>
          <cell r="BA12">
            <v>0.94444499999999998</v>
          </cell>
          <cell r="BB12">
            <v>0.74017999999999995</v>
          </cell>
          <cell r="BC12">
            <v>0.75464999999999993</v>
          </cell>
          <cell r="BD12">
            <v>0.13386700000000001</v>
          </cell>
          <cell r="BE12">
            <v>1.4283779097744361E-2</v>
          </cell>
          <cell r="BF12">
            <v>0</v>
          </cell>
          <cell r="BI12">
            <v>0</v>
          </cell>
          <cell r="BJ12">
            <v>8.6790271979695438E-2</v>
          </cell>
          <cell r="BK12">
            <v>5.7567958181818188E-2</v>
          </cell>
          <cell r="BL12">
            <v>0.15864200925925798</v>
          </cell>
          <cell r="BM12">
            <v>-3.6362067669172926E-3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-2.2094109137055836E-2</v>
          </cell>
          <cell r="BS12">
            <v>0</v>
          </cell>
          <cell r="BT12">
            <v>-2.5730315903973129E-2</v>
          </cell>
          <cell r="BU12">
            <v>100.74747619081535</v>
          </cell>
          <cell r="BV12">
            <v>-0.35406091370558374</v>
          </cell>
          <cell r="BW12">
            <v>100.39341527710977</v>
          </cell>
          <cell r="BX12">
            <v>108.33061956001652</v>
          </cell>
          <cell r="BY12">
            <v>-0.38071065989847719</v>
          </cell>
          <cell r="BZ12">
            <v>107.94990890011803</v>
          </cell>
          <cell r="CA12">
            <v>108.33061956001652</v>
          </cell>
          <cell r="CB12">
            <v>-0.44336730150248721</v>
          </cell>
          <cell r="CC12">
            <v>107.88725225851402</v>
          </cell>
          <cell r="CD12">
            <v>0.51576</v>
          </cell>
          <cell r="CE12">
            <v>200</v>
          </cell>
          <cell r="CF12">
            <v>1.7774450984304684</v>
          </cell>
          <cell r="CG12">
            <v>0.19925000000000001</v>
          </cell>
          <cell r="CH12">
            <v>140</v>
          </cell>
          <cell r="CI12">
            <v>0.4806676653939615</v>
          </cell>
          <cell r="CJ12">
            <v>2.25811276382443</v>
          </cell>
          <cell r="CK12">
            <v>0.57132163878122189</v>
          </cell>
          <cell r="CL12">
            <v>0.12360025681559007</v>
          </cell>
          <cell r="CM12">
            <v>2.903225806451613</v>
          </cell>
          <cell r="CN12">
            <v>3.5981477020484247</v>
          </cell>
          <cell r="CO12">
            <v>1.1870794050232057E-2</v>
          </cell>
          <cell r="CP12">
            <v>1.2795698924731185</v>
          </cell>
          <cell r="CQ12">
            <v>1.2914406865233505</v>
          </cell>
          <cell r="CR12">
            <v>4.22</v>
          </cell>
          <cell r="CS12">
            <v>9.7200000000000006</v>
          </cell>
          <cell r="CT12">
            <v>49.08</v>
          </cell>
          <cell r="CU12">
            <v>0</v>
          </cell>
          <cell r="CV12">
            <v>178.05495341091023</v>
          </cell>
        </row>
        <row r="13">
          <cell r="K13" t="str">
            <v>ExportTargetWaverlyUSAWash30x30D</v>
          </cell>
          <cell r="L13">
            <v>0</v>
          </cell>
          <cell r="M13">
            <v>36.840000000000003</v>
          </cell>
          <cell r="N13">
            <v>0</v>
          </cell>
          <cell r="O13">
            <v>7.97</v>
          </cell>
          <cell r="P13">
            <v>9.52</v>
          </cell>
          <cell r="Q13">
            <v>7.02</v>
          </cell>
          <cell r="R13">
            <v>1.052</v>
          </cell>
          <cell r="S13">
            <v>0</v>
          </cell>
          <cell r="T13">
            <v>62.401999999999994</v>
          </cell>
          <cell r="U13">
            <v>58.03385999999999</v>
          </cell>
          <cell r="V13">
            <v>2.5000000000000001E-3</v>
          </cell>
          <cell r="W13">
            <v>0</v>
          </cell>
          <cell r="X13">
            <v>-1.3999999999999999E-2</v>
          </cell>
          <cell r="Y13">
            <v>-2.5000000000000001E-2</v>
          </cell>
          <cell r="Z13">
            <v>7.0000000000000062E-2</v>
          </cell>
          <cell r="AA13">
            <v>1.4999999999999999E-2</v>
          </cell>
          <cell r="AB13">
            <v>0.01</v>
          </cell>
          <cell r="AC13">
            <v>0.14544827067669169</v>
          </cell>
          <cell r="AD13">
            <v>0</v>
          </cell>
          <cell r="AE13">
            <v>-0.51576</v>
          </cell>
          <cell r="AF13">
            <v>-0.19925000000000001</v>
          </cell>
          <cell r="AG13">
            <v>4.368140000000003</v>
          </cell>
          <cell r="AH13">
            <v>0.88376436548223336</v>
          </cell>
          <cell r="AI13">
            <v>0.58620060606060598</v>
          </cell>
          <cell r="AJ13">
            <v>5.2685432422195344</v>
          </cell>
          <cell r="AK13">
            <v>63.302403242219526</v>
          </cell>
          <cell r="AL13" t="str">
            <v>1/13  Comb</v>
          </cell>
          <cell r="AM13">
            <v>0</v>
          </cell>
          <cell r="AN13" t="str">
            <v>2/30  KC</v>
          </cell>
          <cell r="AO13" t="str">
            <v xml:space="preserve">1/16OE  </v>
          </cell>
          <cell r="AP13" t="str">
            <v>2/20  KC</v>
          </cell>
          <cell r="AQ13" t="str">
            <v>/450  Den</v>
          </cell>
          <cell r="AR13">
            <v>0</v>
          </cell>
          <cell r="AS13">
            <v>96.5</v>
          </cell>
          <cell r="AT13">
            <v>0</v>
          </cell>
          <cell r="AU13">
            <v>118.5</v>
          </cell>
          <cell r="AV13">
            <v>77.75</v>
          </cell>
          <cell r="AW13">
            <v>107.5</v>
          </cell>
          <cell r="AX13">
            <v>127.25</v>
          </cell>
          <cell r="AY13">
            <v>0</v>
          </cell>
          <cell r="AZ13">
            <v>3.5550600000000006</v>
          </cell>
          <cell r="BA13">
            <v>0.94444499999999998</v>
          </cell>
          <cell r="BB13">
            <v>0.74017999999999995</v>
          </cell>
          <cell r="BC13">
            <v>0.75464999999999993</v>
          </cell>
          <cell r="BD13">
            <v>0.13386700000000001</v>
          </cell>
          <cell r="BE13">
            <v>1.4283779097744361E-2</v>
          </cell>
          <cell r="BF13">
            <v>0</v>
          </cell>
          <cell r="BI13">
            <v>0</v>
          </cell>
          <cell r="BJ13">
            <v>8.6790271979695438E-2</v>
          </cell>
          <cell r="BK13">
            <v>5.7567958181818188E-2</v>
          </cell>
          <cell r="BL13">
            <v>0.15864200925925798</v>
          </cell>
          <cell r="BM13">
            <v>-3.6362067669172926E-3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-2.2094109137055836E-2</v>
          </cell>
          <cell r="BS13">
            <v>0</v>
          </cell>
          <cell r="BT13">
            <v>-2.5730315903973129E-2</v>
          </cell>
          <cell r="BU13">
            <v>100.74747619081535</v>
          </cell>
          <cell r="BV13">
            <v>-0.35406091370558374</v>
          </cell>
          <cell r="BW13">
            <v>100.39341527710977</v>
          </cell>
          <cell r="BX13">
            <v>108.33061956001652</v>
          </cell>
          <cell r="BY13">
            <v>-0.38071065989847719</v>
          </cell>
          <cell r="BZ13">
            <v>107.94990890011803</v>
          </cell>
          <cell r="CA13">
            <v>108.33061956001652</v>
          </cell>
          <cell r="CB13">
            <v>-0.44336730150248721</v>
          </cell>
          <cell r="CC13">
            <v>107.88725225851402</v>
          </cell>
          <cell r="CD13">
            <v>0.51576</v>
          </cell>
          <cell r="CE13">
            <v>200</v>
          </cell>
          <cell r="CF13">
            <v>1.7774450984304684</v>
          </cell>
          <cell r="CG13">
            <v>0.19925000000000001</v>
          </cell>
          <cell r="CH13">
            <v>140</v>
          </cell>
          <cell r="CI13">
            <v>0.4806676653939615</v>
          </cell>
          <cell r="CJ13">
            <v>2.25811276382443</v>
          </cell>
          <cell r="CK13">
            <v>0.57132163878122189</v>
          </cell>
          <cell r="CL13">
            <v>0.12360025681559007</v>
          </cell>
          <cell r="CM13">
            <v>2.903225806451613</v>
          </cell>
          <cell r="CN13">
            <v>3.5981477020484247</v>
          </cell>
          <cell r="CO13">
            <v>1.1870794050232057E-2</v>
          </cell>
          <cell r="CP13">
            <v>1.2795698924731185</v>
          </cell>
          <cell r="CQ13">
            <v>1.2914406865233505</v>
          </cell>
          <cell r="CR13">
            <v>14.66</v>
          </cell>
          <cell r="CS13">
            <v>9.98</v>
          </cell>
          <cell r="CT13">
            <v>49.08</v>
          </cell>
          <cell r="CU13">
            <v>0</v>
          </cell>
          <cell r="CV13">
            <v>188.75495341091022</v>
          </cell>
        </row>
        <row r="14">
          <cell r="K14" t="str">
            <v>ExportWalmartHome TrendsUSABath76x132L</v>
          </cell>
          <cell r="L14">
            <v>0</v>
          </cell>
          <cell r="M14">
            <v>446.08</v>
          </cell>
          <cell r="N14">
            <v>0</v>
          </cell>
          <cell r="O14">
            <v>87.53</v>
          </cell>
          <cell r="P14">
            <v>81.709999999999994</v>
          </cell>
          <cell r="Q14">
            <v>28.48</v>
          </cell>
          <cell r="R14">
            <v>0</v>
          </cell>
          <cell r="S14">
            <v>0</v>
          </cell>
          <cell r="T14">
            <v>643.80000000000007</v>
          </cell>
          <cell r="U14">
            <v>585.85800000000006</v>
          </cell>
          <cell r="V14">
            <v>2.5000000000000001E-3</v>
          </cell>
          <cell r="W14">
            <v>0</v>
          </cell>
          <cell r="X14">
            <v>-1.3999999999999999E-2</v>
          </cell>
          <cell r="Y14">
            <v>-2.5000000000000001E-2</v>
          </cell>
          <cell r="Z14">
            <v>8.9999999999999969E-2</v>
          </cell>
          <cell r="AA14">
            <v>1.4999999999999999E-2</v>
          </cell>
          <cell r="AB14">
            <v>0.01</v>
          </cell>
          <cell r="AC14">
            <v>1.4683157894736842</v>
          </cell>
          <cell r="AD14">
            <v>0</v>
          </cell>
          <cell r="AE14">
            <v>-6.2451199999999991</v>
          </cell>
          <cell r="AF14">
            <v>-2.18825</v>
          </cell>
          <cell r="AG14">
            <v>57.941999999999986</v>
          </cell>
          <cell r="AH14">
            <v>8.9216954314720827</v>
          </cell>
          <cell r="AI14">
            <v>5.9177575757575767</v>
          </cell>
          <cell r="AJ14">
            <v>65.816398796703339</v>
          </cell>
          <cell r="AK14">
            <v>651.67439879670337</v>
          </cell>
          <cell r="AL14" t="str">
            <v>1/13  Tend KC</v>
          </cell>
          <cell r="AM14">
            <v>0</v>
          </cell>
          <cell r="AN14" t="str">
            <v>2/24  KC</v>
          </cell>
          <cell r="AO14" t="str">
            <v xml:space="preserve">1/14OE  </v>
          </cell>
          <cell r="AP14" t="str">
            <v>2/20  KC</v>
          </cell>
          <cell r="AQ14">
            <v>0</v>
          </cell>
          <cell r="AR14">
            <v>0</v>
          </cell>
          <cell r="AS14">
            <v>87.5</v>
          </cell>
          <cell r="AT14">
            <v>0</v>
          </cell>
          <cell r="AU14">
            <v>107.5</v>
          </cell>
          <cell r="AV14">
            <v>75.75</v>
          </cell>
          <cell r="AW14">
            <v>107.5</v>
          </cell>
          <cell r="AX14">
            <v>0</v>
          </cell>
          <cell r="AY14">
            <v>0</v>
          </cell>
          <cell r="AZ14">
            <v>39.031999999999996</v>
          </cell>
          <cell r="BA14">
            <v>9.4094750000000005</v>
          </cell>
          <cell r="BB14">
            <v>6.1895324999999994</v>
          </cell>
          <cell r="BC14">
            <v>3.0615999999999999</v>
          </cell>
          <cell r="BD14">
            <v>0</v>
          </cell>
          <cell r="BE14">
            <v>0.13157963114035087</v>
          </cell>
          <cell r="BF14">
            <v>0</v>
          </cell>
          <cell r="BI14">
            <v>0</v>
          </cell>
          <cell r="BJ14">
            <v>0.79949654048223351</v>
          </cell>
          <cell r="BK14">
            <v>0.53030578611111112</v>
          </cell>
          <cell r="BL14">
            <v>1.4613819577336955</v>
          </cell>
          <cell r="BM14">
            <v>-3.6707894736842106E-2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-0.22304238578680208</v>
          </cell>
          <cell r="BS14">
            <v>0</v>
          </cell>
          <cell r="BT14">
            <v>-0.25975028052364418</v>
          </cell>
          <cell r="BU14">
            <v>91.882555852335642</v>
          </cell>
          <cell r="BV14">
            <v>-0.34644670050761422</v>
          </cell>
          <cell r="BW14">
            <v>91.536109151828029</v>
          </cell>
          <cell r="BX14">
            <v>100.96984159597322</v>
          </cell>
          <cell r="BY14">
            <v>-0.38071065989847719</v>
          </cell>
          <cell r="BZ14">
            <v>100.58913093607474</v>
          </cell>
          <cell r="CA14">
            <v>100.96984159597322</v>
          </cell>
          <cell r="CB14">
            <v>-0.44336730150248721</v>
          </cell>
          <cell r="CC14">
            <v>100.52647429447073</v>
          </cell>
          <cell r="CD14">
            <v>6.2451199999999991</v>
          </cell>
          <cell r="CE14">
            <v>200</v>
          </cell>
          <cell r="CF14">
            <v>2.1319568905775799</v>
          </cell>
          <cell r="CG14">
            <v>2.18825</v>
          </cell>
          <cell r="CH14">
            <v>140</v>
          </cell>
          <cell r="CI14">
            <v>0.5229168160202643</v>
          </cell>
          <cell r="CJ14">
            <v>2.6548737065978441</v>
          </cell>
          <cell r="CK14">
            <v>0.68527185768565058</v>
          </cell>
          <cell r="CL14">
            <v>0.13446432411949649</v>
          </cell>
          <cell r="CM14">
            <v>2.9670329670329667</v>
          </cell>
          <cell r="CN14">
            <v>3.7867691488381139</v>
          </cell>
          <cell r="CO14">
            <v>1.4238426376357411E-2</v>
          </cell>
          <cell r="CP14">
            <v>1.3076923076923079</v>
          </cell>
          <cell r="CQ14">
            <v>1.3219307340686652</v>
          </cell>
          <cell r="CR14">
            <v>1.21</v>
          </cell>
          <cell r="CS14">
            <v>9.81</v>
          </cell>
          <cell r="CT14">
            <v>7.81</v>
          </cell>
          <cell r="CU14">
            <v>0</v>
          </cell>
          <cell r="CV14">
            <v>127.12004788397535</v>
          </cell>
        </row>
        <row r="15">
          <cell r="K15" t="str">
            <v>ExportWalmartHome TrendsUSABath76x132M</v>
          </cell>
          <cell r="L15">
            <v>0</v>
          </cell>
          <cell r="M15">
            <v>446.08</v>
          </cell>
          <cell r="N15">
            <v>0</v>
          </cell>
          <cell r="O15">
            <v>87.53</v>
          </cell>
          <cell r="P15">
            <v>81.709999999999994</v>
          </cell>
          <cell r="Q15">
            <v>28.48</v>
          </cell>
          <cell r="R15">
            <v>0</v>
          </cell>
          <cell r="S15">
            <v>0</v>
          </cell>
          <cell r="T15">
            <v>643.80000000000007</v>
          </cell>
          <cell r="U15">
            <v>585.85800000000006</v>
          </cell>
          <cell r="V15">
            <v>2.5000000000000001E-3</v>
          </cell>
          <cell r="W15">
            <v>0</v>
          </cell>
          <cell r="X15">
            <v>-1.3999999999999999E-2</v>
          </cell>
          <cell r="Y15">
            <v>-2.5000000000000001E-2</v>
          </cell>
          <cell r="Z15">
            <v>8.9999999999999969E-2</v>
          </cell>
          <cell r="AA15">
            <v>1.4999999999999999E-2</v>
          </cell>
          <cell r="AB15">
            <v>0.01</v>
          </cell>
          <cell r="AC15">
            <v>1.4683157894736842</v>
          </cell>
          <cell r="AD15">
            <v>0</v>
          </cell>
          <cell r="AE15">
            <v>-6.2451199999999991</v>
          </cell>
          <cell r="AF15">
            <v>-2.18825</v>
          </cell>
          <cell r="AG15">
            <v>57.941999999999986</v>
          </cell>
          <cell r="AH15">
            <v>8.9216954314720827</v>
          </cell>
          <cell r="AI15">
            <v>5.9177575757575767</v>
          </cell>
          <cell r="AJ15">
            <v>65.816398796703339</v>
          </cell>
          <cell r="AK15">
            <v>651.67439879670337</v>
          </cell>
          <cell r="AL15" t="str">
            <v>1/13  Tend KC</v>
          </cell>
          <cell r="AM15">
            <v>0</v>
          </cell>
          <cell r="AN15" t="str">
            <v>2/24  KC</v>
          </cell>
          <cell r="AO15" t="str">
            <v xml:space="preserve">1/14OE  </v>
          </cell>
          <cell r="AP15" t="str">
            <v>2/20  KC</v>
          </cell>
          <cell r="AQ15">
            <v>0</v>
          </cell>
          <cell r="AR15">
            <v>0</v>
          </cell>
          <cell r="AS15">
            <v>87.5</v>
          </cell>
          <cell r="AT15">
            <v>0</v>
          </cell>
          <cell r="AU15">
            <v>107.5</v>
          </cell>
          <cell r="AV15">
            <v>75.75</v>
          </cell>
          <cell r="AW15">
            <v>107.5</v>
          </cell>
          <cell r="AX15">
            <v>0</v>
          </cell>
          <cell r="AY15">
            <v>0</v>
          </cell>
          <cell r="AZ15">
            <v>39.031999999999996</v>
          </cell>
          <cell r="BA15">
            <v>9.4094750000000005</v>
          </cell>
          <cell r="BB15">
            <v>6.1895324999999994</v>
          </cell>
          <cell r="BC15">
            <v>3.0615999999999999</v>
          </cell>
          <cell r="BD15">
            <v>0</v>
          </cell>
          <cell r="BE15">
            <v>0.13157963114035087</v>
          </cell>
          <cell r="BF15">
            <v>0</v>
          </cell>
          <cell r="BI15">
            <v>0</v>
          </cell>
          <cell r="BJ15">
            <v>0.79949654048223351</v>
          </cell>
          <cell r="BK15">
            <v>0.53030578611111112</v>
          </cell>
          <cell r="BL15">
            <v>1.4613819577336955</v>
          </cell>
          <cell r="BM15">
            <v>-3.6707894736842106E-2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-0.22304238578680208</v>
          </cell>
          <cell r="BS15">
            <v>0</v>
          </cell>
          <cell r="BT15">
            <v>-0.25975028052364418</v>
          </cell>
          <cell r="BU15">
            <v>91.882555852335642</v>
          </cell>
          <cell r="BV15">
            <v>-0.34644670050761422</v>
          </cell>
          <cell r="BW15">
            <v>91.536109151828029</v>
          </cell>
          <cell r="BX15">
            <v>100.96984159597322</v>
          </cell>
          <cell r="BY15">
            <v>-0.38071065989847719</v>
          </cell>
          <cell r="BZ15">
            <v>100.58913093607474</v>
          </cell>
          <cell r="CA15">
            <v>100.96984159597322</v>
          </cell>
          <cell r="CB15">
            <v>-0.44336730150248721</v>
          </cell>
          <cell r="CC15">
            <v>100.52647429447073</v>
          </cell>
          <cell r="CD15">
            <v>6.2451199999999991</v>
          </cell>
          <cell r="CE15">
            <v>200</v>
          </cell>
          <cell r="CF15">
            <v>2.1319568905775799</v>
          </cell>
          <cell r="CG15">
            <v>2.18825</v>
          </cell>
          <cell r="CH15">
            <v>140</v>
          </cell>
          <cell r="CI15">
            <v>0.5229168160202643</v>
          </cell>
          <cell r="CJ15">
            <v>2.6548737065978441</v>
          </cell>
          <cell r="CK15">
            <v>0.68527185768565058</v>
          </cell>
          <cell r="CL15">
            <v>0.13446432411949649</v>
          </cell>
          <cell r="CM15">
            <v>2.9670329670329667</v>
          </cell>
          <cell r="CN15">
            <v>3.7867691488381139</v>
          </cell>
          <cell r="CO15">
            <v>1.4238426376357411E-2</v>
          </cell>
          <cell r="CP15">
            <v>1.3076923076923079</v>
          </cell>
          <cell r="CQ15">
            <v>1.3219307340686652</v>
          </cell>
          <cell r="CR15">
            <v>4.22</v>
          </cell>
          <cell r="CS15">
            <v>9.7200000000000006</v>
          </cell>
          <cell r="CT15">
            <v>7.81</v>
          </cell>
          <cell r="CU15">
            <v>0</v>
          </cell>
          <cell r="CV15">
            <v>130.04004788397535</v>
          </cell>
        </row>
        <row r="16">
          <cell r="K16" t="str">
            <v>ExportWalmartHome TrendsUSABath76x132D</v>
          </cell>
          <cell r="L16">
            <v>0</v>
          </cell>
          <cell r="M16">
            <v>446.08</v>
          </cell>
          <cell r="N16">
            <v>0</v>
          </cell>
          <cell r="O16">
            <v>87.53</v>
          </cell>
          <cell r="P16">
            <v>81.709999999999994</v>
          </cell>
          <cell r="Q16">
            <v>28.48</v>
          </cell>
          <cell r="R16">
            <v>0</v>
          </cell>
          <cell r="S16">
            <v>0</v>
          </cell>
          <cell r="T16">
            <v>643.80000000000007</v>
          </cell>
          <cell r="U16">
            <v>585.85800000000006</v>
          </cell>
          <cell r="V16">
            <v>2.5000000000000001E-3</v>
          </cell>
          <cell r="W16">
            <v>0</v>
          </cell>
          <cell r="X16">
            <v>-1.3999999999999999E-2</v>
          </cell>
          <cell r="Y16">
            <v>-2.5000000000000001E-2</v>
          </cell>
          <cell r="Z16">
            <v>8.9999999999999969E-2</v>
          </cell>
          <cell r="AA16">
            <v>1.4999999999999999E-2</v>
          </cell>
          <cell r="AB16">
            <v>0.01</v>
          </cell>
          <cell r="AC16">
            <v>1.4683157894736842</v>
          </cell>
          <cell r="AD16">
            <v>0</v>
          </cell>
          <cell r="AE16">
            <v>-6.2451199999999991</v>
          </cell>
          <cell r="AF16">
            <v>-2.18825</v>
          </cell>
          <cell r="AG16">
            <v>57.941999999999986</v>
          </cell>
          <cell r="AH16">
            <v>8.9216954314720827</v>
          </cell>
          <cell r="AI16">
            <v>5.9177575757575767</v>
          </cell>
          <cell r="AJ16">
            <v>65.816398796703339</v>
          </cell>
          <cell r="AK16">
            <v>651.67439879670337</v>
          </cell>
          <cell r="AL16" t="str">
            <v>1/13  Tend KC</v>
          </cell>
          <cell r="AM16">
            <v>0</v>
          </cell>
          <cell r="AN16" t="str">
            <v>2/24  KC</v>
          </cell>
          <cell r="AO16" t="str">
            <v xml:space="preserve">1/14OE  </v>
          </cell>
          <cell r="AP16" t="str">
            <v>2/20  KC</v>
          </cell>
          <cell r="AQ16">
            <v>0</v>
          </cell>
          <cell r="AR16">
            <v>0</v>
          </cell>
          <cell r="AS16">
            <v>87.5</v>
          </cell>
          <cell r="AT16">
            <v>0</v>
          </cell>
          <cell r="AU16">
            <v>107.5</v>
          </cell>
          <cell r="AV16">
            <v>75.75</v>
          </cell>
          <cell r="AW16">
            <v>107.5</v>
          </cell>
          <cell r="AX16">
            <v>0</v>
          </cell>
          <cell r="AY16">
            <v>0</v>
          </cell>
          <cell r="AZ16">
            <v>39.031999999999996</v>
          </cell>
          <cell r="BA16">
            <v>9.4094750000000005</v>
          </cell>
          <cell r="BB16">
            <v>6.1895324999999994</v>
          </cell>
          <cell r="BC16">
            <v>3.0615999999999999</v>
          </cell>
          <cell r="BD16">
            <v>0</v>
          </cell>
          <cell r="BE16">
            <v>0.13157963114035087</v>
          </cell>
          <cell r="BF16">
            <v>0</v>
          </cell>
          <cell r="BI16">
            <v>0</v>
          </cell>
          <cell r="BJ16">
            <v>0.79949654048223351</v>
          </cell>
          <cell r="BK16">
            <v>0.53030578611111112</v>
          </cell>
          <cell r="BL16">
            <v>1.4613819577336955</v>
          </cell>
          <cell r="BM16">
            <v>-3.6707894736842106E-2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-0.22304238578680208</v>
          </cell>
          <cell r="BS16">
            <v>0</v>
          </cell>
          <cell r="BT16">
            <v>-0.25975028052364418</v>
          </cell>
          <cell r="BU16">
            <v>91.882555852335642</v>
          </cell>
          <cell r="BV16">
            <v>-0.34644670050761422</v>
          </cell>
          <cell r="BW16">
            <v>91.536109151828029</v>
          </cell>
          <cell r="BX16">
            <v>100.96984159597322</v>
          </cell>
          <cell r="BY16">
            <v>-0.38071065989847719</v>
          </cell>
          <cell r="BZ16">
            <v>100.58913093607474</v>
          </cell>
          <cell r="CA16">
            <v>100.96984159597322</v>
          </cell>
          <cell r="CB16">
            <v>-0.44336730150248721</v>
          </cell>
          <cell r="CC16">
            <v>100.52647429447073</v>
          </cell>
          <cell r="CD16">
            <v>6.2451199999999991</v>
          </cell>
          <cell r="CE16">
            <v>200</v>
          </cell>
          <cell r="CF16">
            <v>2.1319568905775799</v>
          </cell>
          <cell r="CG16">
            <v>2.18825</v>
          </cell>
          <cell r="CH16">
            <v>140</v>
          </cell>
          <cell r="CI16">
            <v>0.5229168160202643</v>
          </cell>
          <cell r="CJ16">
            <v>2.6548737065978441</v>
          </cell>
          <cell r="CK16">
            <v>0.68527185768565058</v>
          </cell>
          <cell r="CL16">
            <v>0.13446432411949649</v>
          </cell>
          <cell r="CM16">
            <v>2.9670329670329667</v>
          </cell>
          <cell r="CN16">
            <v>3.7867691488381139</v>
          </cell>
          <cell r="CO16">
            <v>1.4238426376357411E-2</v>
          </cell>
          <cell r="CP16">
            <v>1.3076923076923079</v>
          </cell>
          <cell r="CQ16">
            <v>1.3219307340686652</v>
          </cell>
          <cell r="CR16">
            <v>14.66</v>
          </cell>
          <cell r="CS16">
            <v>9.98</v>
          </cell>
          <cell r="CT16">
            <v>7.81</v>
          </cell>
          <cell r="CU16">
            <v>0</v>
          </cell>
          <cell r="CV16">
            <v>140.74004788397536</v>
          </cell>
        </row>
        <row r="17">
          <cell r="K17" t="str">
            <v>ExportWalmartHome TrendsUSAHand41x69L</v>
          </cell>
          <cell r="L17">
            <v>0</v>
          </cell>
          <cell r="M17">
            <v>102</v>
          </cell>
          <cell r="N17">
            <v>0</v>
          </cell>
          <cell r="O17">
            <v>26.85</v>
          </cell>
          <cell r="P17">
            <v>23.364000000000001</v>
          </cell>
          <cell r="Q17">
            <v>13.78</v>
          </cell>
          <cell r="R17">
            <v>0</v>
          </cell>
          <cell r="S17">
            <v>0</v>
          </cell>
          <cell r="T17">
            <v>165.994</v>
          </cell>
          <cell r="U17">
            <v>151.05454</v>
          </cell>
          <cell r="V17">
            <v>2.5000000000000001E-3</v>
          </cell>
          <cell r="W17">
            <v>0</v>
          </cell>
          <cell r="X17">
            <v>-1.3999999999999999E-2</v>
          </cell>
          <cell r="Y17">
            <v>-2.5000000000000001E-2</v>
          </cell>
          <cell r="Z17">
            <v>8.9999999999999969E-2</v>
          </cell>
          <cell r="AA17">
            <v>1.4999999999999999E-2</v>
          </cell>
          <cell r="AB17">
            <v>0.01</v>
          </cell>
          <cell r="AC17">
            <v>0.37858280701754382</v>
          </cell>
          <cell r="AD17">
            <v>0</v>
          </cell>
          <cell r="AE17">
            <v>-1.4279999999999999</v>
          </cell>
          <cell r="AF17">
            <v>-0.67125000000000012</v>
          </cell>
          <cell r="AG17">
            <v>14.939459999999995</v>
          </cell>
          <cell r="AH17">
            <v>2.3003229441624367</v>
          </cell>
          <cell r="AI17">
            <v>1.5258034343434344</v>
          </cell>
          <cell r="AJ17">
            <v>17.044919185523412</v>
          </cell>
          <cell r="AK17">
            <v>168.09945918552341</v>
          </cell>
          <cell r="AL17" t="str">
            <v>1/13   KC</v>
          </cell>
          <cell r="AM17">
            <v>0</v>
          </cell>
          <cell r="AN17" t="str">
            <v>2/24  KC</v>
          </cell>
          <cell r="AO17" t="str">
            <v xml:space="preserve">1/14OE  </v>
          </cell>
          <cell r="AP17" t="str">
            <v>2/20  KC</v>
          </cell>
          <cell r="AQ17">
            <v>0</v>
          </cell>
          <cell r="AR17">
            <v>0</v>
          </cell>
          <cell r="AS17">
            <v>84.5</v>
          </cell>
          <cell r="AT17">
            <v>0</v>
          </cell>
          <cell r="AU17">
            <v>107.5</v>
          </cell>
          <cell r="AV17">
            <v>75.75</v>
          </cell>
          <cell r="AW17">
            <v>107.5</v>
          </cell>
          <cell r="AX17">
            <v>0</v>
          </cell>
          <cell r="AY17">
            <v>0</v>
          </cell>
          <cell r="AZ17">
            <v>8.6189999999999998</v>
          </cell>
          <cell r="BA17">
            <v>2.8863750000000001</v>
          </cell>
          <cell r="BB17">
            <v>1.7698230000000001</v>
          </cell>
          <cell r="BC17">
            <v>1.4813499999999999</v>
          </cell>
          <cell r="BD17">
            <v>0</v>
          </cell>
          <cell r="BE17">
            <v>3.3655284912280703E-2</v>
          </cell>
          <cell r="BF17">
            <v>0</v>
          </cell>
          <cell r="BI17">
            <v>0</v>
          </cell>
          <cell r="BJ17">
            <v>0.20449429461928936</v>
          </cell>
          <cell r="BK17">
            <v>0.13564099676767677</v>
          </cell>
          <cell r="BL17">
            <v>0.37379057629924684</v>
          </cell>
          <cell r="BM17">
            <v>-9.4645701754385962E-3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-5.7508073604060919E-2</v>
          </cell>
          <cell r="BS17">
            <v>0</v>
          </cell>
          <cell r="BT17">
            <v>-6.6972643779499519E-2</v>
          </cell>
          <cell r="BU17">
            <v>91.149912504664314</v>
          </cell>
          <cell r="BV17">
            <v>-0.34644670050761422</v>
          </cell>
          <cell r="BW17">
            <v>90.803465804156701</v>
          </cell>
          <cell r="BX17">
            <v>100.16473901611462</v>
          </cell>
          <cell r="BY17">
            <v>-0.38071065989847719</v>
          </cell>
          <cell r="BZ17">
            <v>99.78402835621614</v>
          </cell>
          <cell r="CA17">
            <v>100.16473901611462</v>
          </cell>
          <cell r="CB17">
            <v>-0.44336730150248721</v>
          </cell>
          <cell r="CC17">
            <v>99.721371714612133</v>
          </cell>
          <cell r="CD17">
            <v>1.4279999999999999</v>
          </cell>
          <cell r="CE17">
            <v>200</v>
          </cell>
          <cell r="CF17">
            <v>1.8907078198377882</v>
          </cell>
          <cell r="CG17">
            <v>0.67125000000000012</v>
          </cell>
          <cell r="CH17">
            <v>140</v>
          </cell>
          <cell r="CI17">
            <v>0.62212628630691946</v>
          </cell>
          <cell r="CJ17">
            <v>2.5128341061447079</v>
          </cell>
          <cell r="CK17">
            <v>0.60772751351928911</v>
          </cell>
          <cell r="CL17">
            <v>0.15997533076463638</v>
          </cell>
          <cell r="CM17">
            <v>2.9670329670329667</v>
          </cell>
          <cell r="CN17">
            <v>3.7347358113168925</v>
          </cell>
          <cell r="CO17">
            <v>1.262722722534523E-2</v>
          </cell>
          <cell r="CP17">
            <v>1.3076923076923079</v>
          </cell>
          <cell r="CQ17">
            <v>1.3203195349176531</v>
          </cell>
          <cell r="CR17">
            <v>1.21</v>
          </cell>
          <cell r="CS17">
            <v>9.81</v>
          </cell>
          <cell r="CT17">
            <v>13.26</v>
          </cell>
          <cell r="CU17">
            <v>0</v>
          </cell>
          <cell r="CV17">
            <v>131.5692611669914</v>
          </cell>
        </row>
        <row r="18">
          <cell r="K18" t="str">
            <v>ExportWalmartHome TrendsUSAHand41x69M</v>
          </cell>
          <cell r="L18">
            <v>0</v>
          </cell>
          <cell r="M18">
            <v>102</v>
          </cell>
          <cell r="N18">
            <v>0</v>
          </cell>
          <cell r="O18">
            <v>26.85</v>
          </cell>
          <cell r="P18">
            <v>23.364000000000001</v>
          </cell>
          <cell r="Q18">
            <v>13.78</v>
          </cell>
          <cell r="R18">
            <v>0</v>
          </cell>
          <cell r="S18">
            <v>0</v>
          </cell>
          <cell r="T18">
            <v>165.994</v>
          </cell>
          <cell r="U18">
            <v>151.05454</v>
          </cell>
          <cell r="V18">
            <v>2.5000000000000001E-3</v>
          </cell>
          <cell r="W18">
            <v>0</v>
          </cell>
          <cell r="X18">
            <v>-1.3999999999999999E-2</v>
          </cell>
          <cell r="Y18">
            <v>-2.5000000000000001E-2</v>
          </cell>
          <cell r="Z18">
            <v>8.9999999999999969E-2</v>
          </cell>
          <cell r="AA18">
            <v>1.4999999999999999E-2</v>
          </cell>
          <cell r="AB18">
            <v>0.01</v>
          </cell>
          <cell r="AC18">
            <v>0.37858280701754382</v>
          </cell>
          <cell r="AD18">
            <v>0</v>
          </cell>
          <cell r="AE18">
            <v>-1.4279999999999999</v>
          </cell>
          <cell r="AF18">
            <v>-0.67125000000000012</v>
          </cell>
          <cell r="AG18">
            <v>14.939459999999995</v>
          </cell>
          <cell r="AH18">
            <v>2.3003229441624367</v>
          </cell>
          <cell r="AI18">
            <v>1.5258034343434344</v>
          </cell>
          <cell r="AJ18">
            <v>17.044919185523412</v>
          </cell>
          <cell r="AK18">
            <v>168.09945918552341</v>
          </cell>
          <cell r="AL18" t="str">
            <v>1/13   KC</v>
          </cell>
          <cell r="AM18">
            <v>0</v>
          </cell>
          <cell r="AN18" t="str">
            <v>2/24  KC</v>
          </cell>
          <cell r="AO18" t="str">
            <v xml:space="preserve">1/14OE  </v>
          </cell>
          <cell r="AP18" t="str">
            <v>2/20  KC</v>
          </cell>
          <cell r="AQ18">
            <v>0</v>
          </cell>
          <cell r="AR18">
            <v>0</v>
          </cell>
          <cell r="AS18">
            <v>84.5</v>
          </cell>
          <cell r="AT18">
            <v>0</v>
          </cell>
          <cell r="AU18">
            <v>107.5</v>
          </cell>
          <cell r="AV18">
            <v>75.75</v>
          </cell>
          <cell r="AW18">
            <v>107.5</v>
          </cell>
          <cell r="AX18">
            <v>0</v>
          </cell>
          <cell r="AY18">
            <v>0</v>
          </cell>
          <cell r="AZ18">
            <v>8.6189999999999998</v>
          </cell>
          <cell r="BA18">
            <v>2.8863750000000001</v>
          </cell>
          <cell r="BB18">
            <v>1.7698230000000001</v>
          </cell>
          <cell r="BC18">
            <v>1.4813499999999999</v>
          </cell>
          <cell r="BD18">
            <v>0</v>
          </cell>
          <cell r="BE18">
            <v>3.3655284912280703E-2</v>
          </cell>
          <cell r="BF18">
            <v>0</v>
          </cell>
          <cell r="BI18">
            <v>0</v>
          </cell>
          <cell r="BJ18">
            <v>0.20449429461928936</v>
          </cell>
          <cell r="BK18">
            <v>0.13564099676767677</v>
          </cell>
          <cell r="BL18">
            <v>0.37379057629924684</v>
          </cell>
          <cell r="BM18">
            <v>-9.4645701754385962E-3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-5.7508073604060919E-2</v>
          </cell>
          <cell r="BS18">
            <v>0</v>
          </cell>
          <cell r="BT18">
            <v>-6.6972643779499519E-2</v>
          </cell>
          <cell r="BU18">
            <v>91.149912504664314</v>
          </cell>
          <cell r="BV18">
            <v>-0.34644670050761422</v>
          </cell>
          <cell r="BW18">
            <v>90.803465804156701</v>
          </cell>
          <cell r="BX18">
            <v>100.16473901611462</v>
          </cell>
          <cell r="BY18">
            <v>-0.38071065989847719</v>
          </cell>
          <cell r="BZ18">
            <v>99.78402835621614</v>
          </cell>
          <cell r="CA18">
            <v>100.16473901611462</v>
          </cell>
          <cell r="CB18">
            <v>-0.44336730150248721</v>
          </cell>
          <cell r="CC18">
            <v>99.721371714612133</v>
          </cell>
          <cell r="CD18">
            <v>1.4279999999999999</v>
          </cell>
          <cell r="CE18">
            <v>200</v>
          </cell>
          <cell r="CF18">
            <v>1.8907078198377882</v>
          </cell>
          <cell r="CG18">
            <v>0.67125000000000012</v>
          </cell>
          <cell r="CH18">
            <v>140</v>
          </cell>
          <cell r="CI18">
            <v>0.62212628630691946</v>
          </cell>
          <cell r="CJ18">
            <v>2.5128341061447079</v>
          </cell>
          <cell r="CK18">
            <v>0.60772751351928911</v>
          </cell>
          <cell r="CL18">
            <v>0.15997533076463638</v>
          </cell>
          <cell r="CM18">
            <v>2.9670329670329667</v>
          </cell>
          <cell r="CN18">
            <v>3.7347358113168925</v>
          </cell>
          <cell r="CO18">
            <v>1.262722722534523E-2</v>
          </cell>
          <cell r="CP18">
            <v>1.3076923076923079</v>
          </cell>
          <cell r="CQ18">
            <v>1.3203195349176531</v>
          </cell>
          <cell r="CR18">
            <v>4.22</v>
          </cell>
          <cell r="CS18">
            <v>9.7200000000000006</v>
          </cell>
          <cell r="CT18">
            <v>13.26</v>
          </cell>
          <cell r="CU18">
            <v>0</v>
          </cell>
          <cell r="CV18">
            <v>134.48926116699141</v>
          </cell>
        </row>
        <row r="19">
          <cell r="K19" t="str">
            <v>ExportWalmartHome TrendsUSAHand41x69D</v>
          </cell>
          <cell r="L19">
            <v>0</v>
          </cell>
          <cell r="M19">
            <v>102</v>
          </cell>
          <cell r="N19">
            <v>0</v>
          </cell>
          <cell r="O19">
            <v>26.85</v>
          </cell>
          <cell r="P19">
            <v>23.364000000000001</v>
          </cell>
          <cell r="Q19">
            <v>13.78</v>
          </cell>
          <cell r="R19">
            <v>0</v>
          </cell>
          <cell r="S19">
            <v>0</v>
          </cell>
          <cell r="T19">
            <v>165.994</v>
          </cell>
          <cell r="U19">
            <v>151.05454</v>
          </cell>
          <cell r="V19">
            <v>2.5000000000000001E-3</v>
          </cell>
          <cell r="W19">
            <v>0</v>
          </cell>
          <cell r="X19">
            <v>-1.3999999999999999E-2</v>
          </cell>
          <cell r="Y19">
            <v>-2.5000000000000001E-2</v>
          </cell>
          <cell r="Z19">
            <v>8.9999999999999969E-2</v>
          </cell>
          <cell r="AA19">
            <v>1.4999999999999999E-2</v>
          </cell>
          <cell r="AB19">
            <v>0.01</v>
          </cell>
          <cell r="AC19">
            <v>0.37858280701754382</v>
          </cell>
          <cell r="AD19">
            <v>0</v>
          </cell>
          <cell r="AE19">
            <v>-1.4279999999999999</v>
          </cell>
          <cell r="AF19">
            <v>-0.67125000000000012</v>
          </cell>
          <cell r="AG19">
            <v>14.939459999999995</v>
          </cell>
          <cell r="AH19">
            <v>2.3003229441624367</v>
          </cell>
          <cell r="AI19">
            <v>1.5258034343434344</v>
          </cell>
          <cell r="AJ19">
            <v>17.044919185523412</v>
          </cell>
          <cell r="AK19">
            <v>168.09945918552341</v>
          </cell>
          <cell r="AL19" t="str">
            <v>1/13   KC</v>
          </cell>
          <cell r="AM19">
            <v>0</v>
          </cell>
          <cell r="AN19" t="str">
            <v>2/24  KC</v>
          </cell>
          <cell r="AO19" t="str">
            <v xml:space="preserve">1/14OE  </v>
          </cell>
          <cell r="AP19" t="str">
            <v>2/20  KC</v>
          </cell>
          <cell r="AQ19">
            <v>0</v>
          </cell>
          <cell r="AR19">
            <v>0</v>
          </cell>
          <cell r="AS19">
            <v>84.5</v>
          </cell>
          <cell r="AT19">
            <v>0</v>
          </cell>
          <cell r="AU19">
            <v>107.5</v>
          </cell>
          <cell r="AV19">
            <v>75.75</v>
          </cell>
          <cell r="AW19">
            <v>107.5</v>
          </cell>
          <cell r="AX19">
            <v>0</v>
          </cell>
          <cell r="AY19">
            <v>0</v>
          </cell>
          <cell r="AZ19">
            <v>8.6189999999999998</v>
          </cell>
          <cell r="BA19">
            <v>2.8863750000000001</v>
          </cell>
          <cell r="BB19">
            <v>1.7698230000000001</v>
          </cell>
          <cell r="BC19">
            <v>1.4813499999999999</v>
          </cell>
          <cell r="BD19">
            <v>0</v>
          </cell>
          <cell r="BE19">
            <v>3.3655284912280703E-2</v>
          </cell>
          <cell r="BF19">
            <v>0</v>
          </cell>
          <cell r="BI19">
            <v>0</v>
          </cell>
          <cell r="BJ19">
            <v>0.20449429461928936</v>
          </cell>
          <cell r="BK19">
            <v>0.13564099676767677</v>
          </cell>
          <cell r="BL19">
            <v>0.37379057629924684</v>
          </cell>
          <cell r="BM19">
            <v>-9.4645701754385962E-3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-5.7508073604060919E-2</v>
          </cell>
          <cell r="BS19">
            <v>0</v>
          </cell>
          <cell r="BT19">
            <v>-6.6972643779499519E-2</v>
          </cell>
          <cell r="BU19">
            <v>91.149912504664314</v>
          </cell>
          <cell r="BV19">
            <v>-0.34644670050761422</v>
          </cell>
          <cell r="BW19">
            <v>90.803465804156701</v>
          </cell>
          <cell r="BX19">
            <v>100.16473901611462</v>
          </cell>
          <cell r="BY19">
            <v>-0.38071065989847719</v>
          </cell>
          <cell r="BZ19">
            <v>99.78402835621614</v>
          </cell>
          <cell r="CA19">
            <v>100.16473901611462</v>
          </cell>
          <cell r="CB19">
            <v>-0.44336730150248721</v>
          </cell>
          <cell r="CC19">
            <v>99.721371714612133</v>
          </cell>
          <cell r="CD19">
            <v>1.4279999999999999</v>
          </cell>
          <cell r="CE19">
            <v>200</v>
          </cell>
          <cell r="CF19">
            <v>1.8907078198377882</v>
          </cell>
          <cell r="CG19">
            <v>0.67125000000000012</v>
          </cell>
          <cell r="CH19">
            <v>140</v>
          </cell>
          <cell r="CI19">
            <v>0.62212628630691946</v>
          </cell>
          <cell r="CJ19">
            <v>2.5128341061447079</v>
          </cell>
          <cell r="CK19">
            <v>0.60772751351928911</v>
          </cell>
          <cell r="CL19">
            <v>0.15997533076463638</v>
          </cell>
          <cell r="CM19">
            <v>2.9670329670329667</v>
          </cell>
          <cell r="CN19">
            <v>3.7347358113168925</v>
          </cell>
          <cell r="CO19">
            <v>1.262722722534523E-2</v>
          </cell>
          <cell r="CP19">
            <v>1.3076923076923079</v>
          </cell>
          <cell r="CQ19">
            <v>1.3203195349176531</v>
          </cell>
          <cell r="CR19">
            <v>14.66</v>
          </cell>
          <cell r="CS19">
            <v>9.98</v>
          </cell>
          <cell r="CT19">
            <v>13.26</v>
          </cell>
          <cell r="CU19">
            <v>0</v>
          </cell>
          <cell r="CV19">
            <v>145.1892611669914</v>
          </cell>
        </row>
        <row r="20">
          <cell r="K20" t="str">
            <v>ExportWalmartHome TrendsUSAWash33x33L</v>
          </cell>
          <cell r="L20">
            <v>0</v>
          </cell>
          <cell r="M20">
            <v>41.32</v>
          </cell>
          <cell r="N20">
            <v>0</v>
          </cell>
          <cell r="O20">
            <v>9.2200000000000006</v>
          </cell>
          <cell r="P20">
            <v>8.09</v>
          </cell>
          <cell r="Q20">
            <v>4.0659999999999998</v>
          </cell>
          <cell r="R20">
            <v>0</v>
          </cell>
          <cell r="S20">
            <v>0</v>
          </cell>
          <cell r="T20">
            <v>62.695999999999998</v>
          </cell>
          <cell r="U20">
            <v>56.739879999999999</v>
          </cell>
          <cell r="V20">
            <v>2.5000000000000001E-3</v>
          </cell>
          <cell r="W20">
            <v>0</v>
          </cell>
          <cell r="X20">
            <v>-1.3999999999999999E-2</v>
          </cell>
          <cell r="Y20">
            <v>-2.5000000000000001E-2</v>
          </cell>
          <cell r="Z20">
            <v>9.4999999999999973E-2</v>
          </cell>
          <cell r="AA20">
            <v>1.4999999999999999E-2</v>
          </cell>
          <cell r="AB20">
            <v>0.01</v>
          </cell>
          <cell r="AC20">
            <v>0.14220521303258143</v>
          </cell>
          <cell r="AD20">
            <v>0</v>
          </cell>
          <cell r="AE20">
            <v>-0.57847999999999999</v>
          </cell>
          <cell r="AF20">
            <v>-0.23050000000000004</v>
          </cell>
          <cell r="AG20">
            <v>5.9561199999999985</v>
          </cell>
          <cell r="AH20">
            <v>0.86405908629441619</v>
          </cell>
          <cell r="AI20">
            <v>0.57313010101010098</v>
          </cell>
          <cell r="AJ20">
            <v>6.7265344003370968</v>
          </cell>
          <cell r="AK20">
            <v>63.466414400337094</v>
          </cell>
          <cell r="AL20" t="str">
            <v>1/13   KC</v>
          </cell>
          <cell r="AM20">
            <v>0</v>
          </cell>
          <cell r="AN20" t="str">
            <v>2/24  KC</v>
          </cell>
          <cell r="AO20" t="str">
            <v xml:space="preserve">1/14OE  </v>
          </cell>
          <cell r="AP20" t="str">
            <v>2/20  KC</v>
          </cell>
          <cell r="AQ20">
            <v>0</v>
          </cell>
          <cell r="AR20">
            <v>0</v>
          </cell>
          <cell r="AS20">
            <v>84.5</v>
          </cell>
          <cell r="AT20">
            <v>0</v>
          </cell>
          <cell r="AU20">
            <v>107.5</v>
          </cell>
          <cell r="AV20">
            <v>75.75</v>
          </cell>
          <cell r="AW20">
            <v>107.5</v>
          </cell>
          <cell r="AX20">
            <v>0</v>
          </cell>
          <cell r="AY20">
            <v>0</v>
          </cell>
          <cell r="AZ20">
            <v>3.4915400000000001</v>
          </cell>
          <cell r="BA20">
            <v>0.99115000000000009</v>
          </cell>
          <cell r="BB20">
            <v>0.61281750000000001</v>
          </cell>
          <cell r="BC20">
            <v>0.43709499999999996</v>
          </cell>
          <cell r="BD20">
            <v>0</v>
          </cell>
          <cell r="BE20">
            <v>1.2548885369674185E-2</v>
          </cell>
          <cell r="BF20">
            <v>0</v>
          </cell>
          <cell r="BI20">
            <v>0</v>
          </cell>
          <cell r="BJ20">
            <v>7.6248811104060912E-2</v>
          </cell>
          <cell r="BK20">
            <v>5.0575810732323236E-2</v>
          </cell>
          <cell r="BL20">
            <v>0.13937350720605834</v>
          </cell>
          <cell r="BM20">
            <v>-3.555130325814536E-3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-2.1601477157360407E-2</v>
          </cell>
          <cell r="BS20">
            <v>0</v>
          </cell>
          <cell r="BT20">
            <v>-2.5156607483174942E-2</v>
          </cell>
          <cell r="BU20">
            <v>90.467908753446139</v>
          </cell>
          <cell r="BV20">
            <v>-0.34454314720812185</v>
          </cell>
          <cell r="BW20">
            <v>90.123365606238011</v>
          </cell>
          <cell r="BX20">
            <v>99.964540059056503</v>
          </cell>
          <cell r="BY20">
            <v>-0.38071065989847713</v>
          </cell>
          <cell r="BZ20">
            <v>99.58382939915802</v>
          </cell>
          <cell r="CA20">
            <v>99.964540059056503</v>
          </cell>
          <cell r="CB20">
            <v>-0.44336730150248715</v>
          </cell>
          <cell r="CC20">
            <v>99.521172757554012</v>
          </cell>
          <cell r="CD20">
            <v>0.57847999999999999</v>
          </cell>
          <cell r="CE20">
            <v>200</v>
          </cell>
          <cell r="CF20">
            <v>2.0390596525759306</v>
          </cell>
          <cell r="CG20">
            <v>0.23050000000000004</v>
          </cell>
          <cell r="CH20">
            <v>140</v>
          </cell>
          <cell r="CI20">
            <v>0.5687357816054599</v>
          </cell>
          <cell r="CJ20">
            <v>2.6077954341813907</v>
          </cell>
          <cell r="CK20">
            <v>0.65541203118512048</v>
          </cell>
          <cell r="CL20">
            <v>0.14624634384140398</v>
          </cell>
          <cell r="CM20">
            <v>2.9834254143646404</v>
          </cell>
          <cell r="CN20">
            <v>3.7850837893911651</v>
          </cell>
          <cell r="CO20">
            <v>1.3618005536846394E-2</v>
          </cell>
          <cell r="CP20">
            <v>1.3149171270718234</v>
          </cell>
          <cell r="CQ20">
            <v>1.3285351326086698</v>
          </cell>
          <cell r="CR20">
            <v>1.21</v>
          </cell>
          <cell r="CS20">
            <v>9.81</v>
          </cell>
          <cell r="CT20">
            <v>49.58</v>
          </cell>
          <cell r="CU20">
            <v>0</v>
          </cell>
          <cell r="CV20">
            <v>167.84258711373522</v>
          </cell>
        </row>
        <row r="21">
          <cell r="K21" t="str">
            <v>ExportWalmartHome TrendsUSAWash33x33M</v>
          </cell>
          <cell r="L21">
            <v>0</v>
          </cell>
          <cell r="M21">
            <v>41.32</v>
          </cell>
          <cell r="N21">
            <v>0</v>
          </cell>
          <cell r="O21">
            <v>9.2200000000000006</v>
          </cell>
          <cell r="P21">
            <v>8.09</v>
          </cell>
          <cell r="Q21">
            <v>4.0659999999999998</v>
          </cell>
          <cell r="R21">
            <v>0</v>
          </cell>
          <cell r="S21">
            <v>0</v>
          </cell>
          <cell r="T21">
            <v>62.695999999999998</v>
          </cell>
          <cell r="U21">
            <v>56.739879999999999</v>
          </cell>
          <cell r="V21">
            <v>2.5000000000000001E-3</v>
          </cell>
          <cell r="W21">
            <v>0</v>
          </cell>
          <cell r="X21">
            <v>-1.3999999999999999E-2</v>
          </cell>
          <cell r="Y21">
            <v>-2.5000000000000001E-2</v>
          </cell>
          <cell r="Z21">
            <v>9.4999999999999973E-2</v>
          </cell>
          <cell r="AA21">
            <v>1.4999999999999999E-2</v>
          </cell>
          <cell r="AB21">
            <v>0.01</v>
          </cell>
          <cell r="AC21">
            <v>0.14220521303258143</v>
          </cell>
          <cell r="AD21">
            <v>0</v>
          </cell>
          <cell r="AE21">
            <v>-0.57847999999999999</v>
          </cell>
          <cell r="AF21">
            <v>-0.23050000000000004</v>
          </cell>
          <cell r="AG21">
            <v>5.9561199999999985</v>
          </cell>
          <cell r="AH21">
            <v>0.86405908629441619</v>
          </cell>
          <cell r="AI21">
            <v>0.57313010101010098</v>
          </cell>
          <cell r="AJ21">
            <v>6.7265344003370968</v>
          </cell>
          <cell r="AK21">
            <v>63.466414400337094</v>
          </cell>
          <cell r="AL21" t="str">
            <v>1/13   KC</v>
          </cell>
          <cell r="AM21">
            <v>0</v>
          </cell>
          <cell r="AN21" t="str">
            <v>2/24  KC</v>
          </cell>
          <cell r="AO21" t="str">
            <v xml:space="preserve">1/14OE  </v>
          </cell>
          <cell r="AP21" t="str">
            <v>2/20  KC</v>
          </cell>
          <cell r="AQ21">
            <v>0</v>
          </cell>
          <cell r="AR21">
            <v>0</v>
          </cell>
          <cell r="AS21">
            <v>84.5</v>
          </cell>
          <cell r="AT21">
            <v>0</v>
          </cell>
          <cell r="AU21">
            <v>107.5</v>
          </cell>
          <cell r="AV21">
            <v>75.75</v>
          </cell>
          <cell r="AW21">
            <v>107.5</v>
          </cell>
          <cell r="AX21">
            <v>0</v>
          </cell>
          <cell r="AY21">
            <v>0</v>
          </cell>
          <cell r="AZ21">
            <v>3.4915400000000001</v>
          </cell>
          <cell r="BA21">
            <v>0.99115000000000009</v>
          </cell>
          <cell r="BB21">
            <v>0.61281750000000001</v>
          </cell>
          <cell r="BC21">
            <v>0.43709499999999996</v>
          </cell>
          <cell r="BD21">
            <v>0</v>
          </cell>
          <cell r="BE21">
            <v>1.2548885369674185E-2</v>
          </cell>
          <cell r="BF21">
            <v>0</v>
          </cell>
          <cell r="BI21">
            <v>0</v>
          </cell>
          <cell r="BJ21">
            <v>7.6248811104060912E-2</v>
          </cell>
          <cell r="BK21">
            <v>5.0575810732323236E-2</v>
          </cell>
          <cell r="BL21">
            <v>0.13937350720605834</v>
          </cell>
          <cell r="BM21">
            <v>-3.555130325814536E-3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-2.1601477157360407E-2</v>
          </cell>
          <cell r="BS21">
            <v>0</v>
          </cell>
          <cell r="BT21">
            <v>-2.5156607483174942E-2</v>
          </cell>
          <cell r="BU21">
            <v>90.467908753446139</v>
          </cell>
          <cell r="BV21">
            <v>-0.34454314720812185</v>
          </cell>
          <cell r="BW21">
            <v>90.123365606238011</v>
          </cell>
          <cell r="BX21">
            <v>99.964540059056503</v>
          </cell>
          <cell r="BY21">
            <v>-0.38071065989847713</v>
          </cell>
          <cell r="BZ21">
            <v>99.58382939915802</v>
          </cell>
          <cell r="CA21">
            <v>99.964540059056503</v>
          </cell>
          <cell r="CB21">
            <v>-0.44336730150248715</v>
          </cell>
          <cell r="CC21">
            <v>99.521172757554012</v>
          </cell>
          <cell r="CD21">
            <v>0.57847999999999999</v>
          </cell>
          <cell r="CE21">
            <v>200</v>
          </cell>
          <cell r="CF21">
            <v>2.0390596525759306</v>
          </cell>
          <cell r="CG21">
            <v>0.23050000000000004</v>
          </cell>
          <cell r="CH21">
            <v>140</v>
          </cell>
          <cell r="CI21">
            <v>0.5687357816054599</v>
          </cell>
          <cell r="CJ21">
            <v>2.6077954341813907</v>
          </cell>
          <cell r="CK21">
            <v>0.65541203118512048</v>
          </cell>
          <cell r="CL21">
            <v>0.14624634384140398</v>
          </cell>
          <cell r="CM21">
            <v>2.9834254143646404</v>
          </cell>
          <cell r="CN21">
            <v>3.7850837893911651</v>
          </cell>
          <cell r="CO21">
            <v>1.3618005536846394E-2</v>
          </cell>
          <cell r="CP21">
            <v>1.3149171270718234</v>
          </cell>
          <cell r="CQ21">
            <v>1.3285351326086698</v>
          </cell>
          <cell r="CR21">
            <v>4.22</v>
          </cell>
          <cell r="CS21">
            <v>9.7200000000000006</v>
          </cell>
          <cell r="CT21">
            <v>49.58</v>
          </cell>
          <cell r="CU21">
            <v>0</v>
          </cell>
          <cell r="CV21">
            <v>170.76258711373521</v>
          </cell>
        </row>
        <row r="22">
          <cell r="K22" t="str">
            <v>ExportWalmartHome TrendsUSAWash33x33D</v>
          </cell>
          <cell r="L22">
            <v>0</v>
          </cell>
          <cell r="M22">
            <v>41.32</v>
          </cell>
          <cell r="N22">
            <v>0</v>
          </cell>
          <cell r="O22">
            <v>9.2200000000000006</v>
          </cell>
          <cell r="P22">
            <v>8.09</v>
          </cell>
          <cell r="Q22">
            <v>4.0659999999999998</v>
          </cell>
          <cell r="R22">
            <v>0</v>
          </cell>
          <cell r="S22">
            <v>0</v>
          </cell>
          <cell r="T22">
            <v>62.695999999999998</v>
          </cell>
          <cell r="U22">
            <v>56.739879999999999</v>
          </cell>
          <cell r="V22">
            <v>2.5000000000000001E-3</v>
          </cell>
          <cell r="W22">
            <v>0</v>
          </cell>
          <cell r="X22">
            <v>-1.3999999999999999E-2</v>
          </cell>
          <cell r="Y22">
            <v>-2.5000000000000001E-2</v>
          </cell>
          <cell r="Z22">
            <v>9.4999999999999973E-2</v>
          </cell>
          <cell r="AA22">
            <v>1.4999999999999999E-2</v>
          </cell>
          <cell r="AB22">
            <v>0.01</v>
          </cell>
          <cell r="AC22">
            <v>0.14220521303258143</v>
          </cell>
          <cell r="AD22">
            <v>0</v>
          </cell>
          <cell r="AE22">
            <v>-0.57847999999999999</v>
          </cell>
          <cell r="AF22">
            <v>-0.23050000000000004</v>
          </cell>
          <cell r="AG22">
            <v>5.9561199999999985</v>
          </cell>
          <cell r="AH22">
            <v>0.86405908629441619</v>
          </cell>
          <cell r="AI22">
            <v>0.57313010101010098</v>
          </cell>
          <cell r="AJ22">
            <v>6.7265344003370968</v>
          </cell>
          <cell r="AK22">
            <v>63.466414400337094</v>
          </cell>
          <cell r="AL22" t="str">
            <v>1/13   KC</v>
          </cell>
          <cell r="AM22">
            <v>0</v>
          </cell>
          <cell r="AN22" t="str">
            <v>2/24  KC</v>
          </cell>
          <cell r="AO22" t="str">
            <v xml:space="preserve">1/14OE  </v>
          </cell>
          <cell r="AP22" t="str">
            <v>2/20  KC</v>
          </cell>
          <cell r="AQ22">
            <v>0</v>
          </cell>
          <cell r="AR22">
            <v>0</v>
          </cell>
          <cell r="AS22">
            <v>84.5</v>
          </cell>
          <cell r="AT22">
            <v>0</v>
          </cell>
          <cell r="AU22">
            <v>107.5</v>
          </cell>
          <cell r="AV22">
            <v>75.75</v>
          </cell>
          <cell r="AW22">
            <v>107.5</v>
          </cell>
          <cell r="AX22">
            <v>0</v>
          </cell>
          <cell r="AY22">
            <v>0</v>
          </cell>
          <cell r="AZ22">
            <v>3.4915400000000001</v>
          </cell>
          <cell r="BA22">
            <v>0.99115000000000009</v>
          </cell>
          <cell r="BB22">
            <v>0.61281750000000001</v>
          </cell>
          <cell r="BC22">
            <v>0.43709499999999996</v>
          </cell>
          <cell r="BD22">
            <v>0</v>
          </cell>
          <cell r="BE22">
            <v>1.2548885369674185E-2</v>
          </cell>
          <cell r="BF22">
            <v>0</v>
          </cell>
          <cell r="BI22">
            <v>0</v>
          </cell>
          <cell r="BJ22">
            <v>7.6248811104060912E-2</v>
          </cell>
          <cell r="BK22">
            <v>5.0575810732323236E-2</v>
          </cell>
          <cell r="BL22">
            <v>0.13937350720605834</v>
          </cell>
          <cell r="BM22">
            <v>-3.555130325814536E-3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-2.1601477157360407E-2</v>
          </cell>
          <cell r="BS22">
            <v>0</v>
          </cell>
          <cell r="BT22">
            <v>-2.5156607483174942E-2</v>
          </cell>
          <cell r="BU22">
            <v>90.467908753446139</v>
          </cell>
          <cell r="BV22">
            <v>-0.34454314720812185</v>
          </cell>
          <cell r="BW22">
            <v>90.123365606238011</v>
          </cell>
          <cell r="BX22">
            <v>99.964540059056503</v>
          </cell>
          <cell r="BY22">
            <v>-0.38071065989847713</v>
          </cell>
          <cell r="BZ22">
            <v>99.58382939915802</v>
          </cell>
          <cell r="CA22">
            <v>99.964540059056503</v>
          </cell>
          <cell r="CB22">
            <v>-0.44336730150248715</v>
          </cell>
          <cell r="CC22">
            <v>99.521172757554012</v>
          </cell>
          <cell r="CD22">
            <v>0.57847999999999999</v>
          </cell>
          <cell r="CE22">
            <v>200</v>
          </cell>
          <cell r="CF22">
            <v>2.0390596525759306</v>
          </cell>
          <cell r="CG22">
            <v>0.23050000000000004</v>
          </cell>
          <cell r="CH22">
            <v>140</v>
          </cell>
          <cell r="CI22">
            <v>0.5687357816054599</v>
          </cell>
          <cell r="CJ22">
            <v>2.6077954341813907</v>
          </cell>
          <cell r="CK22">
            <v>0.65541203118512048</v>
          </cell>
          <cell r="CL22">
            <v>0.14624634384140398</v>
          </cell>
          <cell r="CM22">
            <v>2.9834254143646404</v>
          </cell>
          <cell r="CN22">
            <v>3.7850837893911651</v>
          </cell>
          <cell r="CO22">
            <v>1.3618005536846394E-2</v>
          </cell>
          <cell r="CP22">
            <v>1.3149171270718234</v>
          </cell>
          <cell r="CQ22">
            <v>1.3285351326086698</v>
          </cell>
          <cell r="CR22">
            <v>14.66</v>
          </cell>
          <cell r="CS22">
            <v>9.98</v>
          </cell>
          <cell r="CT22">
            <v>49.58</v>
          </cell>
          <cell r="CU22">
            <v>0</v>
          </cell>
          <cell r="CV22">
            <v>181.46258711373522</v>
          </cell>
        </row>
        <row r="23">
          <cell r="K23" t="str">
            <v>ExportMill WorkingCannon LandmarkUSABath76x137L</v>
          </cell>
          <cell r="L23">
            <v>0</v>
          </cell>
          <cell r="M23">
            <v>186.39</v>
          </cell>
          <cell r="N23">
            <v>242.31</v>
          </cell>
          <cell r="O23">
            <v>89.85</v>
          </cell>
          <cell r="P23">
            <v>99.68</v>
          </cell>
          <cell r="Q23">
            <v>38.619999999999997</v>
          </cell>
          <cell r="R23">
            <v>0</v>
          </cell>
          <cell r="S23">
            <v>0</v>
          </cell>
          <cell r="T23">
            <v>656.85</v>
          </cell>
          <cell r="U23">
            <v>607.58625000000006</v>
          </cell>
          <cell r="V23">
            <v>2.5000000000000001E-3</v>
          </cell>
          <cell r="W23">
            <v>0</v>
          </cell>
          <cell r="X23">
            <v>-1.3999999999999999E-2</v>
          </cell>
          <cell r="Y23">
            <v>-2.5000000000000001E-2</v>
          </cell>
          <cell r="Z23">
            <v>7.4999999999999956E-2</v>
          </cell>
          <cell r="AA23">
            <v>1.4999999999999999E-2</v>
          </cell>
          <cell r="AB23">
            <v>0.01</v>
          </cell>
          <cell r="AC23">
            <v>1.5227725563909775</v>
          </cell>
          <cell r="AD23">
            <v>0</v>
          </cell>
          <cell r="AE23">
            <v>-2.6094599999999994</v>
          </cell>
          <cell r="AF23">
            <v>-2.2462499999999999</v>
          </cell>
          <cell r="AG23">
            <v>49.263749999999973</v>
          </cell>
          <cell r="AH23">
            <v>9.2525824873096454</v>
          </cell>
          <cell r="AI23">
            <v>6.1372348484848489</v>
          </cell>
          <cell r="AJ23">
            <v>61.320629892185451</v>
          </cell>
          <cell r="AK23">
            <v>668.90687989218554</v>
          </cell>
          <cell r="AL23" t="str">
            <v>1/13  Comb</v>
          </cell>
          <cell r="AM23" t="str">
            <v>2/20  Comb</v>
          </cell>
          <cell r="AN23" t="str">
            <v>2/24  KC</v>
          </cell>
          <cell r="AO23" t="str">
            <v xml:space="preserve">1/11OE  </v>
          </cell>
          <cell r="AP23" t="str">
            <v>2/20  KC</v>
          </cell>
          <cell r="AQ23">
            <v>0</v>
          </cell>
          <cell r="AR23">
            <v>0</v>
          </cell>
          <cell r="AS23">
            <v>96.5</v>
          </cell>
          <cell r="AT23">
            <v>116.5</v>
          </cell>
          <cell r="AU23">
            <v>107.5</v>
          </cell>
          <cell r="AV23">
            <v>70.75</v>
          </cell>
          <cell r="AW23">
            <v>107.5</v>
          </cell>
          <cell r="AX23">
            <v>0</v>
          </cell>
          <cell r="AY23">
            <v>0</v>
          </cell>
          <cell r="AZ23">
            <v>46.21575</v>
          </cell>
          <cell r="BA23">
            <v>9.6588750000000001</v>
          </cell>
          <cell r="BB23">
            <v>7.0523600000000002</v>
          </cell>
          <cell r="BC23">
            <v>4.1516500000000001</v>
          </cell>
          <cell r="BD23">
            <v>0</v>
          </cell>
          <cell r="BE23">
            <v>0.15550811372180451</v>
          </cell>
          <cell r="BF23">
            <v>0</v>
          </cell>
          <cell r="BI23">
            <v>0</v>
          </cell>
          <cell r="BJ23">
            <v>0.94488940164974622</v>
          </cell>
          <cell r="BK23">
            <v>0.62674482196969705</v>
          </cell>
          <cell r="BL23">
            <v>1.727142337341248</v>
          </cell>
          <cell r="BM23">
            <v>-3.8069313909774437E-2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-0.23131456218274113</v>
          </cell>
          <cell r="BS23">
            <v>0</v>
          </cell>
          <cell r="BT23">
            <v>-0.26938387609251557</v>
          </cell>
          <cell r="BU23">
            <v>104.75112634138884</v>
          </cell>
          <cell r="BV23">
            <v>-0.35215736040609141</v>
          </cell>
          <cell r="BW23">
            <v>104.39896898098274</v>
          </cell>
          <cell r="BX23">
            <v>113.24446090960953</v>
          </cell>
          <cell r="BY23">
            <v>-0.38071065989847713</v>
          </cell>
          <cell r="BZ23">
            <v>112.86375024971105</v>
          </cell>
          <cell r="CA23">
            <v>113.24446090960953</v>
          </cell>
          <cell r="CB23">
            <v>-0.44336730150248715</v>
          </cell>
          <cell r="CC23">
            <v>112.80109360810704</v>
          </cell>
          <cell r="CD23">
            <v>2.6094599999999994</v>
          </cell>
          <cell r="CE23">
            <v>200</v>
          </cell>
          <cell r="CF23">
            <v>0.85895953043703654</v>
          </cell>
          <cell r="CG23">
            <v>2.2462499999999999</v>
          </cell>
          <cell r="CH23">
            <v>140</v>
          </cell>
          <cell r="CI23">
            <v>0.51758083728853299</v>
          </cell>
          <cell r="CJ23">
            <v>1.3765403677255694</v>
          </cell>
          <cell r="CK23">
            <v>0.27609413478333317</v>
          </cell>
          <cell r="CL23">
            <v>0.1330922153027656</v>
          </cell>
          <cell r="CM23">
            <v>2.9189189189189184</v>
          </cell>
          <cell r="CN23">
            <v>3.3281052690050172</v>
          </cell>
          <cell r="CO23">
            <v>1.3194324262604692E-2</v>
          </cell>
          <cell r="CP23">
            <v>1.2864864864864867</v>
          </cell>
          <cell r="CQ23">
            <v>1.2996808107490914</v>
          </cell>
          <cell r="CR23">
            <v>1.21</v>
          </cell>
          <cell r="CS23">
            <v>9.81</v>
          </cell>
          <cell r="CT23">
            <v>12.35</v>
          </cell>
          <cell r="CU23">
            <v>0</v>
          </cell>
          <cell r="CV23">
            <v>142.17542005558673</v>
          </cell>
        </row>
        <row r="24">
          <cell r="K24" t="str">
            <v>ExportMill WorkingCannon LandmarkUSABath76x137M</v>
          </cell>
          <cell r="L24">
            <v>0</v>
          </cell>
          <cell r="M24">
            <v>186.39</v>
          </cell>
          <cell r="N24">
            <v>242.31</v>
          </cell>
          <cell r="O24">
            <v>89.85</v>
          </cell>
          <cell r="P24">
            <v>99.68</v>
          </cell>
          <cell r="Q24">
            <v>38.619999999999997</v>
          </cell>
          <cell r="R24">
            <v>0</v>
          </cell>
          <cell r="S24">
            <v>0</v>
          </cell>
          <cell r="T24">
            <v>656.85</v>
          </cell>
          <cell r="U24">
            <v>607.58625000000006</v>
          </cell>
          <cell r="V24">
            <v>2.5000000000000001E-3</v>
          </cell>
          <cell r="W24">
            <v>0</v>
          </cell>
          <cell r="X24">
            <v>-1.3999999999999999E-2</v>
          </cell>
          <cell r="Y24">
            <v>-2.5000000000000001E-2</v>
          </cell>
          <cell r="Z24">
            <v>7.4999999999999956E-2</v>
          </cell>
          <cell r="AA24">
            <v>1.4999999999999999E-2</v>
          </cell>
          <cell r="AB24">
            <v>0.01</v>
          </cell>
          <cell r="AC24">
            <v>1.5227725563909775</v>
          </cell>
          <cell r="AD24">
            <v>0</v>
          </cell>
          <cell r="AE24">
            <v>-2.6094599999999994</v>
          </cell>
          <cell r="AF24">
            <v>-2.2462499999999999</v>
          </cell>
          <cell r="AG24">
            <v>49.263749999999973</v>
          </cell>
          <cell r="AH24">
            <v>9.2525824873096454</v>
          </cell>
          <cell r="AI24">
            <v>6.1372348484848489</v>
          </cell>
          <cell r="AJ24">
            <v>61.320629892185451</v>
          </cell>
          <cell r="AK24">
            <v>668.90687989218554</v>
          </cell>
          <cell r="AL24" t="str">
            <v>1/13  Comb</v>
          </cell>
          <cell r="AM24" t="str">
            <v>2/20  Comb</v>
          </cell>
          <cell r="AN24" t="str">
            <v>2/24  KC</v>
          </cell>
          <cell r="AO24" t="str">
            <v xml:space="preserve">1/11OE  </v>
          </cell>
          <cell r="AP24" t="str">
            <v>2/20  KC</v>
          </cell>
          <cell r="AQ24">
            <v>0</v>
          </cell>
          <cell r="AR24">
            <v>0</v>
          </cell>
          <cell r="AS24">
            <v>96.5</v>
          </cell>
          <cell r="AT24">
            <v>116.5</v>
          </cell>
          <cell r="AU24">
            <v>107.5</v>
          </cell>
          <cell r="AV24">
            <v>70.75</v>
          </cell>
          <cell r="AW24">
            <v>107.5</v>
          </cell>
          <cell r="AX24">
            <v>0</v>
          </cell>
          <cell r="AY24">
            <v>0</v>
          </cell>
          <cell r="AZ24">
            <v>46.21575</v>
          </cell>
          <cell r="BA24">
            <v>9.6588750000000001</v>
          </cell>
          <cell r="BB24">
            <v>7.0523600000000002</v>
          </cell>
          <cell r="BC24">
            <v>4.1516500000000001</v>
          </cell>
          <cell r="BD24">
            <v>0</v>
          </cell>
          <cell r="BE24">
            <v>0.15550811372180451</v>
          </cell>
          <cell r="BF24">
            <v>0</v>
          </cell>
          <cell r="BI24">
            <v>0</v>
          </cell>
          <cell r="BJ24">
            <v>0.94488940164974622</v>
          </cell>
          <cell r="BK24">
            <v>0.62674482196969705</v>
          </cell>
          <cell r="BL24">
            <v>1.727142337341248</v>
          </cell>
          <cell r="BM24">
            <v>-3.8069313909774437E-2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-0.23131456218274113</v>
          </cell>
          <cell r="BS24">
            <v>0</v>
          </cell>
          <cell r="BT24">
            <v>-0.26938387609251557</v>
          </cell>
          <cell r="BU24">
            <v>104.75112634138884</v>
          </cell>
          <cell r="BV24">
            <v>-0.35215736040609141</v>
          </cell>
          <cell r="BW24">
            <v>104.39896898098274</v>
          </cell>
          <cell r="BX24">
            <v>113.24446090960953</v>
          </cell>
          <cell r="BY24">
            <v>-0.38071065989847713</v>
          </cell>
          <cell r="BZ24">
            <v>112.86375024971105</v>
          </cell>
          <cell r="CA24">
            <v>113.24446090960953</v>
          </cell>
          <cell r="CB24">
            <v>-0.44336730150248715</v>
          </cell>
          <cell r="CC24">
            <v>112.80109360810704</v>
          </cell>
          <cell r="CD24">
            <v>2.6094599999999994</v>
          </cell>
          <cell r="CE24">
            <v>200</v>
          </cell>
          <cell r="CF24">
            <v>0.85895953043703654</v>
          </cell>
          <cell r="CG24">
            <v>2.2462499999999999</v>
          </cell>
          <cell r="CH24">
            <v>140</v>
          </cell>
          <cell r="CI24">
            <v>0.51758083728853299</v>
          </cell>
          <cell r="CJ24">
            <v>1.3765403677255694</v>
          </cell>
          <cell r="CK24">
            <v>0.27609413478333317</v>
          </cell>
          <cell r="CL24">
            <v>0.1330922153027656</v>
          </cell>
          <cell r="CM24">
            <v>2.9189189189189184</v>
          </cell>
          <cell r="CN24">
            <v>3.3281052690050172</v>
          </cell>
          <cell r="CO24">
            <v>1.3194324262604692E-2</v>
          </cell>
          <cell r="CP24">
            <v>1.2864864864864867</v>
          </cell>
          <cell r="CQ24">
            <v>1.2996808107490914</v>
          </cell>
          <cell r="CR24">
            <v>4.22</v>
          </cell>
          <cell r="CS24">
            <v>9.7200000000000006</v>
          </cell>
          <cell r="CT24">
            <v>12.35</v>
          </cell>
          <cell r="CU24">
            <v>0</v>
          </cell>
          <cell r="CV24">
            <v>145.09542005558671</v>
          </cell>
        </row>
        <row r="25">
          <cell r="K25" t="str">
            <v>ExportMill WorkingCannon LandmarkUSABath76x137D</v>
          </cell>
          <cell r="L25">
            <v>0</v>
          </cell>
          <cell r="M25">
            <v>186.39</v>
          </cell>
          <cell r="N25">
            <v>242.31</v>
          </cell>
          <cell r="O25">
            <v>89.85</v>
          </cell>
          <cell r="P25">
            <v>99.68</v>
          </cell>
          <cell r="Q25">
            <v>38.619999999999997</v>
          </cell>
          <cell r="R25">
            <v>0</v>
          </cell>
          <cell r="S25">
            <v>0</v>
          </cell>
          <cell r="T25">
            <v>656.85</v>
          </cell>
          <cell r="U25">
            <v>607.58625000000006</v>
          </cell>
          <cell r="V25">
            <v>2.5000000000000001E-3</v>
          </cell>
          <cell r="W25">
            <v>0</v>
          </cell>
          <cell r="X25">
            <v>-1.3999999999999999E-2</v>
          </cell>
          <cell r="Y25">
            <v>-2.5000000000000001E-2</v>
          </cell>
          <cell r="Z25">
            <v>7.4999999999999956E-2</v>
          </cell>
          <cell r="AA25">
            <v>1.4999999999999999E-2</v>
          </cell>
          <cell r="AB25">
            <v>0.01</v>
          </cell>
          <cell r="AC25">
            <v>1.5227725563909775</v>
          </cell>
          <cell r="AD25">
            <v>0</v>
          </cell>
          <cell r="AE25">
            <v>-2.6094599999999994</v>
          </cell>
          <cell r="AF25">
            <v>-2.2462499999999999</v>
          </cell>
          <cell r="AG25">
            <v>49.263749999999973</v>
          </cell>
          <cell r="AH25">
            <v>9.2525824873096454</v>
          </cell>
          <cell r="AI25">
            <v>6.1372348484848489</v>
          </cell>
          <cell r="AJ25">
            <v>61.320629892185451</v>
          </cell>
          <cell r="AK25">
            <v>668.90687989218554</v>
          </cell>
          <cell r="AL25" t="str">
            <v>1/13  Comb</v>
          </cell>
          <cell r="AM25" t="str">
            <v>2/20  Comb</v>
          </cell>
          <cell r="AN25" t="str">
            <v>2/24  KC</v>
          </cell>
          <cell r="AO25" t="str">
            <v xml:space="preserve">1/11OE  </v>
          </cell>
          <cell r="AP25" t="str">
            <v>2/20  KC</v>
          </cell>
          <cell r="AQ25">
            <v>0</v>
          </cell>
          <cell r="AR25">
            <v>0</v>
          </cell>
          <cell r="AS25">
            <v>96.5</v>
          </cell>
          <cell r="AT25">
            <v>116.5</v>
          </cell>
          <cell r="AU25">
            <v>107.5</v>
          </cell>
          <cell r="AV25">
            <v>70.75</v>
          </cell>
          <cell r="AW25">
            <v>107.5</v>
          </cell>
          <cell r="AX25">
            <v>0</v>
          </cell>
          <cell r="AY25">
            <v>0</v>
          </cell>
          <cell r="AZ25">
            <v>46.21575</v>
          </cell>
          <cell r="BA25">
            <v>9.6588750000000001</v>
          </cell>
          <cell r="BB25">
            <v>7.0523600000000002</v>
          </cell>
          <cell r="BC25">
            <v>4.1516500000000001</v>
          </cell>
          <cell r="BD25">
            <v>0</v>
          </cell>
          <cell r="BE25">
            <v>0.15550811372180451</v>
          </cell>
          <cell r="BF25">
            <v>0</v>
          </cell>
          <cell r="BI25">
            <v>0</v>
          </cell>
          <cell r="BJ25">
            <v>0.94488940164974622</v>
          </cell>
          <cell r="BK25">
            <v>0.62674482196969705</v>
          </cell>
          <cell r="BL25">
            <v>1.727142337341248</v>
          </cell>
          <cell r="BM25">
            <v>-3.8069313909774437E-2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-0.23131456218274113</v>
          </cell>
          <cell r="BS25">
            <v>0</v>
          </cell>
          <cell r="BT25">
            <v>-0.26938387609251557</v>
          </cell>
          <cell r="BU25">
            <v>104.75112634138884</v>
          </cell>
          <cell r="BV25">
            <v>-0.35215736040609141</v>
          </cell>
          <cell r="BW25">
            <v>104.39896898098274</v>
          </cell>
          <cell r="BX25">
            <v>113.24446090960953</v>
          </cell>
          <cell r="BY25">
            <v>-0.38071065989847713</v>
          </cell>
          <cell r="BZ25">
            <v>112.86375024971105</v>
          </cell>
          <cell r="CA25">
            <v>113.24446090960953</v>
          </cell>
          <cell r="CB25">
            <v>-0.44336730150248715</v>
          </cell>
          <cell r="CC25">
            <v>112.80109360810704</v>
          </cell>
          <cell r="CD25">
            <v>2.6094599999999994</v>
          </cell>
          <cell r="CE25">
            <v>200</v>
          </cell>
          <cell r="CF25">
            <v>0.85895953043703654</v>
          </cell>
          <cell r="CG25">
            <v>2.2462499999999999</v>
          </cell>
          <cell r="CH25">
            <v>140</v>
          </cell>
          <cell r="CI25">
            <v>0.51758083728853299</v>
          </cell>
          <cell r="CJ25">
            <v>1.3765403677255694</v>
          </cell>
          <cell r="CK25">
            <v>0.27609413478333317</v>
          </cell>
          <cell r="CL25">
            <v>0.1330922153027656</v>
          </cell>
          <cell r="CM25">
            <v>2.9189189189189184</v>
          </cell>
          <cell r="CN25">
            <v>3.3281052690050172</v>
          </cell>
          <cell r="CO25">
            <v>1.3194324262604692E-2</v>
          </cell>
          <cell r="CP25">
            <v>1.2864864864864867</v>
          </cell>
          <cell r="CQ25">
            <v>1.2996808107490914</v>
          </cell>
          <cell r="CR25">
            <v>14.66</v>
          </cell>
          <cell r="CS25">
            <v>9.98</v>
          </cell>
          <cell r="CT25">
            <v>12.35</v>
          </cell>
          <cell r="CU25">
            <v>0</v>
          </cell>
          <cell r="CV25">
            <v>155.79542005558673</v>
          </cell>
        </row>
        <row r="26">
          <cell r="K26" t="str">
            <v>ExportMill WorkingCannon LandmarkUSAHand41x76L</v>
          </cell>
          <cell r="L26">
            <v>0</v>
          </cell>
          <cell r="M26">
            <v>45.716999999999999</v>
          </cell>
          <cell r="N26">
            <v>59.432000000000002</v>
          </cell>
          <cell r="O26">
            <v>28.38</v>
          </cell>
          <cell r="P26">
            <v>23.428999999999998</v>
          </cell>
          <cell r="Q26">
            <v>17.27</v>
          </cell>
          <cell r="R26">
            <v>0</v>
          </cell>
          <cell r="S26">
            <v>0</v>
          </cell>
          <cell r="T26">
            <v>174.22800000000001</v>
          </cell>
          <cell r="U26">
            <v>161.16090000000003</v>
          </cell>
          <cell r="V26">
            <v>2.5000000000000001E-3</v>
          </cell>
          <cell r="W26">
            <v>0</v>
          </cell>
          <cell r="X26">
            <v>-1.3999999999999999E-2</v>
          </cell>
          <cell r="Y26">
            <v>-2.5000000000000001E-2</v>
          </cell>
          <cell r="Z26">
            <v>7.4999999999999845E-2</v>
          </cell>
          <cell r="AA26">
            <v>1.4999999999999999E-2</v>
          </cell>
          <cell r="AB26">
            <v>0.01</v>
          </cell>
          <cell r="AC26">
            <v>0.40391203007518806</v>
          </cell>
          <cell r="AD26">
            <v>0</v>
          </cell>
          <cell r="AE26">
            <v>-0.64003799999999988</v>
          </cell>
          <cell r="AF26">
            <v>-0.70950000000000002</v>
          </cell>
          <cell r="AG26">
            <v>13.067099999999973</v>
          </cell>
          <cell r="AH26">
            <v>2.4542269035532995</v>
          </cell>
          <cell r="AI26">
            <v>1.627887878787879</v>
          </cell>
          <cell r="AJ26">
            <v>16.203588812416339</v>
          </cell>
          <cell r="AK26">
            <v>177.36448881241637</v>
          </cell>
          <cell r="AL26" t="str">
            <v>1/13  Comb</v>
          </cell>
          <cell r="AM26" t="str">
            <v>2/20  Comb</v>
          </cell>
          <cell r="AN26" t="str">
            <v>2/24  KC</v>
          </cell>
          <cell r="AO26" t="str">
            <v xml:space="preserve">1/14OE  </v>
          </cell>
          <cell r="AP26" t="str">
            <v>2/20  KC</v>
          </cell>
          <cell r="AQ26">
            <v>0</v>
          </cell>
          <cell r="AR26">
            <v>0</v>
          </cell>
          <cell r="AS26">
            <v>96.5</v>
          </cell>
          <cell r="AT26">
            <v>116.5</v>
          </cell>
          <cell r="AU26">
            <v>107.5</v>
          </cell>
          <cell r="AV26">
            <v>75.75</v>
          </cell>
          <cell r="AW26">
            <v>107.5</v>
          </cell>
          <cell r="AX26">
            <v>0</v>
          </cell>
          <cell r="AY26">
            <v>0</v>
          </cell>
          <cell r="AZ26">
            <v>11.335518499999999</v>
          </cell>
          <cell r="BA26">
            <v>3.0508500000000001</v>
          </cell>
          <cell r="BB26">
            <v>1.7747467499999998</v>
          </cell>
          <cell r="BC26">
            <v>1.8565249999999998</v>
          </cell>
          <cell r="BD26">
            <v>0</v>
          </cell>
          <cell r="BE26">
            <v>4.1770218624686724E-2</v>
          </cell>
          <cell r="BF26">
            <v>0</v>
          </cell>
          <cell r="BI26">
            <v>0</v>
          </cell>
          <cell r="BJ26">
            <v>0.25380178524746194</v>
          </cell>
          <cell r="BK26">
            <v>0.16834663869949495</v>
          </cell>
          <cell r="BL26">
            <v>0.46391864257164361</v>
          </cell>
          <cell r="BM26">
            <v>-1.0097800751879701E-2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-6.135567258883249E-2</v>
          </cell>
          <cell r="BS26">
            <v>0</v>
          </cell>
          <cell r="BT26">
            <v>-7.1453473340712198E-2</v>
          </cell>
          <cell r="BU26">
            <v>106.07685844164914</v>
          </cell>
          <cell r="BV26">
            <v>-0.35215736040609141</v>
          </cell>
          <cell r="BW26">
            <v>105.72470108124304</v>
          </cell>
          <cell r="BX26">
            <v>114.67768480178282</v>
          </cell>
          <cell r="BY26">
            <v>-0.38071065989847713</v>
          </cell>
          <cell r="BZ26">
            <v>114.29697414188433</v>
          </cell>
          <cell r="CA26">
            <v>114.67768480178282</v>
          </cell>
          <cell r="CB26">
            <v>-0.44336730150248715</v>
          </cell>
          <cell r="CC26">
            <v>114.23431750028033</v>
          </cell>
          <cell r="CD26">
            <v>0.64003799999999988</v>
          </cell>
          <cell r="CE26">
            <v>200</v>
          </cell>
          <cell r="CF26">
            <v>0.79428446974421185</v>
          </cell>
          <cell r="CG26">
            <v>0.70950000000000002</v>
          </cell>
          <cell r="CH26">
            <v>140</v>
          </cell>
          <cell r="CI26">
            <v>0.61634056399536108</v>
          </cell>
          <cell r="CJ26">
            <v>1.4106250337395729</v>
          </cell>
          <cell r="CK26">
            <v>0.25530572241778238</v>
          </cell>
          <cell r="CL26">
            <v>0.15848757359880711</v>
          </cell>
          <cell r="CM26">
            <v>2.9189189189189184</v>
          </cell>
          <cell r="CN26">
            <v>3.332712214935508</v>
          </cell>
          <cell r="CO26">
            <v>1.2200765198010187E-2</v>
          </cell>
          <cell r="CP26">
            <v>1.2864864864864864</v>
          </cell>
          <cell r="CQ26">
            <v>1.2986872516844967</v>
          </cell>
          <cell r="CR26">
            <v>1.21</v>
          </cell>
          <cell r="CS26">
            <v>9.81</v>
          </cell>
          <cell r="CT26">
            <v>24.95</v>
          </cell>
          <cell r="CU26">
            <v>0</v>
          </cell>
          <cell r="CV26">
            <v>156.24634200063991</v>
          </cell>
        </row>
        <row r="27">
          <cell r="K27" t="str">
            <v>ExportMill WorkingCannon LandmarkUSAHand41x76M</v>
          </cell>
          <cell r="L27">
            <v>0</v>
          </cell>
          <cell r="M27">
            <v>45.716999999999999</v>
          </cell>
          <cell r="N27">
            <v>59.432000000000002</v>
          </cell>
          <cell r="O27">
            <v>28.38</v>
          </cell>
          <cell r="P27">
            <v>23.428999999999998</v>
          </cell>
          <cell r="Q27">
            <v>17.27</v>
          </cell>
          <cell r="R27">
            <v>0</v>
          </cell>
          <cell r="S27">
            <v>0</v>
          </cell>
          <cell r="T27">
            <v>174.22800000000001</v>
          </cell>
          <cell r="U27">
            <v>161.16090000000003</v>
          </cell>
          <cell r="V27">
            <v>2.5000000000000001E-3</v>
          </cell>
          <cell r="W27">
            <v>0</v>
          </cell>
          <cell r="X27">
            <v>-1.3999999999999999E-2</v>
          </cell>
          <cell r="Y27">
            <v>-2.5000000000000001E-2</v>
          </cell>
          <cell r="Z27">
            <v>7.4999999999999845E-2</v>
          </cell>
          <cell r="AA27">
            <v>1.4999999999999999E-2</v>
          </cell>
          <cell r="AB27">
            <v>0.01</v>
          </cell>
          <cell r="AC27">
            <v>0.40391203007518806</v>
          </cell>
          <cell r="AD27">
            <v>0</v>
          </cell>
          <cell r="AE27">
            <v>-0.64003799999999988</v>
          </cell>
          <cell r="AF27">
            <v>-0.70950000000000002</v>
          </cell>
          <cell r="AG27">
            <v>13.067099999999973</v>
          </cell>
          <cell r="AH27">
            <v>2.4542269035532995</v>
          </cell>
          <cell r="AI27">
            <v>1.627887878787879</v>
          </cell>
          <cell r="AJ27">
            <v>16.203588812416339</v>
          </cell>
          <cell r="AK27">
            <v>177.36448881241637</v>
          </cell>
          <cell r="AL27" t="str">
            <v>1/13  Comb</v>
          </cell>
          <cell r="AM27" t="str">
            <v>2/20  Comb</v>
          </cell>
          <cell r="AN27" t="str">
            <v>2/24  KC</v>
          </cell>
          <cell r="AO27" t="str">
            <v xml:space="preserve">1/14OE  </v>
          </cell>
          <cell r="AP27" t="str">
            <v>2/20  KC</v>
          </cell>
          <cell r="AQ27">
            <v>0</v>
          </cell>
          <cell r="AR27">
            <v>0</v>
          </cell>
          <cell r="AS27">
            <v>96.5</v>
          </cell>
          <cell r="AT27">
            <v>116.5</v>
          </cell>
          <cell r="AU27">
            <v>107.5</v>
          </cell>
          <cell r="AV27">
            <v>75.75</v>
          </cell>
          <cell r="AW27">
            <v>107.5</v>
          </cell>
          <cell r="AX27">
            <v>0</v>
          </cell>
          <cell r="AY27">
            <v>0</v>
          </cell>
          <cell r="AZ27">
            <v>11.335518499999999</v>
          </cell>
          <cell r="BA27">
            <v>3.0508500000000001</v>
          </cell>
          <cell r="BB27">
            <v>1.7747467499999998</v>
          </cell>
          <cell r="BC27">
            <v>1.8565249999999998</v>
          </cell>
          <cell r="BD27">
            <v>0</v>
          </cell>
          <cell r="BE27">
            <v>4.1770218624686724E-2</v>
          </cell>
          <cell r="BF27">
            <v>0</v>
          </cell>
          <cell r="BI27">
            <v>0</v>
          </cell>
          <cell r="BJ27">
            <v>0.25380178524746194</v>
          </cell>
          <cell r="BK27">
            <v>0.16834663869949495</v>
          </cell>
          <cell r="BL27">
            <v>0.46391864257164361</v>
          </cell>
          <cell r="BM27">
            <v>-1.0097800751879701E-2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-6.135567258883249E-2</v>
          </cell>
          <cell r="BS27">
            <v>0</v>
          </cell>
          <cell r="BT27">
            <v>-7.1453473340712198E-2</v>
          </cell>
          <cell r="BU27">
            <v>106.07685844164914</v>
          </cell>
          <cell r="BV27">
            <v>-0.35215736040609141</v>
          </cell>
          <cell r="BW27">
            <v>105.72470108124304</v>
          </cell>
          <cell r="BX27">
            <v>114.67768480178282</v>
          </cell>
          <cell r="BY27">
            <v>-0.38071065989847713</v>
          </cell>
          <cell r="BZ27">
            <v>114.29697414188433</v>
          </cell>
          <cell r="CA27">
            <v>114.67768480178282</v>
          </cell>
          <cell r="CB27">
            <v>-0.44336730150248715</v>
          </cell>
          <cell r="CC27">
            <v>114.23431750028033</v>
          </cell>
          <cell r="CD27">
            <v>0.64003799999999988</v>
          </cell>
          <cell r="CE27">
            <v>200</v>
          </cell>
          <cell r="CF27">
            <v>0.79428446974421185</v>
          </cell>
          <cell r="CG27">
            <v>0.70950000000000002</v>
          </cell>
          <cell r="CH27">
            <v>140</v>
          </cell>
          <cell r="CI27">
            <v>0.61634056399536108</v>
          </cell>
          <cell r="CJ27">
            <v>1.4106250337395729</v>
          </cell>
          <cell r="CK27">
            <v>0.25530572241778238</v>
          </cell>
          <cell r="CL27">
            <v>0.15848757359880711</v>
          </cell>
          <cell r="CM27">
            <v>2.9189189189189184</v>
          </cell>
          <cell r="CN27">
            <v>3.332712214935508</v>
          </cell>
          <cell r="CO27">
            <v>1.2200765198010187E-2</v>
          </cell>
          <cell r="CP27">
            <v>1.2864864864864864</v>
          </cell>
          <cell r="CQ27">
            <v>1.2986872516844967</v>
          </cell>
          <cell r="CR27">
            <v>4.22</v>
          </cell>
          <cell r="CS27">
            <v>9.7200000000000006</v>
          </cell>
          <cell r="CT27">
            <v>24.95</v>
          </cell>
          <cell r="CU27">
            <v>0</v>
          </cell>
          <cell r="CV27">
            <v>159.16634200063993</v>
          </cell>
        </row>
        <row r="28">
          <cell r="K28" t="str">
            <v>ExportMill WorkingCannon LandmarkUSAHand41x76D</v>
          </cell>
          <cell r="L28">
            <v>0</v>
          </cell>
          <cell r="M28">
            <v>45.716999999999999</v>
          </cell>
          <cell r="N28">
            <v>59.432000000000002</v>
          </cell>
          <cell r="O28">
            <v>28.38</v>
          </cell>
          <cell r="P28">
            <v>23.428999999999998</v>
          </cell>
          <cell r="Q28">
            <v>17.27</v>
          </cell>
          <cell r="R28">
            <v>0</v>
          </cell>
          <cell r="S28">
            <v>0</v>
          </cell>
          <cell r="T28">
            <v>174.22800000000001</v>
          </cell>
          <cell r="U28">
            <v>161.16090000000003</v>
          </cell>
          <cell r="V28">
            <v>2.5000000000000001E-3</v>
          </cell>
          <cell r="W28">
            <v>0</v>
          </cell>
          <cell r="X28">
            <v>-1.3999999999999999E-2</v>
          </cell>
          <cell r="Y28">
            <v>-2.5000000000000001E-2</v>
          </cell>
          <cell r="Z28">
            <v>7.4999999999999845E-2</v>
          </cell>
          <cell r="AA28">
            <v>1.4999999999999999E-2</v>
          </cell>
          <cell r="AB28">
            <v>0.01</v>
          </cell>
          <cell r="AC28">
            <v>0.40391203007518806</v>
          </cell>
          <cell r="AD28">
            <v>0</v>
          </cell>
          <cell r="AE28">
            <v>-0.64003799999999988</v>
          </cell>
          <cell r="AF28">
            <v>-0.70950000000000002</v>
          </cell>
          <cell r="AG28">
            <v>13.067099999999973</v>
          </cell>
          <cell r="AH28">
            <v>2.4542269035532995</v>
          </cell>
          <cell r="AI28">
            <v>1.627887878787879</v>
          </cell>
          <cell r="AJ28">
            <v>16.203588812416339</v>
          </cell>
          <cell r="AK28">
            <v>177.36448881241637</v>
          </cell>
          <cell r="AL28" t="str">
            <v>1/13  Comb</v>
          </cell>
          <cell r="AM28" t="str">
            <v>2/20  Comb</v>
          </cell>
          <cell r="AN28" t="str">
            <v>2/24  KC</v>
          </cell>
          <cell r="AO28" t="str">
            <v xml:space="preserve">1/14OE  </v>
          </cell>
          <cell r="AP28" t="str">
            <v>2/20  KC</v>
          </cell>
          <cell r="AQ28">
            <v>0</v>
          </cell>
          <cell r="AR28">
            <v>0</v>
          </cell>
          <cell r="AS28">
            <v>96.5</v>
          </cell>
          <cell r="AT28">
            <v>116.5</v>
          </cell>
          <cell r="AU28">
            <v>107.5</v>
          </cell>
          <cell r="AV28">
            <v>75.75</v>
          </cell>
          <cell r="AW28">
            <v>107.5</v>
          </cell>
          <cell r="AX28">
            <v>0</v>
          </cell>
          <cell r="AY28">
            <v>0</v>
          </cell>
          <cell r="AZ28">
            <v>11.335518499999999</v>
          </cell>
          <cell r="BA28">
            <v>3.0508500000000001</v>
          </cell>
          <cell r="BB28">
            <v>1.7747467499999998</v>
          </cell>
          <cell r="BC28">
            <v>1.8565249999999998</v>
          </cell>
          <cell r="BD28">
            <v>0</v>
          </cell>
          <cell r="BE28">
            <v>4.1770218624686724E-2</v>
          </cell>
          <cell r="BF28">
            <v>0</v>
          </cell>
          <cell r="BI28">
            <v>0</v>
          </cell>
          <cell r="BJ28">
            <v>0.25380178524746194</v>
          </cell>
          <cell r="BK28">
            <v>0.16834663869949495</v>
          </cell>
          <cell r="BL28">
            <v>0.46391864257164361</v>
          </cell>
          <cell r="BM28">
            <v>-1.0097800751879701E-2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-6.135567258883249E-2</v>
          </cell>
          <cell r="BS28">
            <v>0</v>
          </cell>
          <cell r="BT28">
            <v>-7.1453473340712198E-2</v>
          </cell>
          <cell r="BU28">
            <v>106.07685844164914</v>
          </cell>
          <cell r="BV28">
            <v>-0.35215736040609141</v>
          </cell>
          <cell r="BW28">
            <v>105.72470108124304</v>
          </cell>
          <cell r="BX28">
            <v>114.67768480178282</v>
          </cell>
          <cell r="BY28">
            <v>-0.38071065989847713</v>
          </cell>
          <cell r="BZ28">
            <v>114.29697414188433</v>
          </cell>
          <cell r="CA28">
            <v>114.67768480178282</v>
          </cell>
          <cell r="CB28">
            <v>-0.44336730150248715</v>
          </cell>
          <cell r="CC28">
            <v>114.23431750028033</v>
          </cell>
          <cell r="CD28">
            <v>0.64003799999999988</v>
          </cell>
          <cell r="CE28">
            <v>200</v>
          </cell>
          <cell r="CF28">
            <v>0.79428446974421185</v>
          </cell>
          <cell r="CG28">
            <v>0.70950000000000002</v>
          </cell>
          <cell r="CH28">
            <v>140</v>
          </cell>
          <cell r="CI28">
            <v>0.61634056399536108</v>
          </cell>
          <cell r="CJ28">
            <v>1.4106250337395729</v>
          </cell>
          <cell r="CK28">
            <v>0.25530572241778238</v>
          </cell>
          <cell r="CL28">
            <v>0.15848757359880711</v>
          </cell>
          <cell r="CM28">
            <v>2.9189189189189184</v>
          </cell>
          <cell r="CN28">
            <v>3.332712214935508</v>
          </cell>
          <cell r="CO28">
            <v>1.2200765198010187E-2</v>
          </cell>
          <cell r="CP28">
            <v>1.2864864864864864</v>
          </cell>
          <cell r="CQ28">
            <v>1.2986872516844967</v>
          </cell>
          <cell r="CR28">
            <v>14.66</v>
          </cell>
          <cell r="CS28">
            <v>9.98</v>
          </cell>
          <cell r="CT28">
            <v>24.95</v>
          </cell>
          <cell r="CU28">
            <v>0</v>
          </cell>
          <cell r="CV28">
            <v>169.86634200063992</v>
          </cell>
        </row>
        <row r="29">
          <cell r="K29" t="str">
            <v>ExportMill WorkingCannon LandmarkUSAWash33x33L</v>
          </cell>
          <cell r="L29">
            <v>0</v>
          </cell>
          <cell r="M29">
            <v>16.986000000000001</v>
          </cell>
          <cell r="N29">
            <v>22.082000000000001</v>
          </cell>
          <cell r="O29">
            <v>11.56</v>
          </cell>
          <cell r="P29">
            <v>12.162000000000001</v>
          </cell>
          <cell r="Q29">
            <v>8.8680000000000003</v>
          </cell>
          <cell r="R29">
            <v>0</v>
          </cell>
          <cell r="S29">
            <v>0</v>
          </cell>
          <cell r="T29">
            <v>71.658000000000001</v>
          </cell>
          <cell r="U29">
            <v>66.283650000000009</v>
          </cell>
          <cell r="V29">
            <v>2.5000000000000001E-3</v>
          </cell>
          <cell r="W29">
            <v>0</v>
          </cell>
          <cell r="X29">
            <v>-1.3999999999999999E-2</v>
          </cell>
          <cell r="Y29">
            <v>-2.5000000000000001E-2</v>
          </cell>
          <cell r="Z29">
            <v>7.4999999999999845E-2</v>
          </cell>
          <cell r="AA29">
            <v>1.4999999999999999E-2</v>
          </cell>
          <cell r="AB29">
            <v>0.01</v>
          </cell>
          <cell r="AC29">
            <v>0.16612443609022559</v>
          </cell>
          <cell r="AD29">
            <v>0</v>
          </cell>
          <cell r="AE29">
            <v>-0.23780399999999999</v>
          </cell>
          <cell r="AF29">
            <v>-0.28900000000000003</v>
          </cell>
          <cell r="AG29">
            <v>5.3743499999999891</v>
          </cell>
          <cell r="AH29">
            <v>1.0093956852791879</v>
          </cell>
          <cell r="AI29">
            <v>0.66953181818181828</v>
          </cell>
          <cell r="AJ29">
            <v>6.692597939551221</v>
          </cell>
          <cell r="AK29">
            <v>72.976247939551229</v>
          </cell>
          <cell r="AL29" t="str">
            <v>1/13  Comb</v>
          </cell>
          <cell r="AM29" t="str">
            <v>2/20  Comb</v>
          </cell>
          <cell r="AN29" t="str">
            <v>2/24  KC</v>
          </cell>
          <cell r="AO29" t="str">
            <v xml:space="preserve">1/11.5OE VIS+COT  </v>
          </cell>
          <cell r="AP29" t="str">
            <v>2/20  KC</v>
          </cell>
          <cell r="AQ29">
            <v>0</v>
          </cell>
          <cell r="AR29">
            <v>0</v>
          </cell>
          <cell r="AS29">
            <v>96.5</v>
          </cell>
          <cell r="AT29">
            <v>116.5</v>
          </cell>
          <cell r="AU29">
            <v>107.5</v>
          </cell>
          <cell r="AV29">
            <v>72.33</v>
          </cell>
          <cell r="AW29">
            <v>107.5</v>
          </cell>
          <cell r="AX29">
            <v>0</v>
          </cell>
          <cell r="AY29">
            <v>0</v>
          </cell>
          <cell r="AZ29">
            <v>4.2117020000000007</v>
          </cell>
          <cell r="BA29">
            <v>1.2427000000000001</v>
          </cell>
          <cell r="BB29">
            <v>0.87967746000000002</v>
          </cell>
          <cell r="BC29">
            <v>0.9533100000000001</v>
          </cell>
          <cell r="BD29">
            <v>0</v>
          </cell>
          <cell r="BE29">
            <v>1.6894323936090229E-2</v>
          </cell>
          <cell r="BF29">
            <v>0</v>
          </cell>
          <cell r="BI29">
            <v>0</v>
          </cell>
          <cell r="BJ29">
            <v>0.10265231345939088</v>
          </cell>
          <cell r="BK29">
            <v>6.8089244954545464E-2</v>
          </cell>
          <cell r="BL29">
            <v>0.18763588235002657</v>
          </cell>
          <cell r="BM29">
            <v>-4.1531109022556398E-3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-2.52348921319797E-2</v>
          </cell>
          <cell r="BS29">
            <v>0</v>
          </cell>
          <cell r="BT29">
            <v>-2.938800303423534E-2</v>
          </cell>
          <cell r="BU29">
            <v>104.31529406835283</v>
          </cell>
          <cell r="BV29">
            <v>-0.35215736040609147</v>
          </cell>
          <cell r="BW29">
            <v>103.96313670794673</v>
          </cell>
          <cell r="BX29">
            <v>112.77329088470574</v>
          </cell>
          <cell r="BY29">
            <v>-0.38071065989847713</v>
          </cell>
          <cell r="BZ29">
            <v>112.39258022480726</v>
          </cell>
          <cell r="CA29">
            <v>112.77329088470574</v>
          </cell>
          <cell r="CB29">
            <v>-0.44336730150248721</v>
          </cell>
          <cell r="CC29">
            <v>112.32992358320325</v>
          </cell>
          <cell r="CD29">
            <v>0.23780399999999999</v>
          </cell>
          <cell r="CE29">
            <v>200</v>
          </cell>
          <cell r="CF29">
            <v>0.71753441459545442</v>
          </cell>
          <cell r="CG29">
            <v>0.28900000000000003</v>
          </cell>
          <cell r="CH29">
            <v>140</v>
          </cell>
          <cell r="CI29">
            <v>0.61040694047476263</v>
          </cell>
          <cell r="CJ29">
            <v>1.327941355070217</v>
          </cell>
          <cell r="CK29">
            <v>0.23063606183425323</v>
          </cell>
          <cell r="CL29">
            <v>0.15696178469351038</v>
          </cell>
          <cell r="CM29">
            <v>2.9189189189189184</v>
          </cell>
          <cell r="CN29">
            <v>3.3065167654466823</v>
          </cell>
          <cell r="CO29">
            <v>1.1021897556939003E-2</v>
          </cell>
          <cell r="CP29">
            <v>1.2864864864864867</v>
          </cell>
          <cell r="CQ29">
            <v>1.2975083840434256</v>
          </cell>
          <cell r="CR29">
            <v>1.21</v>
          </cell>
          <cell r="CS29">
            <v>9.81</v>
          </cell>
          <cell r="CT29">
            <v>47.86</v>
          </cell>
          <cell r="CU29">
            <v>0</v>
          </cell>
          <cell r="CV29">
            <v>177.14189008776358</v>
          </cell>
        </row>
        <row r="30">
          <cell r="K30" t="str">
            <v>ExportMill WorkingCannon LandmarkUSAWash33x33M</v>
          </cell>
          <cell r="L30">
            <v>0</v>
          </cell>
          <cell r="M30">
            <v>16.986000000000001</v>
          </cell>
          <cell r="N30">
            <v>22.082000000000001</v>
          </cell>
          <cell r="O30">
            <v>11.56</v>
          </cell>
          <cell r="P30">
            <v>12.162000000000001</v>
          </cell>
          <cell r="Q30">
            <v>8.8680000000000003</v>
          </cell>
          <cell r="R30">
            <v>0</v>
          </cell>
          <cell r="S30">
            <v>0</v>
          </cell>
          <cell r="T30">
            <v>71.658000000000001</v>
          </cell>
          <cell r="U30">
            <v>66.283650000000009</v>
          </cell>
          <cell r="V30">
            <v>2.5000000000000001E-3</v>
          </cell>
          <cell r="W30">
            <v>0</v>
          </cell>
          <cell r="X30">
            <v>-1.3999999999999999E-2</v>
          </cell>
          <cell r="Y30">
            <v>-2.5000000000000001E-2</v>
          </cell>
          <cell r="Z30">
            <v>7.4999999999999845E-2</v>
          </cell>
          <cell r="AA30">
            <v>1.4999999999999999E-2</v>
          </cell>
          <cell r="AB30">
            <v>0.01</v>
          </cell>
          <cell r="AC30">
            <v>0.16612443609022559</v>
          </cell>
          <cell r="AD30">
            <v>0</v>
          </cell>
          <cell r="AE30">
            <v>-0.23780399999999999</v>
          </cell>
          <cell r="AF30">
            <v>-0.28900000000000003</v>
          </cell>
          <cell r="AG30">
            <v>5.3743499999999891</v>
          </cell>
          <cell r="AH30">
            <v>1.0093956852791879</v>
          </cell>
          <cell r="AI30">
            <v>0.66953181818181828</v>
          </cell>
          <cell r="AJ30">
            <v>6.692597939551221</v>
          </cell>
          <cell r="AK30">
            <v>72.976247939551229</v>
          </cell>
          <cell r="AL30" t="str">
            <v>1/13  Comb</v>
          </cell>
          <cell r="AM30" t="str">
            <v>2/20  Comb</v>
          </cell>
          <cell r="AN30" t="str">
            <v>2/24  KC</v>
          </cell>
          <cell r="AO30" t="str">
            <v xml:space="preserve">1/11.5OE VIS+COT  </v>
          </cell>
          <cell r="AP30" t="str">
            <v>2/20  KC</v>
          </cell>
          <cell r="AQ30">
            <v>0</v>
          </cell>
          <cell r="AR30">
            <v>0</v>
          </cell>
          <cell r="AS30">
            <v>96.5</v>
          </cell>
          <cell r="AT30">
            <v>116.5</v>
          </cell>
          <cell r="AU30">
            <v>107.5</v>
          </cell>
          <cell r="AV30">
            <v>72.33</v>
          </cell>
          <cell r="AW30">
            <v>107.5</v>
          </cell>
          <cell r="AX30">
            <v>0</v>
          </cell>
          <cell r="AY30">
            <v>0</v>
          </cell>
          <cell r="AZ30">
            <v>4.2117020000000007</v>
          </cell>
          <cell r="BA30">
            <v>1.2427000000000001</v>
          </cell>
          <cell r="BB30">
            <v>0.87967746000000002</v>
          </cell>
          <cell r="BC30">
            <v>0.9533100000000001</v>
          </cell>
          <cell r="BD30">
            <v>0</v>
          </cell>
          <cell r="BE30">
            <v>1.6894323936090229E-2</v>
          </cell>
          <cell r="BF30">
            <v>0</v>
          </cell>
          <cell r="BI30">
            <v>0</v>
          </cell>
          <cell r="BJ30">
            <v>0.10265231345939088</v>
          </cell>
          <cell r="BK30">
            <v>6.8089244954545464E-2</v>
          </cell>
          <cell r="BL30">
            <v>0.18763588235002657</v>
          </cell>
          <cell r="BM30">
            <v>-4.1531109022556398E-3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-2.52348921319797E-2</v>
          </cell>
          <cell r="BS30">
            <v>0</v>
          </cell>
          <cell r="BT30">
            <v>-2.938800303423534E-2</v>
          </cell>
          <cell r="BU30">
            <v>104.31529406835283</v>
          </cell>
          <cell r="BV30">
            <v>-0.35215736040609147</v>
          </cell>
          <cell r="BW30">
            <v>103.96313670794673</v>
          </cell>
          <cell r="BX30">
            <v>112.77329088470574</v>
          </cell>
          <cell r="BY30">
            <v>-0.38071065989847713</v>
          </cell>
          <cell r="BZ30">
            <v>112.39258022480726</v>
          </cell>
          <cell r="CA30">
            <v>112.77329088470574</v>
          </cell>
          <cell r="CB30">
            <v>-0.44336730150248721</v>
          </cell>
          <cell r="CC30">
            <v>112.32992358320325</v>
          </cell>
          <cell r="CD30">
            <v>0.23780399999999999</v>
          </cell>
          <cell r="CE30">
            <v>200</v>
          </cell>
          <cell r="CF30">
            <v>0.71753441459545442</v>
          </cell>
          <cell r="CG30">
            <v>0.28900000000000003</v>
          </cell>
          <cell r="CH30">
            <v>140</v>
          </cell>
          <cell r="CI30">
            <v>0.61040694047476263</v>
          </cell>
          <cell r="CJ30">
            <v>1.327941355070217</v>
          </cell>
          <cell r="CK30">
            <v>0.23063606183425323</v>
          </cell>
          <cell r="CL30">
            <v>0.15696178469351038</v>
          </cell>
          <cell r="CM30">
            <v>2.9189189189189184</v>
          </cell>
          <cell r="CN30">
            <v>3.3065167654466823</v>
          </cell>
          <cell r="CO30">
            <v>1.1021897556939003E-2</v>
          </cell>
          <cell r="CP30">
            <v>1.2864864864864867</v>
          </cell>
          <cell r="CQ30">
            <v>1.2975083840434256</v>
          </cell>
          <cell r="CR30">
            <v>4.22</v>
          </cell>
          <cell r="CS30">
            <v>9.7200000000000006</v>
          </cell>
          <cell r="CT30">
            <v>47.86</v>
          </cell>
          <cell r="CU30">
            <v>0</v>
          </cell>
          <cell r="CV30">
            <v>180.06189008776357</v>
          </cell>
        </row>
        <row r="31">
          <cell r="K31" t="str">
            <v>ExportMill WorkingCannon LandmarkUSAWash33x33D</v>
          </cell>
          <cell r="L31">
            <v>0</v>
          </cell>
          <cell r="M31">
            <v>16.986000000000001</v>
          </cell>
          <cell r="N31">
            <v>22.082000000000001</v>
          </cell>
          <cell r="O31">
            <v>11.56</v>
          </cell>
          <cell r="P31">
            <v>12.162000000000001</v>
          </cell>
          <cell r="Q31">
            <v>8.8680000000000003</v>
          </cell>
          <cell r="R31">
            <v>0</v>
          </cell>
          <cell r="S31">
            <v>0</v>
          </cell>
          <cell r="T31">
            <v>71.658000000000001</v>
          </cell>
          <cell r="U31">
            <v>66.283650000000009</v>
          </cell>
          <cell r="V31">
            <v>2.5000000000000001E-3</v>
          </cell>
          <cell r="W31">
            <v>0</v>
          </cell>
          <cell r="X31">
            <v>-1.3999999999999999E-2</v>
          </cell>
          <cell r="Y31">
            <v>-2.5000000000000001E-2</v>
          </cell>
          <cell r="Z31">
            <v>7.4999999999999845E-2</v>
          </cell>
          <cell r="AA31">
            <v>1.4999999999999999E-2</v>
          </cell>
          <cell r="AB31">
            <v>0.01</v>
          </cell>
          <cell r="AC31">
            <v>0.16612443609022559</v>
          </cell>
          <cell r="AD31">
            <v>0</v>
          </cell>
          <cell r="AE31">
            <v>-0.23780399999999999</v>
          </cell>
          <cell r="AF31">
            <v>-0.28900000000000003</v>
          </cell>
          <cell r="AG31">
            <v>5.3743499999999891</v>
          </cell>
          <cell r="AH31">
            <v>1.0093956852791879</v>
          </cell>
          <cell r="AI31">
            <v>0.66953181818181828</v>
          </cell>
          <cell r="AJ31">
            <v>6.692597939551221</v>
          </cell>
          <cell r="AK31">
            <v>72.976247939551229</v>
          </cell>
          <cell r="AL31" t="str">
            <v>1/13  Comb</v>
          </cell>
          <cell r="AM31" t="str">
            <v>2/20  Comb</v>
          </cell>
          <cell r="AN31" t="str">
            <v>2/24  KC</v>
          </cell>
          <cell r="AO31" t="str">
            <v xml:space="preserve">1/11.5OE VIS+COT  </v>
          </cell>
          <cell r="AP31" t="str">
            <v>2/20  KC</v>
          </cell>
          <cell r="AQ31">
            <v>0</v>
          </cell>
          <cell r="AR31">
            <v>0</v>
          </cell>
          <cell r="AS31">
            <v>96.5</v>
          </cell>
          <cell r="AT31">
            <v>116.5</v>
          </cell>
          <cell r="AU31">
            <v>107.5</v>
          </cell>
          <cell r="AV31">
            <v>72.33</v>
          </cell>
          <cell r="AW31">
            <v>107.5</v>
          </cell>
          <cell r="AX31">
            <v>0</v>
          </cell>
          <cell r="AY31">
            <v>0</v>
          </cell>
          <cell r="AZ31">
            <v>4.2117020000000007</v>
          </cell>
          <cell r="BA31">
            <v>1.2427000000000001</v>
          </cell>
          <cell r="BB31">
            <v>0.87967746000000002</v>
          </cell>
          <cell r="BC31">
            <v>0.9533100000000001</v>
          </cell>
          <cell r="BD31">
            <v>0</v>
          </cell>
          <cell r="BE31">
            <v>1.6894323936090229E-2</v>
          </cell>
          <cell r="BF31">
            <v>0</v>
          </cell>
          <cell r="BI31">
            <v>0</v>
          </cell>
          <cell r="BJ31">
            <v>0.10265231345939088</v>
          </cell>
          <cell r="BK31">
            <v>6.8089244954545464E-2</v>
          </cell>
          <cell r="BL31">
            <v>0.18763588235002657</v>
          </cell>
          <cell r="BM31">
            <v>-4.1531109022556398E-3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-2.52348921319797E-2</v>
          </cell>
          <cell r="BS31">
            <v>0</v>
          </cell>
          <cell r="BT31">
            <v>-2.938800303423534E-2</v>
          </cell>
          <cell r="BU31">
            <v>104.31529406835283</v>
          </cell>
          <cell r="BV31">
            <v>-0.35215736040609147</v>
          </cell>
          <cell r="BW31">
            <v>103.96313670794673</v>
          </cell>
          <cell r="BX31">
            <v>112.77329088470574</v>
          </cell>
          <cell r="BY31">
            <v>-0.38071065989847713</v>
          </cell>
          <cell r="BZ31">
            <v>112.39258022480726</v>
          </cell>
          <cell r="CA31">
            <v>112.77329088470574</v>
          </cell>
          <cell r="CB31">
            <v>-0.44336730150248721</v>
          </cell>
          <cell r="CC31">
            <v>112.32992358320325</v>
          </cell>
          <cell r="CD31">
            <v>0.23780399999999999</v>
          </cell>
          <cell r="CE31">
            <v>200</v>
          </cell>
          <cell r="CF31">
            <v>0.71753441459545442</v>
          </cell>
          <cell r="CG31">
            <v>0.28900000000000003</v>
          </cell>
          <cell r="CH31">
            <v>140</v>
          </cell>
          <cell r="CI31">
            <v>0.61040694047476263</v>
          </cell>
          <cell r="CJ31">
            <v>1.327941355070217</v>
          </cell>
          <cell r="CK31">
            <v>0.23063606183425323</v>
          </cell>
          <cell r="CL31">
            <v>0.15696178469351038</v>
          </cell>
          <cell r="CM31">
            <v>2.9189189189189184</v>
          </cell>
          <cell r="CN31">
            <v>3.3065167654466823</v>
          </cell>
          <cell r="CO31">
            <v>1.1021897556939003E-2</v>
          </cell>
          <cell r="CP31">
            <v>1.2864864864864867</v>
          </cell>
          <cell r="CQ31">
            <v>1.2975083840434256</v>
          </cell>
          <cell r="CR31">
            <v>14.66</v>
          </cell>
          <cell r="CS31">
            <v>9.98</v>
          </cell>
          <cell r="CT31">
            <v>47.86</v>
          </cell>
          <cell r="CU31">
            <v>0</v>
          </cell>
          <cell r="CV31">
            <v>190.76189008776359</v>
          </cell>
        </row>
        <row r="32">
          <cell r="K32" t="str">
            <v>ExportMill WorkingCannon MilestoneUSABath76x137L</v>
          </cell>
          <cell r="L32">
            <v>0</v>
          </cell>
          <cell r="M32">
            <v>415.87</v>
          </cell>
          <cell r="N32">
            <v>0</v>
          </cell>
          <cell r="O32">
            <v>71.28</v>
          </cell>
          <cell r="P32">
            <v>67.712000000000003</v>
          </cell>
          <cell r="Q32">
            <v>36.33</v>
          </cell>
          <cell r="R32">
            <v>0</v>
          </cell>
          <cell r="S32">
            <v>0</v>
          </cell>
          <cell r="T32">
            <v>591.19200000000001</v>
          </cell>
          <cell r="U32">
            <v>549.80855999999994</v>
          </cell>
          <cell r="V32">
            <v>2.5000000000000001E-3</v>
          </cell>
          <cell r="W32">
            <v>0</v>
          </cell>
          <cell r="X32">
            <v>-1.3999999999999999E-2</v>
          </cell>
          <cell r="Y32">
            <v>-2.5000000000000001E-2</v>
          </cell>
          <cell r="Z32">
            <v>7.0000000000000062E-2</v>
          </cell>
          <cell r="AA32">
            <v>1.4999999999999999E-2</v>
          </cell>
          <cell r="AB32">
            <v>0.01</v>
          </cell>
          <cell r="AC32">
            <v>1.3779663157894735</v>
          </cell>
          <cell r="AD32">
            <v>0</v>
          </cell>
          <cell r="AE32">
            <v>-5.8221799999999995</v>
          </cell>
          <cell r="AF32">
            <v>-1.782</v>
          </cell>
          <cell r="AG32">
            <v>41.383440000000036</v>
          </cell>
          <cell r="AH32">
            <v>8.3727191878172569</v>
          </cell>
          <cell r="AI32">
            <v>5.5536218181818171</v>
          </cell>
          <cell r="AJ32">
            <v>49.083567321788586</v>
          </cell>
          <cell r="AK32">
            <v>598.89212732178851</v>
          </cell>
          <cell r="AL32" t="str">
            <v>1/13  Comb</v>
          </cell>
          <cell r="AM32">
            <v>0</v>
          </cell>
          <cell r="AN32" t="str">
            <v>2/30  KC</v>
          </cell>
          <cell r="AO32" t="str">
            <v xml:space="preserve">1/16OE  </v>
          </cell>
          <cell r="AP32" t="str">
            <v>2/20  Gas Mer</v>
          </cell>
          <cell r="AQ32">
            <v>0</v>
          </cell>
          <cell r="AR32">
            <v>0</v>
          </cell>
          <cell r="AS32">
            <v>96.5</v>
          </cell>
          <cell r="AT32">
            <v>0</v>
          </cell>
          <cell r="AU32">
            <v>118.5</v>
          </cell>
          <cell r="AV32">
            <v>77.75</v>
          </cell>
          <cell r="AW32">
            <v>174</v>
          </cell>
          <cell r="AX32">
            <v>0</v>
          </cell>
          <cell r="AY32">
            <v>0</v>
          </cell>
          <cell r="AZ32">
            <v>40.131455000000003</v>
          </cell>
          <cell r="BA32">
            <v>8.4466800000000006</v>
          </cell>
          <cell r="BB32">
            <v>5.264608</v>
          </cell>
          <cell r="BC32">
            <v>6.3214199999999998</v>
          </cell>
          <cell r="BD32">
            <v>0</v>
          </cell>
          <cell r="BE32">
            <v>0.14023225962406013</v>
          </cell>
          <cell r="BF32">
            <v>0</v>
          </cell>
          <cell r="BI32">
            <v>0</v>
          </cell>
          <cell r="BJ32">
            <v>0.85207114096446679</v>
          </cell>
          <cell r="BK32">
            <v>0.56517850090909083</v>
          </cell>
          <cell r="BL32">
            <v>1.5574819014976178</v>
          </cell>
          <cell r="BM32">
            <v>-3.4449157894736834E-2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-0.20931797969543142</v>
          </cell>
          <cell r="BS32">
            <v>0</v>
          </cell>
          <cell r="BT32">
            <v>-0.24376713759016827</v>
          </cell>
          <cell r="BU32">
            <v>104.40202996910922</v>
          </cell>
          <cell r="BV32">
            <v>-0.35406091370558362</v>
          </cell>
          <cell r="BW32">
            <v>104.04796905540364</v>
          </cell>
          <cell r="BX32">
            <v>112.26024727861207</v>
          </cell>
          <cell r="BY32">
            <v>-0.38071065989847708</v>
          </cell>
          <cell r="BZ32">
            <v>111.87953661871359</v>
          </cell>
          <cell r="CA32">
            <v>112.26024727861207</v>
          </cell>
          <cell r="CB32">
            <v>-0.44336730150248715</v>
          </cell>
          <cell r="CC32">
            <v>111.81687997710958</v>
          </cell>
          <cell r="CD32">
            <v>5.8221799999999995</v>
          </cell>
          <cell r="CE32">
            <v>200</v>
          </cell>
          <cell r="CF32">
            <v>2.1178935446185125</v>
          </cell>
          <cell r="CG32">
            <v>1.782</v>
          </cell>
          <cell r="CH32">
            <v>140</v>
          </cell>
          <cell r="CI32">
            <v>0.45375794076396347</v>
          </cell>
          <cell r="CJ32">
            <v>2.5716514853824761</v>
          </cell>
          <cell r="CK32">
            <v>0.68075149648452182</v>
          </cell>
          <cell r="CL32">
            <v>0.11668061333930488</v>
          </cell>
          <cell r="CM32">
            <v>2.903225806451613</v>
          </cell>
          <cell r="CN32">
            <v>3.7006579162754396</v>
          </cell>
          <cell r="CO32">
            <v>1.4144503315845066E-2</v>
          </cell>
          <cell r="CP32">
            <v>1.2795698924731185</v>
          </cell>
          <cell r="CQ32">
            <v>1.2937143957889636</v>
          </cell>
          <cell r="CR32">
            <v>1.21</v>
          </cell>
          <cell r="CS32">
            <v>9.81</v>
          </cell>
          <cell r="CT32">
            <v>12.35</v>
          </cell>
          <cell r="CU32">
            <v>0</v>
          </cell>
          <cell r="CV32">
            <v>142.75290377455647</v>
          </cell>
        </row>
        <row r="33">
          <cell r="K33" t="str">
            <v>ExportMill WorkingCannon MilestoneUSABath76x137M</v>
          </cell>
          <cell r="L33">
            <v>0</v>
          </cell>
          <cell r="M33">
            <v>415.87</v>
          </cell>
          <cell r="N33">
            <v>0</v>
          </cell>
          <cell r="O33">
            <v>71.28</v>
          </cell>
          <cell r="P33">
            <v>67.712000000000003</v>
          </cell>
          <cell r="Q33">
            <v>36.33</v>
          </cell>
          <cell r="R33">
            <v>0</v>
          </cell>
          <cell r="S33">
            <v>0</v>
          </cell>
          <cell r="T33">
            <v>591.19200000000001</v>
          </cell>
          <cell r="U33">
            <v>549.80855999999994</v>
          </cell>
          <cell r="V33">
            <v>2.5000000000000001E-3</v>
          </cell>
          <cell r="W33">
            <v>0</v>
          </cell>
          <cell r="X33">
            <v>-1.3999999999999999E-2</v>
          </cell>
          <cell r="Y33">
            <v>-2.5000000000000001E-2</v>
          </cell>
          <cell r="Z33">
            <v>7.0000000000000062E-2</v>
          </cell>
          <cell r="AA33">
            <v>1.4999999999999999E-2</v>
          </cell>
          <cell r="AB33">
            <v>0.01</v>
          </cell>
          <cell r="AC33">
            <v>1.3779663157894735</v>
          </cell>
          <cell r="AD33">
            <v>0</v>
          </cell>
          <cell r="AE33">
            <v>-5.8221799999999995</v>
          </cell>
          <cell r="AF33">
            <v>-1.782</v>
          </cell>
          <cell r="AG33">
            <v>41.383440000000036</v>
          </cell>
          <cell r="AH33">
            <v>8.3727191878172569</v>
          </cell>
          <cell r="AI33">
            <v>5.5536218181818171</v>
          </cell>
          <cell r="AJ33">
            <v>49.083567321788586</v>
          </cell>
          <cell r="AK33">
            <v>598.89212732178851</v>
          </cell>
          <cell r="AL33" t="str">
            <v>1/13  Comb</v>
          </cell>
          <cell r="AM33">
            <v>0</v>
          </cell>
          <cell r="AN33" t="str">
            <v>2/30  KC</v>
          </cell>
          <cell r="AO33" t="str">
            <v xml:space="preserve">1/16OE  </v>
          </cell>
          <cell r="AP33" t="str">
            <v>2/20  Gas Mer</v>
          </cell>
          <cell r="AQ33">
            <v>0</v>
          </cell>
          <cell r="AR33">
            <v>0</v>
          </cell>
          <cell r="AS33">
            <v>96.5</v>
          </cell>
          <cell r="AT33">
            <v>0</v>
          </cell>
          <cell r="AU33">
            <v>118.5</v>
          </cell>
          <cell r="AV33">
            <v>77.75</v>
          </cell>
          <cell r="AW33">
            <v>174</v>
          </cell>
          <cell r="AX33">
            <v>0</v>
          </cell>
          <cell r="AY33">
            <v>0</v>
          </cell>
          <cell r="AZ33">
            <v>40.131455000000003</v>
          </cell>
          <cell r="BA33">
            <v>8.4466800000000006</v>
          </cell>
          <cell r="BB33">
            <v>5.264608</v>
          </cell>
          <cell r="BC33">
            <v>6.3214199999999998</v>
          </cell>
          <cell r="BD33">
            <v>0</v>
          </cell>
          <cell r="BE33">
            <v>0.14023225962406013</v>
          </cell>
          <cell r="BF33">
            <v>0</v>
          </cell>
          <cell r="BI33">
            <v>0</v>
          </cell>
          <cell r="BJ33">
            <v>0.85207114096446679</v>
          </cell>
          <cell r="BK33">
            <v>0.56517850090909083</v>
          </cell>
          <cell r="BL33">
            <v>1.5574819014976178</v>
          </cell>
          <cell r="BM33">
            <v>-3.4449157894736834E-2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-0.20931797969543142</v>
          </cell>
          <cell r="BS33">
            <v>0</v>
          </cell>
          <cell r="BT33">
            <v>-0.24376713759016827</v>
          </cell>
          <cell r="BU33">
            <v>104.40202996910922</v>
          </cell>
          <cell r="BV33">
            <v>-0.35406091370558362</v>
          </cell>
          <cell r="BW33">
            <v>104.04796905540364</v>
          </cell>
          <cell r="BX33">
            <v>112.26024727861207</v>
          </cell>
          <cell r="BY33">
            <v>-0.38071065989847708</v>
          </cell>
          <cell r="BZ33">
            <v>111.87953661871359</v>
          </cell>
          <cell r="CA33">
            <v>112.26024727861207</v>
          </cell>
          <cell r="CB33">
            <v>-0.44336730150248715</v>
          </cell>
          <cell r="CC33">
            <v>111.81687997710958</v>
          </cell>
          <cell r="CD33">
            <v>5.8221799999999995</v>
          </cell>
          <cell r="CE33">
            <v>200</v>
          </cell>
          <cell r="CF33">
            <v>2.1178935446185125</v>
          </cell>
          <cell r="CG33">
            <v>1.782</v>
          </cell>
          <cell r="CH33">
            <v>140</v>
          </cell>
          <cell r="CI33">
            <v>0.45375794076396347</v>
          </cell>
          <cell r="CJ33">
            <v>2.5716514853824761</v>
          </cell>
          <cell r="CK33">
            <v>0.68075149648452182</v>
          </cell>
          <cell r="CL33">
            <v>0.11668061333930488</v>
          </cell>
          <cell r="CM33">
            <v>2.903225806451613</v>
          </cell>
          <cell r="CN33">
            <v>3.7006579162754396</v>
          </cell>
          <cell r="CO33">
            <v>1.4144503315845066E-2</v>
          </cell>
          <cell r="CP33">
            <v>1.2795698924731185</v>
          </cell>
          <cell r="CQ33">
            <v>1.2937143957889636</v>
          </cell>
          <cell r="CR33">
            <v>4.22</v>
          </cell>
          <cell r="CS33">
            <v>9.7200000000000006</v>
          </cell>
          <cell r="CT33">
            <v>12.35</v>
          </cell>
          <cell r="CU33">
            <v>0</v>
          </cell>
          <cell r="CV33">
            <v>145.67290377455646</v>
          </cell>
        </row>
        <row r="34">
          <cell r="K34" t="str">
            <v>ExportMill WorkingCannon MilestoneUSABath76x137D</v>
          </cell>
          <cell r="L34">
            <v>0</v>
          </cell>
          <cell r="M34">
            <v>415.87</v>
          </cell>
          <cell r="N34">
            <v>0</v>
          </cell>
          <cell r="O34">
            <v>71.28</v>
          </cell>
          <cell r="P34">
            <v>67.712000000000003</v>
          </cell>
          <cell r="Q34">
            <v>36.33</v>
          </cell>
          <cell r="R34">
            <v>0</v>
          </cell>
          <cell r="S34">
            <v>0</v>
          </cell>
          <cell r="T34">
            <v>591.19200000000001</v>
          </cell>
          <cell r="U34">
            <v>549.80855999999994</v>
          </cell>
          <cell r="V34">
            <v>2.5000000000000001E-3</v>
          </cell>
          <cell r="W34">
            <v>0</v>
          </cell>
          <cell r="X34">
            <v>-1.3999999999999999E-2</v>
          </cell>
          <cell r="Y34">
            <v>-2.5000000000000001E-2</v>
          </cell>
          <cell r="Z34">
            <v>7.0000000000000062E-2</v>
          </cell>
          <cell r="AA34">
            <v>1.4999999999999999E-2</v>
          </cell>
          <cell r="AB34">
            <v>0.01</v>
          </cell>
          <cell r="AC34">
            <v>1.3779663157894735</v>
          </cell>
          <cell r="AD34">
            <v>0</v>
          </cell>
          <cell r="AE34">
            <v>-5.8221799999999995</v>
          </cell>
          <cell r="AF34">
            <v>-1.782</v>
          </cell>
          <cell r="AG34">
            <v>41.383440000000036</v>
          </cell>
          <cell r="AH34">
            <v>8.3727191878172569</v>
          </cell>
          <cell r="AI34">
            <v>5.5536218181818171</v>
          </cell>
          <cell r="AJ34">
            <v>49.083567321788586</v>
          </cell>
          <cell r="AK34">
            <v>598.89212732178851</v>
          </cell>
          <cell r="AL34" t="str">
            <v>1/13  Comb</v>
          </cell>
          <cell r="AM34">
            <v>0</v>
          </cell>
          <cell r="AN34" t="str">
            <v>2/30  KC</v>
          </cell>
          <cell r="AO34" t="str">
            <v xml:space="preserve">1/16OE  </v>
          </cell>
          <cell r="AP34" t="str">
            <v>2/20  Gas Mer</v>
          </cell>
          <cell r="AQ34">
            <v>0</v>
          </cell>
          <cell r="AR34">
            <v>0</v>
          </cell>
          <cell r="AS34">
            <v>96.5</v>
          </cell>
          <cell r="AT34">
            <v>0</v>
          </cell>
          <cell r="AU34">
            <v>118.5</v>
          </cell>
          <cell r="AV34">
            <v>77.75</v>
          </cell>
          <cell r="AW34">
            <v>174</v>
          </cell>
          <cell r="AX34">
            <v>0</v>
          </cell>
          <cell r="AY34">
            <v>0</v>
          </cell>
          <cell r="AZ34">
            <v>40.131455000000003</v>
          </cell>
          <cell r="BA34">
            <v>8.4466800000000006</v>
          </cell>
          <cell r="BB34">
            <v>5.264608</v>
          </cell>
          <cell r="BC34">
            <v>6.3214199999999998</v>
          </cell>
          <cell r="BD34">
            <v>0</v>
          </cell>
          <cell r="BE34">
            <v>0.14023225962406013</v>
          </cell>
          <cell r="BF34">
            <v>0</v>
          </cell>
          <cell r="BI34">
            <v>0</v>
          </cell>
          <cell r="BJ34">
            <v>0.85207114096446679</v>
          </cell>
          <cell r="BK34">
            <v>0.56517850090909083</v>
          </cell>
          <cell r="BL34">
            <v>1.5574819014976178</v>
          </cell>
          <cell r="BM34">
            <v>-3.4449157894736834E-2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-0.20931797969543142</v>
          </cell>
          <cell r="BS34">
            <v>0</v>
          </cell>
          <cell r="BT34">
            <v>-0.24376713759016827</v>
          </cell>
          <cell r="BU34">
            <v>104.40202996910922</v>
          </cell>
          <cell r="BV34">
            <v>-0.35406091370558362</v>
          </cell>
          <cell r="BW34">
            <v>104.04796905540364</v>
          </cell>
          <cell r="BX34">
            <v>112.26024727861207</v>
          </cell>
          <cell r="BY34">
            <v>-0.38071065989847708</v>
          </cell>
          <cell r="BZ34">
            <v>111.87953661871359</v>
          </cell>
          <cell r="CA34">
            <v>112.26024727861207</v>
          </cell>
          <cell r="CB34">
            <v>-0.44336730150248715</v>
          </cell>
          <cell r="CC34">
            <v>111.81687997710958</v>
          </cell>
          <cell r="CD34">
            <v>5.8221799999999995</v>
          </cell>
          <cell r="CE34">
            <v>200</v>
          </cell>
          <cell r="CF34">
            <v>2.1178935446185125</v>
          </cell>
          <cell r="CG34">
            <v>1.782</v>
          </cell>
          <cell r="CH34">
            <v>140</v>
          </cell>
          <cell r="CI34">
            <v>0.45375794076396347</v>
          </cell>
          <cell r="CJ34">
            <v>2.5716514853824761</v>
          </cell>
          <cell r="CK34">
            <v>0.68075149648452182</v>
          </cell>
          <cell r="CL34">
            <v>0.11668061333930488</v>
          </cell>
          <cell r="CM34">
            <v>2.903225806451613</v>
          </cell>
          <cell r="CN34">
            <v>3.7006579162754396</v>
          </cell>
          <cell r="CO34">
            <v>1.4144503315845066E-2</v>
          </cell>
          <cell r="CP34">
            <v>1.2795698924731185</v>
          </cell>
          <cell r="CQ34">
            <v>1.2937143957889636</v>
          </cell>
          <cell r="CR34">
            <v>14.66</v>
          </cell>
          <cell r="CS34">
            <v>9.98</v>
          </cell>
          <cell r="CT34">
            <v>12.35</v>
          </cell>
          <cell r="CU34">
            <v>0</v>
          </cell>
          <cell r="CV34">
            <v>156.37290377455648</v>
          </cell>
        </row>
        <row r="35">
          <cell r="K35" t="str">
            <v>ExportMill WorkingCannon MilestoneUSAHand41x76L</v>
          </cell>
          <cell r="L35">
            <v>0</v>
          </cell>
          <cell r="M35">
            <v>107.55</v>
          </cell>
          <cell r="N35">
            <v>0</v>
          </cell>
          <cell r="O35">
            <v>21.15</v>
          </cell>
          <cell r="P35">
            <v>21.649000000000001</v>
          </cell>
          <cell r="Q35">
            <v>13.05</v>
          </cell>
          <cell r="R35">
            <v>0</v>
          </cell>
          <cell r="S35">
            <v>0</v>
          </cell>
          <cell r="T35">
            <v>163.399</v>
          </cell>
          <cell r="U35">
            <v>151.96106999999998</v>
          </cell>
          <cell r="V35">
            <v>2.5000000000000001E-3</v>
          </cell>
          <cell r="W35">
            <v>0</v>
          </cell>
          <cell r="X35">
            <v>-1.3999999999999999E-2</v>
          </cell>
          <cell r="Y35">
            <v>-2.5000000000000001E-2</v>
          </cell>
          <cell r="Z35">
            <v>7.0000000000000173E-2</v>
          </cell>
          <cell r="AA35">
            <v>1.4999999999999999E-2</v>
          </cell>
          <cell r="AB35">
            <v>0.01</v>
          </cell>
          <cell r="AC35">
            <v>0.3808548120300751</v>
          </cell>
          <cell r="AD35">
            <v>0</v>
          </cell>
          <cell r="AE35">
            <v>-1.5056999999999998</v>
          </cell>
          <cell r="AF35">
            <v>-0.52874999999999994</v>
          </cell>
          <cell r="AG35">
            <v>11.437930000000028</v>
          </cell>
          <cell r="AH35">
            <v>2.3141279695431467</v>
          </cell>
          <cell r="AI35">
            <v>1.534960303030303</v>
          </cell>
          <cell r="AJ35">
            <v>13.633423084603553</v>
          </cell>
          <cell r="AK35">
            <v>165.59449308460353</v>
          </cell>
          <cell r="AL35" t="str">
            <v>1/13  Comb</v>
          </cell>
          <cell r="AM35">
            <v>0</v>
          </cell>
          <cell r="AN35" t="str">
            <v>2/30  KC</v>
          </cell>
          <cell r="AO35" t="str">
            <v xml:space="preserve">1/16OE  </v>
          </cell>
          <cell r="AP35" t="str">
            <v>2/20  Gas Mer</v>
          </cell>
          <cell r="AQ35">
            <v>0</v>
          </cell>
          <cell r="AR35">
            <v>0</v>
          </cell>
          <cell r="AS35">
            <v>96.5</v>
          </cell>
          <cell r="AT35">
            <v>0</v>
          </cell>
          <cell r="AU35">
            <v>118.5</v>
          </cell>
          <cell r="AV35">
            <v>77.75</v>
          </cell>
          <cell r="AW35">
            <v>174</v>
          </cell>
          <cell r="AX35">
            <v>0</v>
          </cell>
          <cell r="AY35">
            <v>0</v>
          </cell>
          <cell r="AZ35">
            <v>10.378575</v>
          </cell>
          <cell r="BA35">
            <v>2.5062749999999996</v>
          </cell>
          <cell r="BB35">
            <v>1.6832097500000001</v>
          </cell>
          <cell r="BC35">
            <v>2.2707000000000002</v>
          </cell>
          <cell r="BD35">
            <v>0</v>
          </cell>
          <cell r="BE35">
            <v>3.9248237011278192E-2</v>
          </cell>
          <cell r="BF35">
            <v>0</v>
          </cell>
          <cell r="BI35">
            <v>0</v>
          </cell>
          <cell r="BJ35">
            <v>0.23847786651015226</v>
          </cell>
          <cell r="BK35">
            <v>0.15818228856060607</v>
          </cell>
          <cell r="BL35">
            <v>0.43590839208203652</v>
          </cell>
          <cell r="BM35">
            <v>-9.5213703007518777E-3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-5.7853199238578665E-2</v>
          </cell>
          <cell r="BS35">
            <v>0</v>
          </cell>
          <cell r="BT35">
            <v>-6.7374569539330548E-2</v>
          </cell>
          <cell r="BU35">
            <v>105.72077027449396</v>
          </cell>
          <cell r="BV35">
            <v>-0.35406091370558368</v>
          </cell>
          <cell r="BW35">
            <v>105.36670936078838</v>
          </cell>
          <cell r="BX35">
            <v>113.67824760698277</v>
          </cell>
          <cell r="BY35">
            <v>-0.38071065989847713</v>
          </cell>
          <cell r="BZ35">
            <v>113.29753694708428</v>
          </cell>
          <cell r="CA35">
            <v>113.67824760698277</v>
          </cell>
          <cell r="CB35">
            <v>-0.44336730150248715</v>
          </cell>
          <cell r="CC35">
            <v>113.23488030548027</v>
          </cell>
          <cell r="CD35">
            <v>1.5056999999999998</v>
          </cell>
          <cell r="CE35">
            <v>200</v>
          </cell>
          <cell r="CF35">
            <v>1.9816917582904623</v>
          </cell>
          <cell r="CG35">
            <v>0.52874999999999994</v>
          </cell>
          <cell r="CH35">
            <v>140</v>
          </cell>
          <cell r="CI35">
            <v>0.48713134225759269</v>
          </cell>
          <cell r="CJ35">
            <v>2.4688231005480548</v>
          </cell>
          <cell r="CK35">
            <v>0.63697235087907711</v>
          </cell>
          <cell r="CL35">
            <v>0.12526234515195239</v>
          </cell>
          <cell r="CM35">
            <v>2.903225806451613</v>
          </cell>
          <cell r="CN35">
            <v>3.6654605024826425</v>
          </cell>
          <cell r="CO35">
            <v>1.3234869957154161E-2</v>
          </cell>
          <cell r="CP35">
            <v>1.2795698924731185</v>
          </cell>
          <cell r="CQ35">
            <v>1.2928047624302725</v>
          </cell>
          <cell r="CR35">
            <v>1.21</v>
          </cell>
          <cell r="CS35">
            <v>9.81</v>
          </cell>
          <cell r="CT35">
            <v>24.95</v>
          </cell>
          <cell r="CU35">
            <v>0</v>
          </cell>
          <cell r="CV35">
            <v>156.63196867094126</v>
          </cell>
        </row>
        <row r="36">
          <cell r="K36" t="str">
            <v>ExportMill WorkingCannon MilestoneUSAHand41x76M</v>
          </cell>
          <cell r="L36">
            <v>0</v>
          </cell>
          <cell r="M36">
            <v>107.55</v>
          </cell>
          <cell r="N36">
            <v>0</v>
          </cell>
          <cell r="O36">
            <v>21.15</v>
          </cell>
          <cell r="P36">
            <v>21.649000000000001</v>
          </cell>
          <cell r="Q36">
            <v>13.05</v>
          </cell>
          <cell r="R36">
            <v>0</v>
          </cell>
          <cell r="S36">
            <v>0</v>
          </cell>
          <cell r="T36">
            <v>163.399</v>
          </cell>
          <cell r="U36">
            <v>151.96106999999998</v>
          </cell>
          <cell r="V36">
            <v>2.5000000000000001E-3</v>
          </cell>
          <cell r="W36">
            <v>0</v>
          </cell>
          <cell r="X36">
            <v>-1.3999999999999999E-2</v>
          </cell>
          <cell r="Y36">
            <v>-2.5000000000000001E-2</v>
          </cell>
          <cell r="Z36">
            <v>7.0000000000000173E-2</v>
          </cell>
          <cell r="AA36">
            <v>1.4999999999999999E-2</v>
          </cell>
          <cell r="AB36">
            <v>0.01</v>
          </cell>
          <cell r="AC36">
            <v>0.3808548120300751</v>
          </cell>
          <cell r="AD36">
            <v>0</v>
          </cell>
          <cell r="AE36">
            <v>-1.5056999999999998</v>
          </cell>
          <cell r="AF36">
            <v>-0.52874999999999994</v>
          </cell>
          <cell r="AG36">
            <v>11.437930000000028</v>
          </cell>
          <cell r="AH36">
            <v>2.3141279695431467</v>
          </cell>
          <cell r="AI36">
            <v>1.534960303030303</v>
          </cell>
          <cell r="AJ36">
            <v>13.633423084603553</v>
          </cell>
          <cell r="AK36">
            <v>165.59449308460353</v>
          </cell>
          <cell r="AL36" t="str">
            <v>1/13  Comb</v>
          </cell>
          <cell r="AM36">
            <v>0</v>
          </cell>
          <cell r="AN36" t="str">
            <v>2/30  KC</v>
          </cell>
          <cell r="AO36" t="str">
            <v xml:space="preserve">1/16OE  </v>
          </cell>
          <cell r="AP36" t="str">
            <v>2/20  Gas Mer</v>
          </cell>
          <cell r="AQ36">
            <v>0</v>
          </cell>
          <cell r="AR36">
            <v>0</v>
          </cell>
          <cell r="AS36">
            <v>96.5</v>
          </cell>
          <cell r="AT36">
            <v>0</v>
          </cell>
          <cell r="AU36">
            <v>118.5</v>
          </cell>
          <cell r="AV36">
            <v>77.75</v>
          </cell>
          <cell r="AW36">
            <v>174</v>
          </cell>
          <cell r="AX36">
            <v>0</v>
          </cell>
          <cell r="AY36">
            <v>0</v>
          </cell>
          <cell r="AZ36">
            <v>10.378575</v>
          </cell>
          <cell r="BA36">
            <v>2.5062749999999996</v>
          </cell>
          <cell r="BB36">
            <v>1.6832097500000001</v>
          </cell>
          <cell r="BC36">
            <v>2.2707000000000002</v>
          </cell>
          <cell r="BD36">
            <v>0</v>
          </cell>
          <cell r="BE36">
            <v>3.9248237011278192E-2</v>
          </cell>
          <cell r="BF36">
            <v>0</v>
          </cell>
          <cell r="BI36">
            <v>0</v>
          </cell>
          <cell r="BJ36">
            <v>0.23847786651015226</v>
          </cell>
          <cell r="BK36">
            <v>0.15818228856060607</v>
          </cell>
          <cell r="BL36">
            <v>0.43590839208203652</v>
          </cell>
          <cell r="BM36">
            <v>-9.5213703007518777E-3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-5.7853199238578665E-2</v>
          </cell>
          <cell r="BS36">
            <v>0</v>
          </cell>
          <cell r="BT36">
            <v>-6.7374569539330548E-2</v>
          </cell>
          <cell r="BU36">
            <v>105.72077027449396</v>
          </cell>
          <cell r="BV36">
            <v>-0.35406091370558368</v>
          </cell>
          <cell r="BW36">
            <v>105.36670936078838</v>
          </cell>
          <cell r="BX36">
            <v>113.67824760698277</v>
          </cell>
          <cell r="BY36">
            <v>-0.38071065989847713</v>
          </cell>
          <cell r="BZ36">
            <v>113.29753694708428</v>
          </cell>
          <cell r="CA36">
            <v>113.67824760698277</v>
          </cell>
          <cell r="CB36">
            <v>-0.44336730150248715</v>
          </cell>
          <cell r="CC36">
            <v>113.23488030548027</v>
          </cell>
          <cell r="CD36">
            <v>1.5056999999999998</v>
          </cell>
          <cell r="CE36">
            <v>200</v>
          </cell>
          <cell r="CF36">
            <v>1.9816917582904623</v>
          </cell>
          <cell r="CG36">
            <v>0.52874999999999994</v>
          </cell>
          <cell r="CH36">
            <v>140</v>
          </cell>
          <cell r="CI36">
            <v>0.48713134225759269</v>
          </cell>
          <cell r="CJ36">
            <v>2.4688231005480548</v>
          </cell>
          <cell r="CK36">
            <v>0.63697235087907711</v>
          </cell>
          <cell r="CL36">
            <v>0.12526234515195239</v>
          </cell>
          <cell r="CM36">
            <v>2.903225806451613</v>
          </cell>
          <cell r="CN36">
            <v>3.6654605024826425</v>
          </cell>
          <cell r="CO36">
            <v>1.3234869957154161E-2</v>
          </cell>
          <cell r="CP36">
            <v>1.2795698924731185</v>
          </cell>
          <cell r="CQ36">
            <v>1.2928047624302725</v>
          </cell>
          <cell r="CR36">
            <v>4.22</v>
          </cell>
          <cell r="CS36">
            <v>9.7200000000000006</v>
          </cell>
          <cell r="CT36">
            <v>24.95</v>
          </cell>
          <cell r="CU36">
            <v>0</v>
          </cell>
          <cell r="CV36">
            <v>159.55196867094125</v>
          </cell>
        </row>
        <row r="37">
          <cell r="K37" t="str">
            <v>ExportMill WorkingCannon MilestoneUSAHand41x76D</v>
          </cell>
          <cell r="L37">
            <v>0</v>
          </cell>
          <cell r="M37">
            <v>107.55</v>
          </cell>
          <cell r="N37">
            <v>0</v>
          </cell>
          <cell r="O37">
            <v>21.15</v>
          </cell>
          <cell r="P37">
            <v>21.649000000000001</v>
          </cell>
          <cell r="Q37">
            <v>13.05</v>
          </cell>
          <cell r="R37">
            <v>0</v>
          </cell>
          <cell r="S37">
            <v>0</v>
          </cell>
          <cell r="T37">
            <v>163.399</v>
          </cell>
          <cell r="U37">
            <v>151.96106999999998</v>
          </cell>
          <cell r="V37">
            <v>2.5000000000000001E-3</v>
          </cell>
          <cell r="W37">
            <v>0</v>
          </cell>
          <cell r="X37">
            <v>-1.3999999999999999E-2</v>
          </cell>
          <cell r="Y37">
            <v>-2.5000000000000001E-2</v>
          </cell>
          <cell r="Z37">
            <v>7.0000000000000173E-2</v>
          </cell>
          <cell r="AA37">
            <v>1.4999999999999999E-2</v>
          </cell>
          <cell r="AB37">
            <v>0.01</v>
          </cell>
          <cell r="AC37">
            <v>0.3808548120300751</v>
          </cell>
          <cell r="AD37">
            <v>0</v>
          </cell>
          <cell r="AE37">
            <v>-1.5056999999999998</v>
          </cell>
          <cell r="AF37">
            <v>-0.52874999999999994</v>
          </cell>
          <cell r="AG37">
            <v>11.437930000000028</v>
          </cell>
          <cell r="AH37">
            <v>2.3141279695431467</v>
          </cell>
          <cell r="AI37">
            <v>1.534960303030303</v>
          </cell>
          <cell r="AJ37">
            <v>13.633423084603553</v>
          </cell>
          <cell r="AK37">
            <v>165.59449308460353</v>
          </cell>
          <cell r="AL37" t="str">
            <v>1/13  Comb</v>
          </cell>
          <cell r="AM37">
            <v>0</v>
          </cell>
          <cell r="AN37" t="str">
            <v>2/30  KC</v>
          </cell>
          <cell r="AO37" t="str">
            <v xml:space="preserve">1/16OE  </v>
          </cell>
          <cell r="AP37" t="str">
            <v>2/20  Gas Mer</v>
          </cell>
          <cell r="AQ37">
            <v>0</v>
          </cell>
          <cell r="AR37">
            <v>0</v>
          </cell>
          <cell r="AS37">
            <v>96.5</v>
          </cell>
          <cell r="AT37">
            <v>0</v>
          </cell>
          <cell r="AU37">
            <v>118.5</v>
          </cell>
          <cell r="AV37">
            <v>77.75</v>
          </cell>
          <cell r="AW37">
            <v>174</v>
          </cell>
          <cell r="AX37">
            <v>0</v>
          </cell>
          <cell r="AY37">
            <v>0</v>
          </cell>
          <cell r="AZ37">
            <v>10.378575</v>
          </cell>
          <cell r="BA37">
            <v>2.5062749999999996</v>
          </cell>
          <cell r="BB37">
            <v>1.6832097500000001</v>
          </cell>
          <cell r="BC37">
            <v>2.2707000000000002</v>
          </cell>
          <cell r="BD37">
            <v>0</v>
          </cell>
          <cell r="BE37">
            <v>3.9248237011278192E-2</v>
          </cell>
          <cell r="BF37">
            <v>0</v>
          </cell>
          <cell r="BI37">
            <v>0</v>
          </cell>
          <cell r="BJ37">
            <v>0.23847786651015226</v>
          </cell>
          <cell r="BK37">
            <v>0.15818228856060607</v>
          </cell>
          <cell r="BL37">
            <v>0.43590839208203652</v>
          </cell>
          <cell r="BM37">
            <v>-9.5213703007518777E-3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-5.7853199238578665E-2</v>
          </cell>
          <cell r="BS37">
            <v>0</v>
          </cell>
          <cell r="BT37">
            <v>-6.7374569539330548E-2</v>
          </cell>
          <cell r="BU37">
            <v>105.72077027449396</v>
          </cell>
          <cell r="BV37">
            <v>-0.35406091370558368</v>
          </cell>
          <cell r="BW37">
            <v>105.36670936078838</v>
          </cell>
          <cell r="BX37">
            <v>113.67824760698277</v>
          </cell>
          <cell r="BY37">
            <v>-0.38071065989847713</v>
          </cell>
          <cell r="BZ37">
            <v>113.29753694708428</v>
          </cell>
          <cell r="CA37">
            <v>113.67824760698277</v>
          </cell>
          <cell r="CB37">
            <v>-0.44336730150248715</v>
          </cell>
          <cell r="CC37">
            <v>113.23488030548027</v>
          </cell>
          <cell r="CD37">
            <v>1.5056999999999998</v>
          </cell>
          <cell r="CE37">
            <v>200</v>
          </cell>
          <cell r="CF37">
            <v>1.9816917582904623</v>
          </cell>
          <cell r="CG37">
            <v>0.52874999999999994</v>
          </cell>
          <cell r="CH37">
            <v>140</v>
          </cell>
          <cell r="CI37">
            <v>0.48713134225759269</v>
          </cell>
          <cell r="CJ37">
            <v>2.4688231005480548</v>
          </cell>
          <cell r="CK37">
            <v>0.63697235087907711</v>
          </cell>
          <cell r="CL37">
            <v>0.12526234515195239</v>
          </cell>
          <cell r="CM37">
            <v>2.903225806451613</v>
          </cell>
          <cell r="CN37">
            <v>3.6654605024826425</v>
          </cell>
          <cell r="CO37">
            <v>1.3234869957154161E-2</v>
          </cell>
          <cell r="CP37">
            <v>1.2795698924731185</v>
          </cell>
          <cell r="CQ37">
            <v>1.2928047624302725</v>
          </cell>
          <cell r="CR37">
            <v>14.66</v>
          </cell>
          <cell r="CS37">
            <v>9.98</v>
          </cell>
          <cell r="CT37">
            <v>24.95</v>
          </cell>
          <cell r="CU37">
            <v>0</v>
          </cell>
          <cell r="CV37">
            <v>170.25196867094127</v>
          </cell>
        </row>
        <row r="38">
          <cell r="K38" t="str">
            <v>ExportMill WorkingCannon MilestoneUSAWash33x33L</v>
          </cell>
          <cell r="L38">
            <v>0</v>
          </cell>
          <cell r="M38">
            <v>36.76</v>
          </cell>
          <cell r="N38">
            <v>0</v>
          </cell>
          <cell r="O38">
            <v>8.4499999999999993</v>
          </cell>
          <cell r="P38">
            <v>8.9339999999999993</v>
          </cell>
          <cell r="Q38">
            <v>7.2619999999999996</v>
          </cell>
          <cell r="R38">
            <v>0</v>
          </cell>
          <cell r="S38">
            <v>0</v>
          </cell>
          <cell r="T38">
            <v>61.405999999999992</v>
          </cell>
          <cell r="U38">
            <v>57.107579999999992</v>
          </cell>
          <cell r="V38">
            <v>2.5000000000000001E-3</v>
          </cell>
          <cell r="W38">
            <v>0</v>
          </cell>
          <cell r="X38">
            <v>-1.3999999999999999E-2</v>
          </cell>
          <cell r="Y38">
            <v>-2.5000000000000001E-2</v>
          </cell>
          <cell r="Z38">
            <v>7.0000000000000062E-2</v>
          </cell>
          <cell r="AA38">
            <v>1.4999999999999999E-2</v>
          </cell>
          <cell r="AB38">
            <v>0.01</v>
          </cell>
          <cell r="AC38">
            <v>0.1431267669172932</v>
          </cell>
          <cell r="AD38">
            <v>0</v>
          </cell>
          <cell r="AE38">
            <v>-0.51463999999999988</v>
          </cell>
          <cell r="AF38">
            <v>-0.21124999999999999</v>
          </cell>
          <cell r="AG38">
            <v>4.2984200000000028</v>
          </cell>
          <cell r="AH38">
            <v>0.86965857868020291</v>
          </cell>
          <cell r="AI38">
            <v>0.57684424242424237</v>
          </cell>
          <cell r="AJ38">
            <v>5.1621595880217406</v>
          </cell>
          <cell r="AK38">
            <v>62.269739588021736</v>
          </cell>
          <cell r="AL38" t="str">
            <v>1/13  Comb</v>
          </cell>
          <cell r="AM38">
            <v>0</v>
          </cell>
          <cell r="AN38" t="str">
            <v>2/30  KC</v>
          </cell>
          <cell r="AO38" t="str">
            <v xml:space="preserve">1/16OE  </v>
          </cell>
          <cell r="AP38" t="str">
            <v>2/20  Gas Mer</v>
          </cell>
          <cell r="AQ38">
            <v>0</v>
          </cell>
          <cell r="AR38">
            <v>0</v>
          </cell>
          <cell r="AS38">
            <v>96.5</v>
          </cell>
          <cell r="AT38">
            <v>0</v>
          </cell>
          <cell r="AU38">
            <v>118.5</v>
          </cell>
          <cell r="AV38">
            <v>77.75</v>
          </cell>
          <cell r="AW38">
            <v>174</v>
          </cell>
          <cell r="AX38">
            <v>0</v>
          </cell>
          <cell r="AY38">
            <v>0</v>
          </cell>
          <cell r="AZ38">
            <v>3.5473399999999997</v>
          </cell>
          <cell r="BA38">
            <v>1.001325</v>
          </cell>
          <cell r="BB38">
            <v>0.69461849999999992</v>
          </cell>
          <cell r="BC38">
            <v>1.2635879999999999</v>
          </cell>
          <cell r="BD38">
            <v>0</v>
          </cell>
          <cell r="BE38">
            <v>1.5166392218045111E-2</v>
          </cell>
          <cell r="BF38">
            <v>0</v>
          </cell>
          <cell r="BI38">
            <v>0</v>
          </cell>
          <cell r="BJ38">
            <v>9.2153154746192886E-2</v>
          </cell>
          <cell r="BK38">
            <v>6.1125156515151512E-2</v>
          </cell>
          <cell r="BL38">
            <v>0.1684447034793895</v>
          </cell>
          <cell r="BM38">
            <v>-3.5781691729323303E-3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-2.1741464467005072E-2</v>
          </cell>
          <cell r="BS38">
            <v>0</v>
          </cell>
          <cell r="BT38">
            <v>-2.5319633639937403E-2</v>
          </cell>
          <cell r="BU38">
            <v>108.70788202259371</v>
          </cell>
          <cell r="BV38">
            <v>-0.35406091370558374</v>
          </cell>
          <cell r="BW38">
            <v>108.35382110888813</v>
          </cell>
          <cell r="BX38">
            <v>116.89019572321904</v>
          </cell>
          <cell r="BY38">
            <v>-0.38071065989847713</v>
          </cell>
          <cell r="BZ38">
            <v>116.50948506332055</v>
          </cell>
          <cell r="CA38">
            <v>116.89019572321904</v>
          </cell>
          <cell r="CB38">
            <v>-0.44336730150248715</v>
          </cell>
          <cell r="CC38">
            <v>116.44682842171655</v>
          </cell>
          <cell r="CD38">
            <v>0.51463999999999988</v>
          </cell>
          <cell r="CE38">
            <v>200</v>
          </cell>
          <cell r="CF38">
            <v>1.802352682428497</v>
          </cell>
          <cell r="CG38">
            <v>0.21124999999999999</v>
          </cell>
          <cell r="CH38">
            <v>140</v>
          </cell>
          <cell r="CI38">
            <v>0.51788221458517425</v>
          </cell>
          <cell r="CJ38">
            <v>2.3202348970136715</v>
          </cell>
          <cell r="CK38">
            <v>0.5793276479234456</v>
          </cell>
          <cell r="CL38">
            <v>0.13316971232190192</v>
          </cell>
          <cell r="CM38">
            <v>2.903225806451613</v>
          </cell>
          <cell r="CN38">
            <v>3.6157231666969603</v>
          </cell>
          <cell r="CO38">
            <v>1.2037141129076038E-2</v>
          </cell>
          <cell r="CP38">
            <v>1.2795698924731185</v>
          </cell>
          <cell r="CQ38">
            <v>1.2916070336021945</v>
          </cell>
          <cell r="CR38">
            <v>1.21</v>
          </cell>
          <cell r="CS38">
            <v>9.81</v>
          </cell>
          <cell r="CT38">
            <v>47.86</v>
          </cell>
          <cell r="CU38">
            <v>0</v>
          </cell>
          <cell r="CV38">
            <v>182.55439351902936</v>
          </cell>
        </row>
        <row r="39">
          <cell r="K39" t="str">
            <v>ExportMill WorkingCannon MilestoneUSAWash33x33M</v>
          </cell>
          <cell r="L39">
            <v>0</v>
          </cell>
          <cell r="M39">
            <v>36.76</v>
          </cell>
          <cell r="N39">
            <v>0</v>
          </cell>
          <cell r="O39">
            <v>8.4499999999999993</v>
          </cell>
          <cell r="P39">
            <v>8.9339999999999993</v>
          </cell>
          <cell r="Q39">
            <v>7.2619999999999996</v>
          </cell>
          <cell r="R39">
            <v>0</v>
          </cell>
          <cell r="S39">
            <v>0</v>
          </cell>
          <cell r="T39">
            <v>61.405999999999992</v>
          </cell>
          <cell r="U39">
            <v>57.107579999999992</v>
          </cell>
          <cell r="V39">
            <v>2.5000000000000001E-3</v>
          </cell>
          <cell r="W39">
            <v>0</v>
          </cell>
          <cell r="X39">
            <v>-1.3999999999999999E-2</v>
          </cell>
          <cell r="Y39">
            <v>-2.5000000000000001E-2</v>
          </cell>
          <cell r="Z39">
            <v>7.0000000000000062E-2</v>
          </cell>
          <cell r="AA39">
            <v>1.4999999999999999E-2</v>
          </cell>
          <cell r="AB39">
            <v>0.01</v>
          </cell>
          <cell r="AC39">
            <v>0.1431267669172932</v>
          </cell>
          <cell r="AD39">
            <v>0</v>
          </cell>
          <cell r="AE39">
            <v>-0.51463999999999988</v>
          </cell>
          <cell r="AF39">
            <v>-0.21124999999999999</v>
          </cell>
          <cell r="AG39">
            <v>4.2984200000000028</v>
          </cell>
          <cell r="AH39">
            <v>0.86965857868020291</v>
          </cell>
          <cell r="AI39">
            <v>0.57684424242424237</v>
          </cell>
          <cell r="AJ39">
            <v>5.1621595880217406</v>
          </cell>
          <cell r="AK39">
            <v>62.269739588021736</v>
          </cell>
          <cell r="AL39" t="str">
            <v>1/13  Comb</v>
          </cell>
          <cell r="AM39">
            <v>0</v>
          </cell>
          <cell r="AN39" t="str">
            <v>2/30  KC</v>
          </cell>
          <cell r="AO39" t="str">
            <v xml:space="preserve">1/16OE  </v>
          </cell>
          <cell r="AP39" t="str">
            <v>2/20  Gas Mer</v>
          </cell>
          <cell r="AQ39">
            <v>0</v>
          </cell>
          <cell r="AR39">
            <v>0</v>
          </cell>
          <cell r="AS39">
            <v>96.5</v>
          </cell>
          <cell r="AT39">
            <v>0</v>
          </cell>
          <cell r="AU39">
            <v>118.5</v>
          </cell>
          <cell r="AV39">
            <v>77.75</v>
          </cell>
          <cell r="AW39">
            <v>174</v>
          </cell>
          <cell r="AX39">
            <v>0</v>
          </cell>
          <cell r="AY39">
            <v>0</v>
          </cell>
          <cell r="AZ39">
            <v>3.5473399999999997</v>
          </cell>
          <cell r="BA39">
            <v>1.001325</v>
          </cell>
          <cell r="BB39">
            <v>0.69461849999999992</v>
          </cell>
          <cell r="BC39">
            <v>1.2635879999999999</v>
          </cell>
          <cell r="BD39">
            <v>0</v>
          </cell>
          <cell r="BE39">
            <v>1.5166392218045111E-2</v>
          </cell>
          <cell r="BF39">
            <v>0</v>
          </cell>
          <cell r="BI39">
            <v>0</v>
          </cell>
          <cell r="BJ39">
            <v>9.2153154746192886E-2</v>
          </cell>
          <cell r="BK39">
            <v>6.1125156515151512E-2</v>
          </cell>
          <cell r="BL39">
            <v>0.1684447034793895</v>
          </cell>
          <cell r="BM39">
            <v>-3.5781691729323303E-3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-2.1741464467005072E-2</v>
          </cell>
          <cell r="BS39">
            <v>0</v>
          </cell>
          <cell r="BT39">
            <v>-2.5319633639937403E-2</v>
          </cell>
          <cell r="BU39">
            <v>108.70788202259371</v>
          </cell>
          <cell r="BV39">
            <v>-0.35406091370558374</v>
          </cell>
          <cell r="BW39">
            <v>108.35382110888813</v>
          </cell>
          <cell r="BX39">
            <v>116.89019572321904</v>
          </cell>
          <cell r="BY39">
            <v>-0.38071065989847713</v>
          </cell>
          <cell r="BZ39">
            <v>116.50948506332055</v>
          </cell>
          <cell r="CA39">
            <v>116.89019572321904</v>
          </cell>
          <cell r="CB39">
            <v>-0.44336730150248715</v>
          </cell>
          <cell r="CC39">
            <v>116.44682842171655</v>
          </cell>
          <cell r="CD39">
            <v>0.51463999999999988</v>
          </cell>
          <cell r="CE39">
            <v>200</v>
          </cell>
          <cell r="CF39">
            <v>1.802352682428497</v>
          </cell>
          <cell r="CG39">
            <v>0.21124999999999999</v>
          </cell>
          <cell r="CH39">
            <v>140</v>
          </cell>
          <cell r="CI39">
            <v>0.51788221458517425</v>
          </cell>
          <cell r="CJ39">
            <v>2.3202348970136715</v>
          </cell>
          <cell r="CK39">
            <v>0.5793276479234456</v>
          </cell>
          <cell r="CL39">
            <v>0.13316971232190192</v>
          </cell>
          <cell r="CM39">
            <v>2.903225806451613</v>
          </cell>
          <cell r="CN39">
            <v>3.6157231666969603</v>
          </cell>
          <cell r="CO39">
            <v>1.2037141129076038E-2</v>
          </cell>
          <cell r="CP39">
            <v>1.2795698924731185</v>
          </cell>
          <cell r="CQ39">
            <v>1.2916070336021945</v>
          </cell>
          <cell r="CR39">
            <v>4.22</v>
          </cell>
          <cell r="CS39">
            <v>9.7200000000000006</v>
          </cell>
          <cell r="CT39">
            <v>47.86</v>
          </cell>
          <cell r="CU39">
            <v>0</v>
          </cell>
          <cell r="CV39">
            <v>185.47439351902938</v>
          </cell>
        </row>
        <row r="40">
          <cell r="K40" t="str">
            <v>ExportMill WorkingCannon MilestoneUSAWash33x33D</v>
          </cell>
          <cell r="L40">
            <v>0</v>
          </cell>
          <cell r="M40">
            <v>36.76</v>
          </cell>
          <cell r="N40">
            <v>0</v>
          </cell>
          <cell r="O40">
            <v>8.4499999999999993</v>
          </cell>
          <cell r="P40">
            <v>8.9339999999999993</v>
          </cell>
          <cell r="Q40">
            <v>7.2619999999999996</v>
          </cell>
          <cell r="R40">
            <v>0</v>
          </cell>
          <cell r="S40">
            <v>0</v>
          </cell>
          <cell r="T40">
            <v>61.405999999999992</v>
          </cell>
          <cell r="U40">
            <v>57.107579999999992</v>
          </cell>
          <cell r="V40">
            <v>2.5000000000000001E-3</v>
          </cell>
          <cell r="W40">
            <v>0</v>
          </cell>
          <cell r="X40">
            <v>-1.3999999999999999E-2</v>
          </cell>
          <cell r="Y40">
            <v>-2.5000000000000001E-2</v>
          </cell>
          <cell r="Z40">
            <v>7.0000000000000062E-2</v>
          </cell>
          <cell r="AA40">
            <v>1.4999999999999999E-2</v>
          </cell>
          <cell r="AB40">
            <v>0.01</v>
          </cell>
          <cell r="AC40">
            <v>0.1431267669172932</v>
          </cell>
          <cell r="AD40">
            <v>0</v>
          </cell>
          <cell r="AE40">
            <v>-0.51463999999999988</v>
          </cell>
          <cell r="AF40">
            <v>-0.21124999999999999</v>
          </cell>
          <cell r="AG40">
            <v>4.2984200000000028</v>
          </cell>
          <cell r="AH40">
            <v>0.86965857868020291</v>
          </cell>
          <cell r="AI40">
            <v>0.57684424242424237</v>
          </cell>
          <cell r="AJ40">
            <v>5.1621595880217406</v>
          </cell>
          <cell r="AK40">
            <v>62.269739588021736</v>
          </cell>
          <cell r="AL40" t="str">
            <v>1/13  Comb</v>
          </cell>
          <cell r="AM40">
            <v>0</v>
          </cell>
          <cell r="AN40" t="str">
            <v>2/30  KC</v>
          </cell>
          <cell r="AO40" t="str">
            <v xml:space="preserve">1/16OE  </v>
          </cell>
          <cell r="AP40" t="str">
            <v>2/20  Gas Mer</v>
          </cell>
          <cell r="AQ40">
            <v>0</v>
          </cell>
          <cell r="AR40">
            <v>0</v>
          </cell>
          <cell r="AS40">
            <v>96.5</v>
          </cell>
          <cell r="AT40">
            <v>0</v>
          </cell>
          <cell r="AU40">
            <v>118.5</v>
          </cell>
          <cell r="AV40">
            <v>77.75</v>
          </cell>
          <cell r="AW40">
            <v>174</v>
          </cell>
          <cell r="AX40">
            <v>0</v>
          </cell>
          <cell r="AY40">
            <v>0</v>
          </cell>
          <cell r="AZ40">
            <v>3.5473399999999997</v>
          </cell>
          <cell r="BA40">
            <v>1.001325</v>
          </cell>
          <cell r="BB40">
            <v>0.69461849999999992</v>
          </cell>
          <cell r="BC40">
            <v>1.2635879999999999</v>
          </cell>
          <cell r="BD40">
            <v>0</v>
          </cell>
          <cell r="BE40">
            <v>1.5166392218045111E-2</v>
          </cell>
          <cell r="BF40">
            <v>0</v>
          </cell>
          <cell r="BI40">
            <v>0</v>
          </cell>
          <cell r="BJ40">
            <v>9.2153154746192886E-2</v>
          </cell>
          <cell r="BK40">
            <v>6.1125156515151512E-2</v>
          </cell>
          <cell r="BL40">
            <v>0.1684447034793895</v>
          </cell>
          <cell r="BM40">
            <v>-3.5781691729323303E-3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-2.1741464467005072E-2</v>
          </cell>
          <cell r="BS40">
            <v>0</v>
          </cell>
          <cell r="BT40">
            <v>-2.5319633639937403E-2</v>
          </cell>
          <cell r="BU40">
            <v>108.70788202259371</v>
          </cell>
          <cell r="BV40">
            <v>-0.35406091370558374</v>
          </cell>
          <cell r="BW40">
            <v>108.35382110888813</v>
          </cell>
          <cell r="BX40">
            <v>116.89019572321904</v>
          </cell>
          <cell r="BY40">
            <v>-0.38071065989847713</v>
          </cell>
          <cell r="BZ40">
            <v>116.50948506332055</v>
          </cell>
          <cell r="CA40">
            <v>116.89019572321904</v>
          </cell>
          <cell r="CB40">
            <v>-0.44336730150248715</v>
          </cell>
          <cell r="CC40">
            <v>116.44682842171655</v>
          </cell>
          <cell r="CD40">
            <v>0.51463999999999988</v>
          </cell>
          <cell r="CE40">
            <v>200</v>
          </cell>
          <cell r="CF40">
            <v>1.802352682428497</v>
          </cell>
          <cell r="CG40">
            <v>0.21124999999999999</v>
          </cell>
          <cell r="CH40">
            <v>140</v>
          </cell>
          <cell r="CI40">
            <v>0.51788221458517425</v>
          </cell>
          <cell r="CJ40">
            <v>2.3202348970136715</v>
          </cell>
          <cell r="CK40">
            <v>0.5793276479234456</v>
          </cell>
          <cell r="CL40">
            <v>0.13316971232190192</v>
          </cell>
          <cell r="CM40">
            <v>2.903225806451613</v>
          </cell>
          <cell r="CN40">
            <v>3.6157231666969603</v>
          </cell>
          <cell r="CO40">
            <v>1.2037141129076038E-2</v>
          </cell>
          <cell r="CP40">
            <v>1.2795698924731185</v>
          </cell>
          <cell r="CQ40">
            <v>1.2916070336021945</v>
          </cell>
          <cell r="CR40">
            <v>14.66</v>
          </cell>
          <cell r="CS40">
            <v>9.98</v>
          </cell>
          <cell r="CT40">
            <v>47.86</v>
          </cell>
          <cell r="CU40">
            <v>0</v>
          </cell>
          <cell r="CV40">
            <v>196.17439351902937</v>
          </cell>
        </row>
        <row r="41">
          <cell r="K41" t="str">
            <v>ExportWelspun USAEsplamaUSABath76x137L</v>
          </cell>
          <cell r="L41">
            <v>0</v>
          </cell>
          <cell r="M41">
            <v>621.65</v>
          </cell>
          <cell r="N41">
            <v>0</v>
          </cell>
          <cell r="O41">
            <v>70.790000000000006</v>
          </cell>
          <cell r="P41">
            <v>82.85</v>
          </cell>
          <cell r="Q41">
            <v>28.8</v>
          </cell>
          <cell r="R41">
            <v>0</v>
          </cell>
          <cell r="S41">
            <v>0</v>
          </cell>
          <cell r="T41">
            <v>804.08999999999992</v>
          </cell>
          <cell r="U41">
            <v>755.8445999999999</v>
          </cell>
          <cell r="V41">
            <v>2.5000000000000001E-3</v>
          </cell>
          <cell r="W41">
            <v>0</v>
          </cell>
          <cell r="X41">
            <v>0</v>
          </cell>
          <cell r="Y41">
            <v>-2.5000000000000001E-2</v>
          </cell>
          <cell r="Z41">
            <v>6.0000000000000053E-2</v>
          </cell>
          <cell r="AA41">
            <v>1.4999999999999999E-2</v>
          </cell>
          <cell r="AB41">
            <v>0.01</v>
          </cell>
          <cell r="AC41">
            <v>1.8943473684210523</v>
          </cell>
          <cell r="AD41">
            <v>0</v>
          </cell>
          <cell r="AE41">
            <v>0</v>
          </cell>
          <cell r="AF41">
            <v>-1.7697500000000002</v>
          </cell>
          <cell r="AG41">
            <v>48.245400000000039</v>
          </cell>
          <cell r="AH41">
            <v>11.510323857868018</v>
          </cell>
          <cell r="AI41">
            <v>7.6347939393939388</v>
          </cell>
          <cell r="AJ41">
            <v>67.515115165683042</v>
          </cell>
          <cell r="AK41">
            <v>823.35971516568293</v>
          </cell>
          <cell r="AL41" t="str">
            <v>2/20  Comb</v>
          </cell>
          <cell r="AM41">
            <v>0</v>
          </cell>
          <cell r="AN41" t="str">
            <v>2/30  KC</v>
          </cell>
          <cell r="AO41" t="str">
            <v xml:space="preserve">1/16OE  </v>
          </cell>
          <cell r="AP41" t="str">
            <v>2/20  Gas Mer</v>
          </cell>
          <cell r="AQ41">
            <v>0</v>
          </cell>
          <cell r="AR41">
            <v>0</v>
          </cell>
          <cell r="AS41">
            <v>116.5</v>
          </cell>
          <cell r="AT41">
            <v>0</v>
          </cell>
          <cell r="AU41">
            <v>118.5</v>
          </cell>
          <cell r="AV41">
            <v>77.75</v>
          </cell>
          <cell r="AW41">
            <v>174</v>
          </cell>
          <cell r="AX41">
            <v>0</v>
          </cell>
          <cell r="AY41">
            <v>0</v>
          </cell>
          <cell r="AZ41">
            <v>72.422224999999997</v>
          </cell>
          <cell r="BA41">
            <v>8.3886150000000015</v>
          </cell>
          <cell r="BB41">
            <v>6.4415874999999998</v>
          </cell>
          <cell r="BC41">
            <v>5.0111999999999997</v>
          </cell>
          <cell r="BD41">
            <v>0</v>
          </cell>
          <cell r="BE41">
            <v>0.21736293195488721</v>
          </cell>
          <cell r="BF41">
            <v>0</v>
          </cell>
          <cell r="BI41">
            <v>0</v>
          </cell>
          <cell r="BJ41">
            <v>1.3207280687817258</v>
          </cell>
          <cell r="BK41">
            <v>0.87603848333333334</v>
          </cell>
          <cell r="BL41">
            <v>2.4141294840699463</v>
          </cell>
          <cell r="BM41">
            <v>-4.7358684210526303E-2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-0.28775809644670047</v>
          </cell>
          <cell r="BS41">
            <v>0</v>
          </cell>
          <cell r="BT41">
            <v>-0.33511678065722678</v>
          </cell>
          <cell r="BU41">
            <v>117.74522377354519</v>
          </cell>
          <cell r="BV41">
            <v>-0.35786802030456855</v>
          </cell>
          <cell r="BW41">
            <v>117.38735575324063</v>
          </cell>
          <cell r="BX41">
            <v>125.26087635483532</v>
          </cell>
          <cell r="BY41">
            <v>-0.38071065989847713</v>
          </cell>
          <cell r="BZ41">
            <v>124.88016569493684</v>
          </cell>
          <cell r="CA41">
            <v>125.26087635483532</v>
          </cell>
          <cell r="CB41">
            <v>-0.44336730150248715</v>
          </cell>
          <cell r="CC41">
            <v>124.81750905333283</v>
          </cell>
          <cell r="CD41">
            <v>0</v>
          </cell>
          <cell r="CE41">
            <v>200</v>
          </cell>
          <cell r="CF41">
            <v>0</v>
          </cell>
          <cell r="CG41">
            <v>1.7697500000000002</v>
          </cell>
          <cell r="CH41">
            <v>140</v>
          </cell>
          <cell r="CI41">
            <v>0.32779886235874417</v>
          </cell>
          <cell r="CJ41">
            <v>0.32779886235874417</v>
          </cell>
          <cell r="CK41">
            <v>0.74021167843231261</v>
          </cell>
          <cell r="CL41">
            <v>8.4291136035105643E-2</v>
          </cell>
          <cell r="CM41">
            <v>2.8723404255319149</v>
          </cell>
          <cell r="CN41">
            <v>3.6968432399993332</v>
          </cell>
          <cell r="CO41">
            <v>1.5379953762982498E-2</v>
          </cell>
          <cell r="CP41">
            <v>1.2659574468085109</v>
          </cell>
          <cell r="CQ41">
            <v>1.2813374005714933</v>
          </cell>
          <cell r="CR41">
            <v>1.21</v>
          </cell>
          <cell r="CS41">
            <v>9.81</v>
          </cell>
          <cell r="CT41">
            <v>4.83</v>
          </cell>
          <cell r="CU41">
            <v>0</v>
          </cell>
          <cell r="CV41">
            <v>145.9734885562624</v>
          </cell>
        </row>
        <row r="42">
          <cell r="K42" t="str">
            <v>ExportWelspun USAEsplamaUSABath76x137M</v>
          </cell>
          <cell r="L42">
            <v>0</v>
          </cell>
          <cell r="M42">
            <v>621.65</v>
          </cell>
          <cell r="N42">
            <v>0</v>
          </cell>
          <cell r="O42">
            <v>70.790000000000006</v>
          </cell>
          <cell r="P42">
            <v>82.85</v>
          </cell>
          <cell r="Q42">
            <v>28.8</v>
          </cell>
          <cell r="R42">
            <v>0</v>
          </cell>
          <cell r="S42">
            <v>0</v>
          </cell>
          <cell r="T42">
            <v>804.08999999999992</v>
          </cell>
          <cell r="U42">
            <v>755.8445999999999</v>
          </cell>
          <cell r="V42">
            <v>2.5000000000000001E-3</v>
          </cell>
          <cell r="W42">
            <v>0</v>
          </cell>
          <cell r="X42">
            <v>0</v>
          </cell>
          <cell r="Y42">
            <v>-2.5000000000000001E-2</v>
          </cell>
          <cell r="Z42">
            <v>6.0000000000000053E-2</v>
          </cell>
          <cell r="AA42">
            <v>1.4999999999999999E-2</v>
          </cell>
          <cell r="AB42">
            <v>0.01</v>
          </cell>
          <cell r="AC42">
            <v>1.8943473684210523</v>
          </cell>
          <cell r="AD42">
            <v>0</v>
          </cell>
          <cell r="AE42">
            <v>0</v>
          </cell>
          <cell r="AF42">
            <v>-1.7697500000000002</v>
          </cell>
          <cell r="AG42">
            <v>48.245400000000039</v>
          </cell>
          <cell r="AH42">
            <v>11.510323857868018</v>
          </cell>
          <cell r="AI42">
            <v>7.6347939393939388</v>
          </cell>
          <cell r="AJ42">
            <v>67.515115165683042</v>
          </cell>
          <cell r="AK42">
            <v>823.35971516568293</v>
          </cell>
          <cell r="AL42" t="str">
            <v>2/20  Comb</v>
          </cell>
          <cell r="AM42">
            <v>0</v>
          </cell>
          <cell r="AN42" t="str">
            <v>2/30  KC</v>
          </cell>
          <cell r="AO42" t="str">
            <v xml:space="preserve">1/16OE  </v>
          </cell>
          <cell r="AP42" t="str">
            <v>2/20  Gas Mer</v>
          </cell>
          <cell r="AQ42">
            <v>0</v>
          </cell>
          <cell r="AR42">
            <v>0</v>
          </cell>
          <cell r="AS42">
            <v>116.5</v>
          </cell>
          <cell r="AT42">
            <v>0</v>
          </cell>
          <cell r="AU42">
            <v>118.5</v>
          </cell>
          <cell r="AV42">
            <v>77.75</v>
          </cell>
          <cell r="AW42">
            <v>174</v>
          </cell>
          <cell r="AX42">
            <v>0</v>
          </cell>
          <cell r="AY42">
            <v>0</v>
          </cell>
          <cell r="AZ42">
            <v>72.422224999999997</v>
          </cell>
          <cell r="BA42">
            <v>8.3886150000000015</v>
          </cell>
          <cell r="BB42">
            <v>6.4415874999999998</v>
          </cell>
          <cell r="BC42">
            <v>5.0111999999999997</v>
          </cell>
          <cell r="BD42">
            <v>0</v>
          </cell>
          <cell r="BE42">
            <v>0.21736293195488721</v>
          </cell>
          <cell r="BF42">
            <v>0</v>
          </cell>
          <cell r="BI42">
            <v>0</v>
          </cell>
          <cell r="BJ42">
            <v>1.3207280687817258</v>
          </cell>
          <cell r="BK42">
            <v>0.87603848333333334</v>
          </cell>
          <cell r="BL42">
            <v>2.4141294840699463</v>
          </cell>
          <cell r="BM42">
            <v>-4.7358684210526303E-2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-0.28775809644670047</v>
          </cell>
          <cell r="BS42">
            <v>0</v>
          </cell>
          <cell r="BT42">
            <v>-0.33511678065722678</v>
          </cell>
          <cell r="BU42">
            <v>117.74522377354519</v>
          </cell>
          <cell r="BV42">
            <v>-0.35786802030456855</v>
          </cell>
          <cell r="BW42">
            <v>117.38735575324063</v>
          </cell>
          <cell r="BX42">
            <v>125.26087635483532</v>
          </cell>
          <cell r="BY42">
            <v>-0.38071065989847713</v>
          </cell>
          <cell r="BZ42">
            <v>124.88016569493684</v>
          </cell>
          <cell r="CA42">
            <v>125.26087635483532</v>
          </cell>
          <cell r="CB42">
            <v>-0.44336730150248715</v>
          </cell>
          <cell r="CC42">
            <v>124.81750905333283</v>
          </cell>
          <cell r="CD42">
            <v>0</v>
          </cell>
          <cell r="CE42">
            <v>200</v>
          </cell>
          <cell r="CF42">
            <v>0</v>
          </cell>
          <cell r="CG42">
            <v>1.7697500000000002</v>
          </cell>
          <cell r="CH42">
            <v>140</v>
          </cell>
          <cell r="CI42">
            <v>0.32779886235874417</v>
          </cell>
          <cell r="CJ42">
            <v>0.32779886235874417</v>
          </cell>
          <cell r="CK42">
            <v>0.74021167843231261</v>
          </cell>
          <cell r="CL42">
            <v>8.4291136035105643E-2</v>
          </cell>
          <cell r="CM42">
            <v>2.8723404255319149</v>
          </cell>
          <cell r="CN42">
            <v>3.6968432399993332</v>
          </cell>
          <cell r="CO42">
            <v>1.5379953762982498E-2</v>
          </cell>
          <cell r="CP42">
            <v>1.2659574468085109</v>
          </cell>
          <cell r="CQ42">
            <v>1.2813374005714933</v>
          </cell>
          <cell r="CR42">
            <v>4.22</v>
          </cell>
          <cell r="CS42">
            <v>9.7200000000000006</v>
          </cell>
          <cell r="CT42">
            <v>4.83</v>
          </cell>
          <cell r="CU42">
            <v>0</v>
          </cell>
          <cell r="CV42">
            <v>148.89348855626241</v>
          </cell>
        </row>
        <row r="43">
          <cell r="K43" t="str">
            <v>ExportWelspun USAEsplamaUSABath76x137D</v>
          </cell>
          <cell r="L43">
            <v>0</v>
          </cell>
          <cell r="M43">
            <v>621.65</v>
          </cell>
          <cell r="N43">
            <v>0</v>
          </cell>
          <cell r="O43">
            <v>70.790000000000006</v>
          </cell>
          <cell r="P43">
            <v>82.85</v>
          </cell>
          <cell r="Q43">
            <v>28.8</v>
          </cell>
          <cell r="R43">
            <v>0</v>
          </cell>
          <cell r="S43">
            <v>0</v>
          </cell>
          <cell r="T43">
            <v>804.08999999999992</v>
          </cell>
          <cell r="U43">
            <v>755.8445999999999</v>
          </cell>
          <cell r="V43">
            <v>2.5000000000000001E-3</v>
          </cell>
          <cell r="W43">
            <v>0</v>
          </cell>
          <cell r="X43">
            <v>0</v>
          </cell>
          <cell r="Y43">
            <v>-2.5000000000000001E-2</v>
          </cell>
          <cell r="Z43">
            <v>6.0000000000000053E-2</v>
          </cell>
          <cell r="AA43">
            <v>1.4999999999999999E-2</v>
          </cell>
          <cell r="AB43">
            <v>0.01</v>
          </cell>
          <cell r="AC43">
            <v>1.8943473684210523</v>
          </cell>
          <cell r="AD43">
            <v>0</v>
          </cell>
          <cell r="AE43">
            <v>0</v>
          </cell>
          <cell r="AF43">
            <v>-1.7697500000000002</v>
          </cell>
          <cell r="AG43">
            <v>48.245400000000039</v>
          </cell>
          <cell r="AH43">
            <v>11.510323857868018</v>
          </cell>
          <cell r="AI43">
            <v>7.6347939393939388</v>
          </cell>
          <cell r="AJ43">
            <v>67.515115165683042</v>
          </cell>
          <cell r="AK43">
            <v>823.35971516568293</v>
          </cell>
          <cell r="AL43" t="str">
            <v>2/20  Comb</v>
          </cell>
          <cell r="AM43">
            <v>0</v>
          </cell>
          <cell r="AN43" t="str">
            <v>2/30  KC</v>
          </cell>
          <cell r="AO43" t="str">
            <v xml:space="preserve">1/16OE  </v>
          </cell>
          <cell r="AP43" t="str">
            <v>2/20  Gas Mer</v>
          </cell>
          <cell r="AQ43">
            <v>0</v>
          </cell>
          <cell r="AR43">
            <v>0</v>
          </cell>
          <cell r="AS43">
            <v>116.5</v>
          </cell>
          <cell r="AT43">
            <v>0</v>
          </cell>
          <cell r="AU43">
            <v>118.5</v>
          </cell>
          <cell r="AV43">
            <v>77.75</v>
          </cell>
          <cell r="AW43">
            <v>174</v>
          </cell>
          <cell r="AX43">
            <v>0</v>
          </cell>
          <cell r="AY43">
            <v>0</v>
          </cell>
          <cell r="AZ43">
            <v>72.422224999999997</v>
          </cell>
          <cell r="BA43">
            <v>8.3886150000000015</v>
          </cell>
          <cell r="BB43">
            <v>6.4415874999999998</v>
          </cell>
          <cell r="BC43">
            <v>5.0111999999999997</v>
          </cell>
          <cell r="BD43">
            <v>0</v>
          </cell>
          <cell r="BE43">
            <v>0.21736293195488721</v>
          </cell>
          <cell r="BF43">
            <v>0</v>
          </cell>
          <cell r="BI43">
            <v>0</v>
          </cell>
          <cell r="BJ43">
            <v>1.3207280687817258</v>
          </cell>
          <cell r="BK43">
            <v>0.87603848333333334</v>
          </cell>
          <cell r="BL43">
            <v>2.4141294840699463</v>
          </cell>
          <cell r="BM43">
            <v>-4.7358684210526303E-2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-0.28775809644670047</v>
          </cell>
          <cell r="BS43">
            <v>0</v>
          </cell>
          <cell r="BT43">
            <v>-0.33511678065722678</v>
          </cell>
          <cell r="BU43">
            <v>117.74522377354519</v>
          </cell>
          <cell r="BV43">
            <v>-0.35786802030456855</v>
          </cell>
          <cell r="BW43">
            <v>117.38735575324063</v>
          </cell>
          <cell r="BX43">
            <v>125.26087635483532</v>
          </cell>
          <cell r="BY43">
            <v>-0.38071065989847713</v>
          </cell>
          <cell r="BZ43">
            <v>124.88016569493684</v>
          </cell>
          <cell r="CA43">
            <v>125.26087635483532</v>
          </cell>
          <cell r="CB43">
            <v>-0.44336730150248715</v>
          </cell>
          <cell r="CC43">
            <v>124.81750905333283</v>
          </cell>
          <cell r="CD43">
            <v>0</v>
          </cell>
          <cell r="CE43">
            <v>200</v>
          </cell>
          <cell r="CF43">
            <v>0</v>
          </cell>
          <cell r="CG43">
            <v>1.7697500000000002</v>
          </cell>
          <cell r="CH43">
            <v>140</v>
          </cell>
          <cell r="CI43">
            <v>0.32779886235874417</v>
          </cell>
          <cell r="CJ43">
            <v>0.32779886235874417</v>
          </cell>
          <cell r="CK43">
            <v>0.74021167843231261</v>
          </cell>
          <cell r="CL43">
            <v>8.4291136035105643E-2</v>
          </cell>
          <cell r="CM43">
            <v>2.8723404255319149</v>
          </cell>
          <cell r="CN43">
            <v>3.6968432399993332</v>
          </cell>
          <cell r="CO43">
            <v>1.5379953762982498E-2</v>
          </cell>
          <cell r="CP43">
            <v>1.2659574468085109</v>
          </cell>
          <cell r="CQ43">
            <v>1.2813374005714933</v>
          </cell>
          <cell r="CR43">
            <v>14.66</v>
          </cell>
          <cell r="CS43">
            <v>9.98</v>
          </cell>
          <cell r="CT43">
            <v>4.83</v>
          </cell>
          <cell r="CU43">
            <v>0</v>
          </cell>
          <cell r="CV43">
            <v>159.5934885562624</v>
          </cell>
        </row>
        <row r="44">
          <cell r="K44" t="str">
            <v>ExportWelspun USAEsplamaUSAHand41x71L</v>
          </cell>
          <cell r="L44">
            <v>0</v>
          </cell>
          <cell r="M44">
            <v>161.93</v>
          </cell>
          <cell r="N44">
            <v>0</v>
          </cell>
          <cell r="O44">
            <v>21.1</v>
          </cell>
          <cell r="P44">
            <v>25.036999999999999</v>
          </cell>
          <cell r="Q44">
            <v>13.23</v>
          </cell>
          <cell r="R44">
            <v>0</v>
          </cell>
          <cell r="S44">
            <v>0</v>
          </cell>
          <cell r="T44">
            <v>221.297</v>
          </cell>
          <cell r="U44">
            <v>210.23214999999999</v>
          </cell>
          <cell r="V44">
            <v>2.5000000000000001E-3</v>
          </cell>
          <cell r="W44">
            <v>0</v>
          </cell>
          <cell r="X44">
            <v>0</v>
          </cell>
          <cell r="Y44">
            <v>-2.5000000000000001E-2</v>
          </cell>
          <cell r="Z44">
            <v>5.0000000000000044E-2</v>
          </cell>
          <cell r="AA44">
            <v>1.4999999999999999E-2</v>
          </cell>
          <cell r="AB44">
            <v>0.01</v>
          </cell>
          <cell r="AC44">
            <v>0.526897619047619</v>
          </cell>
          <cell r="AD44">
            <v>0</v>
          </cell>
          <cell r="AE44">
            <v>0</v>
          </cell>
          <cell r="AF44">
            <v>-0.52750000000000008</v>
          </cell>
          <cell r="AG44">
            <v>11.064850000000011</v>
          </cell>
          <cell r="AH44">
            <v>3.2015048223350253</v>
          </cell>
          <cell r="AI44">
            <v>2.1235570707070708</v>
          </cell>
          <cell r="AJ44">
            <v>16.389309512089724</v>
          </cell>
          <cell r="AK44">
            <v>226.6214595120897</v>
          </cell>
          <cell r="AL44" t="str">
            <v>2/20  Comb</v>
          </cell>
          <cell r="AM44">
            <v>0</v>
          </cell>
          <cell r="AN44" t="str">
            <v>2/30  KC</v>
          </cell>
          <cell r="AO44" t="str">
            <v xml:space="preserve">1/16OE  </v>
          </cell>
          <cell r="AP44" t="str">
            <v>2/20  Gas Mer</v>
          </cell>
          <cell r="AQ44">
            <v>0</v>
          </cell>
          <cell r="AR44">
            <v>0</v>
          </cell>
          <cell r="AS44">
            <v>116.5</v>
          </cell>
          <cell r="AT44">
            <v>0</v>
          </cell>
          <cell r="AU44">
            <v>118.5</v>
          </cell>
          <cell r="AV44">
            <v>77.75</v>
          </cell>
          <cell r="AW44">
            <v>174</v>
          </cell>
          <cell r="AX44">
            <v>0</v>
          </cell>
          <cell r="AY44">
            <v>0</v>
          </cell>
          <cell r="AZ44">
            <v>18.864845000000003</v>
          </cell>
          <cell r="BA44">
            <v>2.5003500000000005</v>
          </cell>
          <cell r="BB44">
            <v>1.9466267499999999</v>
          </cell>
          <cell r="BC44">
            <v>2.3020200000000002</v>
          </cell>
          <cell r="BD44">
            <v>0</v>
          </cell>
          <cell r="BE44">
            <v>6.09853375E-2</v>
          </cell>
          <cell r="BF44">
            <v>0</v>
          </cell>
          <cell r="BI44">
            <v>0</v>
          </cell>
          <cell r="BJ44">
            <v>0.37055557861675131</v>
          </cell>
          <cell r="BK44">
            <v>0.24578939053030308</v>
          </cell>
          <cell r="BL44">
            <v>0.6773303066470544</v>
          </cell>
          <cell r="BM44">
            <v>-1.3172440476190475E-2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-8.0037620558375641E-2</v>
          </cell>
          <cell r="BS44">
            <v>0</v>
          </cell>
          <cell r="BT44">
            <v>-9.3210061034566111E-2</v>
          </cell>
          <cell r="BU44">
            <v>118.80491853322484</v>
          </cell>
          <cell r="BV44">
            <v>-0.3616751269035533</v>
          </cell>
          <cell r="BW44">
            <v>118.44324340632129</v>
          </cell>
          <cell r="BX44">
            <v>125.05780898234195</v>
          </cell>
          <cell r="BY44">
            <v>-0.38071065989847719</v>
          </cell>
          <cell r="BZ44">
            <v>124.67709832244347</v>
          </cell>
          <cell r="CA44">
            <v>125.05780898234195</v>
          </cell>
          <cell r="CB44">
            <v>-0.44336730150248721</v>
          </cell>
          <cell r="CC44">
            <v>124.61444168083946</v>
          </cell>
          <cell r="CD44">
            <v>0</v>
          </cell>
          <cell r="CE44">
            <v>200</v>
          </cell>
          <cell r="CF44">
            <v>0</v>
          </cell>
          <cell r="CG44">
            <v>0.52750000000000008</v>
          </cell>
          <cell r="CH44">
            <v>140</v>
          </cell>
          <cell r="CI44">
            <v>0.35127833682907211</v>
          </cell>
          <cell r="CJ44">
            <v>0.35127833682907211</v>
          </cell>
          <cell r="CK44">
            <v>0.69321937676991841</v>
          </cell>
          <cell r="CL44">
            <v>9.0328715184618519E-2</v>
          </cell>
          <cell r="CM44">
            <v>2.8421052631578947</v>
          </cell>
          <cell r="CN44">
            <v>3.6256533551124317</v>
          </cell>
          <cell r="CO44">
            <v>1.4403558161774974E-2</v>
          </cell>
          <cell r="CP44">
            <v>1.2526315789473685</v>
          </cell>
          <cell r="CQ44">
            <v>1.2670351371091435</v>
          </cell>
          <cell r="CR44">
            <v>1.21</v>
          </cell>
          <cell r="CS44">
            <v>9.81</v>
          </cell>
          <cell r="CT44">
            <v>10.32</v>
          </cell>
          <cell r="CU44">
            <v>0</v>
          </cell>
          <cell r="CV44">
            <v>151.1984085098901</v>
          </cell>
        </row>
        <row r="45">
          <cell r="K45" t="str">
            <v>ExportWelspun USAEsplamaUSAHand41x71M</v>
          </cell>
          <cell r="L45">
            <v>0</v>
          </cell>
          <cell r="M45">
            <v>161.93</v>
          </cell>
          <cell r="N45">
            <v>0</v>
          </cell>
          <cell r="O45">
            <v>21.1</v>
          </cell>
          <cell r="P45">
            <v>25.036999999999999</v>
          </cell>
          <cell r="Q45">
            <v>13.23</v>
          </cell>
          <cell r="R45">
            <v>0</v>
          </cell>
          <cell r="S45">
            <v>0</v>
          </cell>
          <cell r="T45">
            <v>221.297</v>
          </cell>
          <cell r="U45">
            <v>210.23214999999999</v>
          </cell>
          <cell r="V45">
            <v>2.5000000000000001E-3</v>
          </cell>
          <cell r="W45">
            <v>0</v>
          </cell>
          <cell r="X45">
            <v>0</v>
          </cell>
          <cell r="Y45">
            <v>-2.5000000000000001E-2</v>
          </cell>
          <cell r="Z45">
            <v>5.0000000000000044E-2</v>
          </cell>
          <cell r="AA45">
            <v>1.4999999999999999E-2</v>
          </cell>
          <cell r="AB45">
            <v>0.01</v>
          </cell>
          <cell r="AC45">
            <v>0.526897619047619</v>
          </cell>
          <cell r="AD45">
            <v>0</v>
          </cell>
          <cell r="AE45">
            <v>0</v>
          </cell>
          <cell r="AF45">
            <v>-0.52750000000000008</v>
          </cell>
          <cell r="AG45">
            <v>11.064850000000011</v>
          </cell>
          <cell r="AH45">
            <v>3.2015048223350253</v>
          </cell>
          <cell r="AI45">
            <v>2.1235570707070708</v>
          </cell>
          <cell r="AJ45">
            <v>16.389309512089724</v>
          </cell>
          <cell r="AK45">
            <v>226.6214595120897</v>
          </cell>
          <cell r="AL45" t="str">
            <v>2/20  Comb</v>
          </cell>
          <cell r="AM45">
            <v>0</v>
          </cell>
          <cell r="AN45" t="str">
            <v>2/30  KC</v>
          </cell>
          <cell r="AO45" t="str">
            <v xml:space="preserve">1/16OE  </v>
          </cell>
          <cell r="AP45" t="str">
            <v>2/20  Gas Mer</v>
          </cell>
          <cell r="AQ45">
            <v>0</v>
          </cell>
          <cell r="AR45">
            <v>0</v>
          </cell>
          <cell r="AS45">
            <v>116.5</v>
          </cell>
          <cell r="AT45">
            <v>0</v>
          </cell>
          <cell r="AU45">
            <v>118.5</v>
          </cell>
          <cell r="AV45">
            <v>77.75</v>
          </cell>
          <cell r="AW45">
            <v>174</v>
          </cell>
          <cell r="AX45">
            <v>0</v>
          </cell>
          <cell r="AY45">
            <v>0</v>
          </cell>
          <cell r="AZ45">
            <v>18.864845000000003</v>
          </cell>
          <cell r="BA45">
            <v>2.5003500000000005</v>
          </cell>
          <cell r="BB45">
            <v>1.9466267499999999</v>
          </cell>
          <cell r="BC45">
            <v>2.3020200000000002</v>
          </cell>
          <cell r="BD45">
            <v>0</v>
          </cell>
          <cell r="BE45">
            <v>6.09853375E-2</v>
          </cell>
          <cell r="BF45">
            <v>0</v>
          </cell>
          <cell r="BI45">
            <v>0</v>
          </cell>
          <cell r="BJ45">
            <v>0.37055557861675131</v>
          </cell>
          <cell r="BK45">
            <v>0.24578939053030308</v>
          </cell>
          <cell r="BL45">
            <v>0.6773303066470544</v>
          </cell>
          <cell r="BM45">
            <v>-1.3172440476190475E-2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-8.0037620558375641E-2</v>
          </cell>
          <cell r="BS45">
            <v>0</v>
          </cell>
          <cell r="BT45">
            <v>-9.3210061034566111E-2</v>
          </cell>
          <cell r="BU45">
            <v>118.80491853322484</v>
          </cell>
          <cell r="BV45">
            <v>-0.3616751269035533</v>
          </cell>
          <cell r="BW45">
            <v>118.44324340632129</v>
          </cell>
          <cell r="BX45">
            <v>125.05780898234195</v>
          </cell>
          <cell r="BY45">
            <v>-0.38071065989847719</v>
          </cell>
          <cell r="BZ45">
            <v>124.67709832244347</v>
          </cell>
          <cell r="CA45">
            <v>125.05780898234195</v>
          </cell>
          <cell r="CB45">
            <v>-0.44336730150248721</v>
          </cell>
          <cell r="CC45">
            <v>124.61444168083946</v>
          </cell>
          <cell r="CD45">
            <v>0</v>
          </cell>
          <cell r="CE45">
            <v>200</v>
          </cell>
          <cell r="CF45">
            <v>0</v>
          </cell>
          <cell r="CG45">
            <v>0.52750000000000008</v>
          </cell>
          <cell r="CH45">
            <v>140</v>
          </cell>
          <cell r="CI45">
            <v>0.35127833682907211</v>
          </cell>
          <cell r="CJ45">
            <v>0.35127833682907211</v>
          </cell>
          <cell r="CK45">
            <v>0.69321937676991841</v>
          </cell>
          <cell r="CL45">
            <v>9.0328715184618519E-2</v>
          </cell>
          <cell r="CM45">
            <v>2.8421052631578947</v>
          </cell>
          <cell r="CN45">
            <v>3.6256533551124317</v>
          </cell>
          <cell r="CO45">
            <v>1.4403558161774974E-2</v>
          </cell>
          <cell r="CP45">
            <v>1.2526315789473685</v>
          </cell>
          <cell r="CQ45">
            <v>1.2670351371091435</v>
          </cell>
          <cell r="CR45">
            <v>4.22</v>
          </cell>
          <cell r="CS45">
            <v>9.7200000000000006</v>
          </cell>
          <cell r="CT45">
            <v>10.32</v>
          </cell>
          <cell r="CU45">
            <v>0</v>
          </cell>
          <cell r="CV45">
            <v>154.11840850989009</v>
          </cell>
        </row>
        <row r="46">
          <cell r="K46" t="str">
            <v>ExportWelspun USAEsplamaUSAHand41x71D</v>
          </cell>
          <cell r="L46">
            <v>0</v>
          </cell>
          <cell r="M46">
            <v>161.93</v>
          </cell>
          <cell r="N46">
            <v>0</v>
          </cell>
          <cell r="O46">
            <v>21.1</v>
          </cell>
          <cell r="P46">
            <v>25.036999999999999</v>
          </cell>
          <cell r="Q46">
            <v>13.23</v>
          </cell>
          <cell r="R46">
            <v>0</v>
          </cell>
          <cell r="S46">
            <v>0</v>
          </cell>
          <cell r="T46">
            <v>221.297</v>
          </cell>
          <cell r="U46">
            <v>210.23214999999999</v>
          </cell>
          <cell r="V46">
            <v>2.5000000000000001E-3</v>
          </cell>
          <cell r="W46">
            <v>0</v>
          </cell>
          <cell r="X46">
            <v>0</v>
          </cell>
          <cell r="Y46">
            <v>-2.5000000000000001E-2</v>
          </cell>
          <cell r="Z46">
            <v>5.0000000000000044E-2</v>
          </cell>
          <cell r="AA46">
            <v>1.4999999999999999E-2</v>
          </cell>
          <cell r="AB46">
            <v>0.01</v>
          </cell>
          <cell r="AC46">
            <v>0.526897619047619</v>
          </cell>
          <cell r="AD46">
            <v>0</v>
          </cell>
          <cell r="AE46">
            <v>0</v>
          </cell>
          <cell r="AF46">
            <v>-0.52750000000000008</v>
          </cell>
          <cell r="AG46">
            <v>11.064850000000011</v>
          </cell>
          <cell r="AH46">
            <v>3.2015048223350253</v>
          </cell>
          <cell r="AI46">
            <v>2.1235570707070708</v>
          </cell>
          <cell r="AJ46">
            <v>16.389309512089724</v>
          </cell>
          <cell r="AK46">
            <v>226.6214595120897</v>
          </cell>
          <cell r="AL46" t="str">
            <v>2/20  Comb</v>
          </cell>
          <cell r="AM46">
            <v>0</v>
          </cell>
          <cell r="AN46" t="str">
            <v>2/30  KC</v>
          </cell>
          <cell r="AO46" t="str">
            <v xml:space="preserve">1/16OE  </v>
          </cell>
          <cell r="AP46" t="str">
            <v>2/20  Gas Mer</v>
          </cell>
          <cell r="AQ46">
            <v>0</v>
          </cell>
          <cell r="AR46">
            <v>0</v>
          </cell>
          <cell r="AS46">
            <v>116.5</v>
          </cell>
          <cell r="AT46">
            <v>0</v>
          </cell>
          <cell r="AU46">
            <v>118.5</v>
          </cell>
          <cell r="AV46">
            <v>77.75</v>
          </cell>
          <cell r="AW46">
            <v>174</v>
          </cell>
          <cell r="AX46">
            <v>0</v>
          </cell>
          <cell r="AY46">
            <v>0</v>
          </cell>
          <cell r="AZ46">
            <v>18.864845000000003</v>
          </cell>
          <cell r="BA46">
            <v>2.5003500000000005</v>
          </cell>
          <cell r="BB46">
            <v>1.9466267499999999</v>
          </cell>
          <cell r="BC46">
            <v>2.3020200000000002</v>
          </cell>
          <cell r="BD46">
            <v>0</v>
          </cell>
          <cell r="BE46">
            <v>6.09853375E-2</v>
          </cell>
          <cell r="BF46">
            <v>0</v>
          </cell>
          <cell r="BI46">
            <v>0</v>
          </cell>
          <cell r="BJ46">
            <v>0.37055557861675131</v>
          </cell>
          <cell r="BK46">
            <v>0.24578939053030308</v>
          </cell>
          <cell r="BL46">
            <v>0.6773303066470544</v>
          </cell>
          <cell r="BM46">
            <v>-1.3172440476190475E-2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-8.0037620558375641E-2</v>
          </cell>
          <cell r="BS46">
            <v>0</v>
          </cell>
          <cell r="BT46">
            <v>-9.3210061034566111E-2</v>
          </cell>
          <cell r="BU46">
            <v>118.80491853322484</v>
          </cell>
          <cell r="BV46">
            <v>-0.3616751269035533</v>
          </cell>
          <cell r="BW46">
            <v>118.44324340632129</v>
          </cell>
          <cell r="BX46">
            <v>125.05780898234195</v>
          </cell>
          <cell r="BY46">
            <v>-0.38071065989847719</v>
          </cell>
          <cell r="BZ46">
            <v>124.67709832244347</v>
          </cell>
          <cell r="CA46">
            <v>125.05780898234195</v>
          </cell>
          <cell r="CB46">
            <v>-0.44336730150248721</v>
          </cell>
          <cell r="CC46">
            <v>124.61444168083946</v>
          </cell>
          <cell r="CD46">
            <v>0</v>
          </cell>
          <cell r="CE46">
            <v>200</v>
          </cell>
          <cell r="CF46">
            <v>0</v>
          </cell>
          <cell r="CG46">
            <v>0.52750000000000008</v>
          </cell>
          <cell r="CH46">
            <v>140</v>
          </cell>
          <cell r="CI46">
            <v>0.35127833682907211</v>
          </cell>
          <cell r="CJ46">
            <v>0.35127833682907211</v>
          </cell>
          <cell r="CK46">
            <v>0.69321937676991841</v>
          </cell>
          <cell r="CL46">
            <v>9.0328715184618519E-2</v>
          </cell>
          <cell r="CM46">
            <v>2.8421052631578947</v>
          </cell>
          <cell r="CN46">
            <v>3.6256533551124317</v>
          </cell>
          <cell r="CO46">
            <v>1.4403558161774974E-2</v>
          </cell>
          <cell r="CP46">
            <v>1.2526315789473685</v>
          </cell>
          <cell r="CQ46">
            <v>1.2670351371091435</v>
          </cell>
          <cell r="CR46">
            <v>14.66</v>
          </cell>
          <cell r="CS46">
            <v>9.98</v>
          </cell>
          <cell r="CT46">
            <v>10.32</v>
          </cell>
          <cell r="CU46">
            <v>0</v>
          </cell>
          <cell r="CV46">
            <v>164.81840850989011</v>
          </cell>
        </row>
        <row r="47">
          <cell r="K47" t="str">
            <v>ExportWelspun USAEsplamaUSAWash33x33L</v>
          </cell>
          <cell r="L47">
            <v>0</v>
          </cell>
          <cell r="M47">
            <v>52.43</v>
          </cell>
          <cell r="N47">
            <v>0</v>
          </cell>
          <cell r="O47">
            <v>8.92</v>
          </cell>
          <cell r="P47">
            <v>9.1739999999999995</v>
          </cell>
          <cell r="Q47">
            <v>9.4789999999999992</v>
          </cell>
          <cell r="R47">
            <v>0</v>
          </cell>
          <cell r="S47">
            <v>0</v>
          </cell>
          <cell r="T47">
            <v>80.003</v>
          </cell>
          <cell r="U47">
            <v>76.002849999999995</v>
          </cell>
          <cell r="V47">
            <v>2.5000000000000001E-3</v>
          </cell>
          <cell r="W47">
            <v>0</v>
          </cell>
          <cell r="X47">
            <v>0</v>
          </cell>
          <cell r="Y47">
            <v>-2.5000000000000001E-2</v>
          </cell>
          <cell r="Z47">
            <v>5.0000000000000044E-2</v>
          </cell>
          <cell r="AA47">
            <v>1.4999999999999999E-2</v>
          </cell>
          <cell r="AB47">
            <v>0.01</v>
          </cell>
          <cell r="AC47">
            <v>0.19048333333333334</v>
          </cell>
          <cell r="AD47">
            <v>0</v>
          </cell>
          <cell r="AE47">
            <v>0</v>
          </cell>
          <cell r="AF47">
            <v>-0.223</v>
          </cell>
          <cell r="AG47">
            <v>4.0001500000000032</v>
          </cell>
          <cell r="AH47">
            <v>1.1574038071065988</v>
          </cell>
          <cell r="AI47">
            <v>0.76770555555555553</v>
          </cell>
          <cell r="AJ47">
            <v>5.8927426959954916</v>
          </cell>
          <cell r="AK47">
            <v>81.895592695995489</v>
          </cell>
          <cell r="AL47" t="str">
            <v>2/20  Comb</v>
          </cell>
          <cell r="AM47">
            <v>0</v>
          </cell>
          <cell r="AN47" t="str">
            <v>2/30  KC</v>
          </cell>
          <cell r="AO47" t="str">
            <v xml:space="preserve">1/16OE  </v>
          </cell>
          <cell r="AP47" t="str">
            <v>2/20  Gas Mer</v>
          </cell>
          <cell r="AQ47">
            <v>0</v>
          </cell>
          <cell r="AR47">
            <v>0</v>
          </cell>
          <cell r="AS47">
            <v>116.5</v>
          </cell>
          <cell r="AT47">
            <v>0</v>
          </cell>
          <cell r="AU47">
            <v>118.5</v>
          </cell>
          <cell r="AV47">
            <v>77.75</v>
          </cell>
          <cell r="AW47">
            <v>174</v>
          </cell>
          <cell r="AX47">
            <v>0</v>
          </cell>
          <cell r="AY47">
            <v>0</v>
          </cell>
          <cell r="AZ47">
            <v>6.1080950000000005</v>
          </cell>
          <cell r="BA47">
            <v>1.0570200000000001</v>
          </cell>
          <cell r="BB47">
            <v>0.71327850000000004</v>
          </cell>
          <cell r="BC47">
            <v>1.6493459999999998</v>
          </cell>
          <cell r="BD47">
            <v>0</v>
          </cell>
          <cell r="BE47">
            <v>2.268509404761905E-2</v>
          </cell>
          <cell r="BF47">
            <v>0</v>
          </cell>
          <cell r="BI47">
            <v>0</v>
          </cell>
          <cell r="BJ47">
            <v>0.1378378557106599</v>
          </cell>
          <cell r="BK47">
            <v>9.1427803282828277E-2</v>
          </cell>
          <cell r="BL47">
            <v>0.25195075304110726</v>
          </cell>
          <cell r="BM47">
            <v>-4.7620833333333326E-3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-2.893509517766497E-2</v>
          </cell>
          <cell r="BS47">
            <v>0</v>
          </cell>
          <cell r="BT47">
            <v>-3.36971785109983E-2</v>
          </cell>
          <cell r="BU47">
            <v>122.24154410510991</v>
          </cell>
          <cell r="BV47">
            <v>-0.36167512690355319</v>
          </cell>
          <cell r="BW47">
            <v>121.87986897820636</v>
          </cell>
          <cell r="BX47">
            <v>128.67530958432624</v>
          </cell>
          <cell r="BY47">
            <v>-0.38071065989847708</v>
          </cell>
          <cell r="BZ47">
            <v>128.29459892442776</v>
          </cell>
          <cell r="CA47">
            <v>128.67530958432624</v>
          </cell>
          <cell r="CB47">
            <v>-0.4433673015024871</v>
          </cell>
          <cell r="CC47">
            <v>128.23194228282375</v>
          </cell>
          <cell r="CD47">
            <v>0</v>
          </cell>
          <cell r="CE47">
            <v>200</v>
          </cell>
          <cell r="CF47">
            <v>0</v>
          </cell>
          <cell r="CG47">
            <v>0.223</v>
          </cell>
          <cell r="CH47">
            <v>140</v>
          </cell>
          <cell r="CI47">
            <v>0.41077406965659841</v>
          </cell>
          <cell r="CJ47">
            <v>0.41077406965659841</v>
          </cell>
          <cell r="CK47">
            <v>0.62085829676123994</v>
          </cell>
          <cell r="CL47">
            <v>0.10562761791169673</v>
          </cell>
          <cell r="CM47">
            <v>2.8421052631578947</v>
          </cell>
          <cell r="CN47">
            <v>3.5685911778308315</v>
          </cell>
          <cell r="CO47">
            <v>1.2900055721594653E-2</v>
          </cell>
          <cell r="CP47">
            <v>1.2526315789473688</v>
          </cell>
          <cell r="CQ47">
            <v>1.2655316346689633</v>
          </cell>
          <cell r="CR47">
            <v>1.21</v>
          </cell>
          <cell r="CS47">
            <v>9.81</v>
          </cell>
          <cell r="CT47">
            <v>25.14</v>
          </cell>
          <cell r="CU47">
            <v>0</v>
          </cell>
          <cell r="CV47">
            <v>169.63683916498016</v>
          </cell>
        </row>
        <row r="48">
          <cell r="K48" t="str">
            <v>ExportWelspun USAEsplamaUSAWash33x33M</v>
          </cell>
          <cell r="L48">
            <v>0</v>
          </cell>
          <cell r="M48">
            <v>52.43</v>
          </cell>
          <cell r="N48">
            <v>0</v>
          </cell>
          <cell r="O48">
            <v>8.92</v>
          </cell>
          <cell r="P48">
            <v>9.1739999999999995</v>
          </cell>
          <cell r="Q48">
            <v>9.4789999999999992</v>
          </cell>
          <cell r="R48">
            <v>0</v>
          </cell>
          <cell r="S48">
            <v>0</v>
          </cell>
          <cell r="T48">
            <v>80.003</v>
          </cell>
          <cell r="U48">
            <v>76.002849999999995</v>
          </cell>
          <cell r="V48">
            <v>2.5000000000000001E-3</v>
          </cell>
          <cell r="W48">
            <v>0</v>
          </cell>
          <cell r="X48">
            <v>0</v>
          </cell>
          <cell r="Y48">
            <v>-2.5000000000000001E-2</v>
          </cell>
          <cell r="Z48">
            <v>5.0000000000000044E-2</v>
          </cell>
          <cell r="AA48">
            <v>1.4999999999999999E-2</v>
          </cell>
          <cell r="AB48">
            <v>0.01</v>
          </cell>
          <cell r="AC48">
            <v>0.19048333333333334</v>
          </cell>
          <cell r="AD48">
            <v>0</v>
          </cell>
          <cell r="AE48">
            <v>0</v>
          </cell>
          <cell r="AF48">
            <v>-0.223</v>
          </cell>
          <cell r="AG48">
            <v>4.0001500000000032</v>
          </cell>
          <cell r="AH48">
            <v>1.1574038071065988</v>
          </cell>
          <cell r="AI48">
            <v>0.76770555555555553</v>
          </cell>
          <cell r="AJ48">
            <v>5.8927426959954916</v>
          </cell>
          <cell r="AK48">
            <v>81.895592695995489</v>
          </cell>
          <cell r="AL48" t="str">
            <v>2/20  Comb</v>
          </cell>
          <cell r="AM48">
            <v>0</v>
          </cell>
          <cell r="AN48" t="str">
            <v>2/30  KC</v>
          </cell>
          <cell r="AO48" t="str">
            <v xml:space="preserve">1/16OE  </v>
          </cell>
          <cell r="AP48" t="str">
            <v>2/20  Gas Mer</v>
          </cell>
          <cell r="AQ48">
            <v>0</v>
          </cell>
          <cell r="AR48">
            <v>0</v>
          </cell>
          <cell r="AS48">
            <v>116.5</v>
          </cell>
          <cell r="AT48">
            <v>0</v>
          </cell>
          <cell r="AU48">
            <v>118.5</v>
          </cell>
          <cell r="AV48">
            <v>77.75</v>
          </cell>
          <cell r="AW48">
            <v>174</v>
          </cell>
          <cell r="AX48">
            <v>0</v>
          </cell>
          <cell r="AY48">
            <v>0</v>
          </cell>
          <cell r="AZ48">
            <v>6.1080950000000005</v>
          </cell>
          <cell r="BA48">
            <v>1.0570200000000001</v>
          </cell>
          <cell r="BB48">
            <v>0.71327850000000004</v>
          </cell>
          <cell r="BC48">
            <v>1.6493459999999998</v>
          </cell>
          <cell r="BD48">
            <v>0</v>
          </cell>
          <cell r="BE48">
            <v>2.268509404761905E-2</v>
          </cell>
          <cell r="BF48">
            <v>0</v>
          </cell>
          <cell r="BI48">
            <v>0</v>
          </cell>
          <cell r="BJ48">
            <v>0.1378378557106599</v>
          </cell>
          <cell r="BK48">
            <v>9.1427803282828277E-2</v>
          </cell>
          <cell r="BL48">
            <v>0.25195075304110726</v>
          </cell>
          <cell r="BM48">
            <v>-4.7620833333333326E-3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-2.893509517766497E-2</v>
          </cell>
          <cell r="BS48">
            <v>0</v>
          </cell>
          <cell r="BT48">
            <v>-3.36971785109983E-2</v>
          </cell>
          <cell r="BU48">
            <v>122.24154410510991</v>
          </cell>
          <cell r="BV48">
            <v>-0.36167512690355319</v>
          </cell>
          <cell r="BW48">
            <v>121.87986897820636</v>
          </cell>
          <cell r="BX48">
            <v>128.67530958432624</v>
          </cell>
          <cell r="BY48">
            <v>-0.38071065989847708</v>
          </cell>
          <cell r="BZ48">
            <v>128.29459892442776</v>
          </cell>
          <cell r="CA48">
            <v>128.67530958432624</v>
          </cell>
          <cell r="CB48">
            <v>-0.4433673015024871</v>
          </cell>
          <cell r="CC48">
            <v>128.23194228282375</v>
          </cell>
          <cell r="CD48">
            <v>0</v>
          </cell>
          <cell r="CE48">
            <v>200</v>
          </cell>
          <cell r="CF48">
            <v>0</v>
          </cell>
          <cell r="CG48">
            <v>0.223</v>
          </cell>
          <cell r="CH48">
            <v>140</v>
          </cell>
          <cell r="CI48">
            <v>0.41077406965659841</v>
          </cell>
          <cell r="CJ48">
            <v>0.41077406965659841</v>
          </cell>
          <cell r="CK48">
            <v>0.62085829676123994</v>
          </cell>
          <cell r="CL48">
            <v>0.10562761791169673</v>
          </cell>
          <cell r="CM48">
            <v>2.8421052631578947</v>
          </cell>
          <cell r="CN48">
            <v>3.5685911778308315</v>
          </cell>
          <cell r="CO48">
            <v>1.2900055721594653E-2</v>
          </cell>
          <cell r="CP48">
            <v>1.2526315789473688</v>
          </cell>
          <cell r="CQ48">
            <v>1.2655316346689633</v>
          </cell>
          <cell r="CR48">
            <v>4.22</v>
          </cell>
          <cell r="CS48">
            <v>9.7200000000000006</v>
          </cell>
          <cell r="CT48">
            <v>25.14</v>
          </cell>
          <cell r="CU48">
            <v>0</v>
          </cell>
          <cell r="CV48">
            <v>172.55683916498015</v>
          </cell>
        </row>
        <row r="49">
          <cell r="K49" t="str">
            <v>ExportWelspun USAEsplamaUSAWash33x33D</v>
          </cell>
          <cell r="L49">
            <v>0</v>
          </cell>
          <cell r="M49">
            <v>52.43</v>
          </cell>
          <cell r="N49">
            <v>0</v>
          </cell>
          <cell r="O49">
            <v>8.92</v>
          </cell>
          <cell r="P49">
            <v>9.1739999999999995</v>
          </cell>
          <cell r="Q49">
            <v>9.4789999999999992</v>
          </cell>
          <cell r="R49">
            <v>0</v>
          </cell>
          <cell r="S49">
            <v>0</v>
          </cell>
          <cell r="T49">
            <v>80.003</v>
          </cell>
          <cell r="U49">
            <v>76.002849999999995</v>
          </cell>
          <cell r="V49">
            <v>2.5000000000000001E-3</v>
          </cell>
          <cell r="W49">
            <v>0</v>
          </cell>
          <cell r="X49">
            <v>0</v>
          </cell>
          <cell r="Y49">
            <v>-2.5000000000000001E-2</v>
          </cell>
          <cell r="Z49">
            <v>5.0000000000000044E-2</v>
          </cell>
          <cell r="AA49">
            <v>1.4999999999999999E-2</v>
          </cell>
          <cell r="AB49">
            <v>0.01</v>
          </cell>
          <cell r="AC49">
            <v>0.19048333333333334</v>
          </cell>
          <cell r="AD49">
            <v>0</v>
          </cell>
          <cell r="AE49">
            <v>0</v>
          </cell>
          <cell r="AF49">
            <v>-0.223</v>
          </cell>
          <cell r="AG49">
            <v>4.0001500000000032</v>
          </cell>
          <cell r="AH49">
            <v>1.1574038071065988</v>
          </cell>
          <cell r="AI49">
            <v>0.76770555555555553</v>
          </cell>
          <cell r="AJ49">
            <v>5.8927426959954916</v>
          </cell>
          <cell r="AK49">
            <v>81.895592695995489</v>
          </cell>
          <cell r="AL49" t="str">
            <v>2/20  Comb</v>
          </cell>
          <cell r="AM49">
            <v>0</v>
          </cell>
          <cell r="AN49" t="str">
            <v>2/30  KC</v>
          </cell>
          <cell r="AO49" t="str">
            <v xml:space="preserve">1/16OE  </v>
          </cell>
          <cell r="AP49" t="str">
            <v>2/20  Gas Mer</v>
          </cell>
          <cell r="AQ49">
            <v>0</v>
          </cell>
          <cell r="AR49">
            <v>0</v>
          </cell>
          <cell r="AS49">
            <v>116.5</v>
          </cell>
          <cell r="AT49">
            <v>0</v>
          </cell>
          <cell r="AU49">
            <v>118.5</v>
          </cell>
          <cell r="AV49">
            <v>77.75</v>
          </cell>
          <cell r="AW49">
            <v>174</v>
          </cell>
          <cell r="AX49">
            <v>0</v>
          </cell>
          <cell r="AY49">
            <v>0</v>
          </cell>
          <cell r="AZ49">
            <v>6.1080950000000005</v>
          </cell>
          <cell r="BA49">
            <v>1.0570200000000001</v>
          </cell>
          <cell r="BB49">
            <v>0.71327850000000004</v>
          </cell>
          <cell r="BC49">
            <v>1.6493459999999998</v>
          </cell>
          <cell r="BD49">
            <v>0</v>
          </cell>
          <cell r="BE49">
            <v>2.268509404761905E-2</v>
          </cell>
          <cell r="BF49">
            <v>0</v>
          </cell>
          <cell r="BI49">
            <v>0</v>
          </cell>
          <cell r="BJ49">
            <v>0.1378378557106599</v>
          </cell>
          <cell r="BK49">
            <v>9.1427803282828277E-2</v>
          </cell>
          <cell r="BL49">
            <v>0.25195075304110726</v>
          </cell>
          <cell r="BM49">
            <v>-4.7620833333333326E-3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-2.893509517766497E-2</v>
          </cell>
          <cell r="BS49">
            <v>0</v>
          </cell>
          <cell r="BT49">
            <v>-3.36971785109983E-2</v>
          </cell>
          <cell r="BU49">
            <v>122.24154410510991</v>
          </cell>
          <cell r="BV49">
            <v>-0.36167512690355319</v>
          </cell>
          <cell r="BW49">
            <v>121.87986897820636</v>
          </cell>
          <cell r="BX49">
            <v>128.67530958432624</v>
          </cell>
          <cell r="BY49">
            <v>-0.38071065989847708</v>
          </cell>
          <cell r="BZ49">
            <v>128.29459892442776</v>
          </cell>
          <cell r="CA49">
            <v>128.67530958432624</v>
          </cell>
          <cell r="CB49">
            <v>-0.4433673015024871</v>
          </cell>
          <cell r="CC49">
            <v>128.23194228282375</v>
          </cell>
          <cell r="CD49">
            <v>0</v>
          </cell>
          <cell r="CE49">
            <v>200</v>
          </cell>
          <cell r="CF49">
            <v>0</v>
          </cell>
          <cell r="CG49">
            <v>0.223</v>
          </cell>
          <cell r="CH49">
            <v>140</v>
          </cell>
          <cell r="CI49">
            <v>0.41077406965659841</v>
          </cell>
          <cell r="CJ49">
            <v>0.41077406965659841</v>
          </cell>
          <cell r="CK49">
            <v>0.62085829676123994</v>
          </cell>
          <cell r="CL49">
            <v>0.10562761791169673</v>
          </cell>
          <cell r="CM49">
            <v>2.8421052631578947</v>
          </cell>
          <cell r="CN49">
            <v>3.5685911778308315</v>
          </cell>
          <cell r="CO49">
            <v>1.2900055721594653E-2</v>
          </cell>
          <cell r="CP49">
            <v>1.2526315789473688</v>
          </cell>
          <cell r="CQ49">
            <v>1.2655316346689633</v>
          </cell>
          <cell r="CR49">
            <v>14.66</v>
          </cell>
          <cell r="CS49">
            <v>9.98</v>
          </cell>
          <cell r="CT49">
            <v>25.14</v>
          </cell>
          <cell r="CU49">
            <v>0</v>
          </cell>
          <cell r="CV49">
            <v>183.25683916498016</v>
          </cell>
        </row>
        <row r="50">
          <cell r="K50" t="str">
            <v>ExportLNTManorUSABath76x147L</v>
          </cell>
          <cell r="L50">
            <v>0</v>
          </cell>
          <cell r="M50">
            <v>501.9</v>
          </cell>
          <cell r="N50">
            <v>0</v>
          </cell>
          <cell r="O50">
            <v>142.19999999999999</v>
          </cell>
          <cell r="P50">
            <v>92.114000000000004</v>
          </cell>
          <cell r="Q50">
            <v>32.08</v>
          </cell>
          <cell r="R50">
            <v>0</v>
          </cell>
          <cell r="S50">
            <v>0</v>
          </cell>
          <cell r="T50">
            <v>768.29399999999998</v>
          </cell>
          <cell r="U50">
            <v>718.35489000000007</v>
          </cell>
          <cell r="V50">
            <v>2.5000000000000001E-3</v>
          </cell>
          <cell r="W50">
            <v>0</v>
          </cell>
          <cell r="X50">
            <v>-1.3999999999999999E-2</v>
          </cell>
          <cell r="Y50">
            <v>-2.5000000000000001E-2</v>
          </cell>
          <cell r="Z50">
            <v>6.4999999999999836E-2</v>
          </cell>
          <cell r="AA50">
            <v>1.4999999999999999E-2</v>
          </cell>
          <cell r="AB50">
            <v>0.01</v>
          </cell>
          <cell r="AC50">
            <v>1.800388195488722</v>
          </cell>
          <cell r="AD50">
            <v>0</v>
          </cell>
          <cell r="AE50">
            <v>-7.0265999999999993</v>
          </cell>
          <cell r="AF50">
            <v>-3.5549999999999997</v>
          </cell>
          <cell r="AG50">
            <v>49.939109999999872</v>
          </cell>
          <cell r="AH50">
            <v>10.939414568527919</v>
          </cell>
          <cell r="AI50">
            <v>7.2561100000000014</v>
          </cell>
          <cell r="AJ50">
            <v>59.353422764016521</v>
          </cell>
          <cell r="AK50">
            <v>777.70831276401657</v>
          </cell>
          <cell r="AL50" t="str">
            <v>1/13  Egy Comb</v>
          </cell>
          <cell r="AM50">
            <v>0</v>
          </cell>
          <cell r="AN50" t="str">
            <v>2/16  Egy Comb</v>
          </cell>
          <cell r="AO50" t="str">
            <v xml:space="preserve">1/14OE  </v>
          </cell>
          <cell r="AP50" t="str">
            <v>2/20  Gas Mer</v>
          </cell>
          <cell r="AQ50">
            <v>0</v>
          </cell>
          <cell r="AR50">
            <v>0</v>
          </cell>
          <cell r="AS50">
            <v>172.09</v>
          </cell>
          <cell r="AT50">
            <v>0</v>
          </cell>
          <cell r="AU50">
            <v>142.57</v>
          </cell>
          <cell r="AV50">
            <v>75.75</v>
          </cell>
          <cell r="AW50">
            <v>174</v>
          </cell>
          <cell r="AX50">
            <v>0</v>
          </cell>
          <cell r="AY50">
            <v>0</v>
          </cell>
          <cell r="AZ50">
            <v>86.371971000000002</v>
          </cell>
          <cell r="BA50">
            <v>20.273453999999997</v>
          </cell>
          <cell r="BB50">
            <v>6.9776354999999999</v>
          </cell>
          <cell r="BC50">
            <v>5.5819200000000002</v>
          </cell>
          <cell r="BD50">
            <v>0</v>
          </cell>
          <cell r="BE50">
            <v>0.27933999189849629</v>
          </cell>
          <cell r="BF50">
            <v>0</v>
          </cell>
          <cell r="BI50">
            <v>0</v>
          </cell>
          <cell r="BJ50">
            <v>1.6973094939213198</v>
          </cell>
          <cell r="BK50">
            <v>1.1258248158333335</v>
          </cell>
          <cell r="BL50">
            <v>3.1024743016531495</v>
          </cell>
          <cell r="BM50">
            <v>-4.5009704887218047E-2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-0.27348536421319797</v>
          </cell>
          <cell r="BS50">
            <v>0</v>
          </cell>
          <cell r="BT50">
            <v>-0.31849506910041603</v>
          </cell>
          <cell r="BU50">
            <v>159.19355715605374</v>
          </cell>
          <cell r="BV50">
            <v>-0.35596446700507617</v>
          </cell>
          <cell r="BW50">
            <v>158.83759268904868</v>
          </cell>
          <cell r="BX50">
            <v>170.26048893695585</v>
          </cell>
          <cell r="BY50">
            <v>-0.38071065989847708</v>
          </cell>
          <cell r="BZ50">
            <v>169.87977827705737</v>
          </cell>
          <cell r="CA50">
            <v>170.26048893695585</v>
          </cell>
          <cell r="CB50">
            <v>-0.44336730150248715</v>
          </cell>
          <cell r="CC50">
            <v>169.81712163545336</v>
          </cell>
          <cell r="CD50">
            <v>7.0265999999999993</v>
          </cell>
          <cell r="CE50">
            <v>200</v>
          </cell>
          <cell r="CF50">
            <v>1.9563032417027186</v>
          </cell>
          <cell r="CG50">
            <v>3.5549999999999997</v>
          </cell>
          <cell r="CH50">
            <v>140</v>
          </cell>
          <cell r="CI50">
            <v>0.69283303688515285</v>
          </cell>
          <cell r="CJ50">
            <v>2.6491362785878714</v>
          </cell>
          <cell r="CK50">
            <v>0.62881175626158803</v>
          </cell>
          <cell r="CL50">
            <v>0.17815706662761072</v>
          </cell>
          <cell r="CM50">
            <v>2.8877005347593578</v>
          </cell>
          <cell r="CN50">
            <v>3.6946693576485563</v>
          </cell>
          <cell r="CO50">
            <v>1.3065310935657444E-2</v>
          </cell>
          <cell r="CP50">
            <v>1.2727272727272727</v>
          </cell>
          <cell r="CQ50">
            <v>1.2857925836629303</v>
          </cell>
          <cell r="CR50">
            <v>1.21</v>
          </cell>
          <cell r="CS50">
            <v>9.81</v>
          </cell>
          <cell r="CT50">
            <v>13.19</v>
          </cell>
          <cell r="CU50">
            <v>0</v>
          </cell>
          <cell r="CV50">
            <v>201.65671985535272</v>
          </cell>
        </row>
        <row r="51">
          <cell r="K51" t="str">
            <v>ExportLNTManorUSABath76x147M</v>
          </cell>
          <cell r="L51">
            <v>0</v>
          </cell>
          <cell r="M51">
            <v>501.9</v>
          </cell>
          <cell r="N51">
            <v>0</v>
          </cell>
          <cell r="O51">
            <v>142.19999999999999</v>
          </cell>
          <cell r="P51">
            <v>92.114000000000004</v>
          </cell>
          <cell r="Q51">
            <v>32.08</v>
          </cell>
          <cell r="R51">
            <v>0</v>
          </cell>
          <cell r="S51">
            <v>0</v>
          </cell>
          <cell r="T51">
            <v>768.29399999999998</v>
          </cell>
          <cell r="U51">
            <v>718.35489000000007</v>
          </cell>
          <cell r="V51">
            <v>2.5000000000000001E-3</v>
          </cell>
          <cell r="W51">
            <v>0</v>
          </cell>
          <cell r="X51">
            <v>-1.3999999999999999E-2</v>
          </cell>
          <cell r="Y51">
            <v>-2.5000000000000001E-2</v>
          </cell>
          <cell r="Z51">
            <v>6.4999999999999836E-2</v>
          </cell>
          <cell r="AA51">
            <v>1.4999999999999999E-2</v>
          </cell>
          <cell r="AB51">
            <v>0.01</v>
          </cell>
          <cell r="AC51">
            <v>1.800388195488722</v>
          </cell>
          <cell r="AD51">
            <v>0</v>
          </cell>
          <cell r="AE51">
            <v>-7.0265999999999993</v>
          </cell>
          <cell r="AF51">
            <v>-3.5549999999999997</v>
          </cell>
          <cell r="AG51">
            <v>49.939109999999872</v>
          </cell>
          <cell r="AH51">
            <v>10.939414568527919</v>
          </cell>
          <cell r="AI51">
            <v>7.2561100000000014</v>
          </cell>
          <cell r="AJ51">
            <v>59.353422764016521</v>
          </cell>
          <cell r="AK51">
            <v>777.70831276401657</v>
          </cell>
          <cell r="AL51" t="str">
            <v>1/13  Egy Comb</v>
          </cell>
          <cell r="AM51">
            <v>0</v>
          </cell>
          <cell r="AN51" t="str">
            <v>2/16  Egy Comb</v>
          </cell>
          <cell r="AO51" t="str">
            <v xml:space="preserve">1/14OE  </v>
          </cell>
          <cell r="AP51" t="str">
            <v>2/20  Gas Mer</v>
          </cell>
          <cell r="AQ51">
            <v>0</v>
          </cell>
          <cell r="AR51">
            <v>0</v>
          </cell>
          <cell r="AS51">
            <v>172.09</v>
          </cell>
          <cell r="AT51">
            <v>0</v>
          </cell>
          <cell r="AU51">
            <v>142.57</v>
          </cell>
          <cell r="AV51">
            <v>75.75</v>
          </cell>
          <cell r="AW51">
            <v>174</v>
          </cell>
          <cell r="AX51">
            <v>0</v>
          </cell>
          <cell r="AY51">
            <v>0</v>
          </cell>
          <cell r="AZ51">
            <v>86.371971000000002</v>
          </cell>
          <cell r="BA51">
            <v>20.273453999999997</v>
          </cell>
          <cell r="BB51">
            <v>6.9776354999999999</v>
          </cell>
          <cell r="BC51">
            <v>5.5819200000000002</v>
          </cell>
          <cell r="BD51">
            <v>0</v>
          </cell>
          <cell r="BE51">
            <v>0.27933999189849629</v>
          </cell>
          <cell r="BF51">
            <v>0</v>
          </cell>
          <cell r="BI51">
            <v>0</v>
          </cell>
          <cell r="BJ51">
            <v>1.6973094939213198</v>
          </cell>
          <cell r="BK51">
            <v>1.1258248158333335</v>
          </cell>
          <cell r="BL51">
            <v>3.1024743016531495</v>
          </cell>
          <cell r="BM51">
            <v>-4.5009704887218047E-2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-0.27348536421319797</v>
          </cell>
          <cell r="BS51">
            <v>0</v>
          </cell>
          <cell r="BT51">
            <v>-0.31849506910041603</v>
          </cell>
          <cell r="BU51">
            <v>159.19355715605374</v>
          </cell>
          <cell r="BV51">
            <v>-0.35596446700507617</v>
          </cell>
          <cell r="BW51">
            <v>158.83759268904868</v>
          </cell>
          <cell r="BX51">
            <v>170.26048893695585</v>
          </cell>
          <cell r="BY51">
            <v>-0.38071065989847708</v>
          </cell>
          <cell r="BZ51">
            <v>169.87977827705737</v>
          </cell>
          <cell r="CA51">
            <v>170.26048893695585</v>
          </cell>
          <cell r="CB51">
            <v>-0.44336730150248715</v>
          </cell>
          <cell r="CC51">
            <v>169.81712163545336</v>
          </cell>
          <cell r="CD51">
            <v>7.0265999999999993</v>
          </cell>
          <cell r="CE51">
            <v>200</v>
          </cell>
          <cell r="CF51">
            <v>1.9563032417027186</v>
          </cell>
          <cell r="CG51">
            <v>3.5549999999999997</v>
          </cell>
          <cell r="CH51">
            <v>140</v>
          </cell>
          <cell r="CI51">
            <v>0.69283303688515285</v>
          </cell>
          <cell r="CJ51">
            <v>2.6491362785878714</v>
          </cell>
          <cell r="CK51">
            <v>0.62881175626158803</v>
          </cell>
          <cell r="CL51">
            <v>0.17815706662761072</v>
          </cell>
          <cell r="CM51">
            <v>2.8877005347593578</v>
          </cell>
          <cell r="CN51">
            <v>3.6946693576485563</v>
          </cell>
          <cell r="CO51">
            <v>1.3065310935657444E-2</v>
          </cell>
          <cell r="CP51">
            <v>1.2727272727272727</v>
          </cell>
          <cell r="CQ51">
            <v>1.2857925836629303</v>
          </cell>
          <cell r="CR51">
            <v>4.22</v>
          </cell>
          <cell r="CS51">
            <v>9.7200000000000006</v>
          </cell>
          <cell r="CT51">
            <v>13.19</v>
          </cell>
          <cell r="CU51">
            <v>0</v>
          </cell>
          <cell r="CV51">
            <v>204.57671985535271</v>
          </cell>
        </row>
        <row r="52">
          <cell r="K52" t="str">
            <v>ExportLNTManorUSABath76x147D</v>
          </cell>
          <cell r="L52">
            <v>0</v>
          </cell>
          <cell r="M52">
            <v>501.9</v>
          </cell>
          <cell r="N52">
            <v>0</v>
          </cell>
          <cell r="O52">
            <v>142.19999999999999</v>
          </cell>
          <cell r="P52">
            <v>92.114000000000004</v>
          </cell>
          <cell r="Q52">
            <v>32.08</v>
          </cell>
          <cell r="R52">
            <v>0</v>
          </cell>
          <cell r="S52">
            <v>0</v>
          </cell>
          <cell r="T52">
            <v>768.29399999999998</v>
          </cell>
          <cell r="U52">
            <v>718.35489000000007</v>
          </cell>
          <cell r="V52">
            <v>2.5000000000000001E-3</v>
          </cell>
          <cell r="W52">
            <v>0</v>
          </cell>
          <cell r="X52">
            <v>-1.3999999999999999E-2</v>
          </cell>
          <cell r="Y52">
            <v>-2.5000000000000001E-2</v>
          </cell>
          <cell r="Z52">
            <v>6.4999999999999836E-2</v>
          </cell>
          <cell r="AA52">
            <v>1.4999999999999999E-2</v>
          </cell>
          <cell r="AB52">
            <v>0.01</v>
          </cell>
          <cell r="AC52">
            <v>1.800388195488722</v>
          </cell>
          <cell r="AD52">
            <v>0</v>
          </cell>
          <cell r="AE52">
            <v>-7.0265999999999993</v>
          </cell>
          <cell r="AF52">
            <v>-3.5549999999999997</v>
          </cell>
          <cell r="AG52">
            <v>49.939109999999872</v>
          </cell>
          <cell r="AH52">
            <v>10.939414568527919</v>
          </cell>
          <cell r="AI52">
            <v>7.2561100000000014</v>
          </cell>
          <cell r="AJ52">
            <v>59.353422764016521</v>
          </cell>
          <cell r="AK52">
            <v>777.70831276401657</v>
          </cell>
          <cell r="AL52" t="str">
            <v>1/13  Egy Comb</v>
          </cell>
          <cell r="AM52">
            <v>0</v>
          </cell>
          <cell r="AN52" t="str">
            <v>2/16  Egy Comb</v>
          </cell>
          <cell r="AO52" t="str">
            <v xml:space="preserve">1/14OE  </v>
          </cell>
          <cell r="AP52" t="str">
            <v>2/20  Gas Mer</v>
          </cell>
          <cell r="AQ52">
            <v>0</v>
          </cell>
          <cell r="AR52">
            <v>0</v>
          </cell>
          <cell r="AS52">
            <v>172.09</v>
          </cell>
          <cell r="AT52">
            <v>0</v>
          </cell>
          <cell r="AU52">
            <v>142.57</v>
          </cell>
          <cell r="AV52">
            <v>75.75</v>
          </cell>
          <cell r="AW52">
            <v>174</v>
          </cell>
          <cell r="AX52">
            <v>0</v>
          </cell>
          <cell r="AY52">
            <v>0</v>
          </cell>
          <cell r="AZ52">
            <v>86.371971000000002</v>
          </cell>
          <cell r="BA52">
            <v>20.273453999999997</v>
          </cell>
          <cell r="BB52">
            <v>6.9776354999999999</v>
          </cell>
          <cell r="BC52">
            <v>5.5819200000000002</v>
          </cell>
          <cell r="BD52">
            <v>0</v>
          </cell>
          <cell r="BE52">
            <v>0.27933999189849629</v>
          </cell>
          <cell r="BF52">
            <v>0</v>
          </cell>
          <cell r="BI52">
            <v>0</v>
          </cell>
          <cell r="BJ52">
            <v>1.6973094939213198</v>
          </cell>
          <cell r="BK52">
            <v>1.1258248158333335</v>
          </cell>
          <cell r="BL52">
            <v>3.1024743016531495</v>
          </cell>
          <cell r="BM52">
            <v>-4.5009704887218047E-2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-0.27348536421319797</v>
          </cell>
          <cell r="BS52">
            <v>0</v>
          </cell>
          <cell r="BT52">
            <v>-0.31849506910041603</v>
          </cell>
          <cell r="BU52">
            <v>159.19355715605374</v>
          </cell>
          <cell r="BV52">
            <v>-0.35596446700507617</v>
          </cell>
          <cell r="BW52">
            <v>158.83759268904868</v>
          </cell>
          <cell r="BX52">
            <v>170.26048893695585</v>
          </cell>
          <cell r="BY52">
            <v>-0.38071065989847708</v>
          </cell>
          <cell r="BZ52">
            <v>169.87977827705737</v>
          </cell>
          <cell r="CA52">
            <v>170.26048893695585</v>
          </cell>
          <cell r="CB52">
            <v>-0.44336730150248715</v>
          </cell>
          <cell r="CC52">
            <v>169.81712163545336</v>
          </cell>
          <cell r="CD52">
            <v>7.0265999999999993</v>
          </cell>
          <cell r="CE52">
            <v>200</v>
          </cell>
          <cell r="CF52">
            <v>1.9563032417027186</v>
          </cell>
          <cell r="CG52">
            <v>3.5549999999999997</v>
          </cell>
          <cell r="CH52">
            <v>140</v>
          </cell>
          <cell r="CI52">
            <v>0.69283303688515285</v>
          </cell>
          <cell r="CJ52">
            <v>2.6491362785878714</v>
          </cell>
          <cell r="CK52">
            <v>0.62881175626158803</v>
          </cell>
          <cell r="CL52">
            <v>0.17815706662761072</v>
          </cell>
          <cell r="CM52">
            <v>2.8877005347593578</v>
          </cell>
          <cell r="CN52">
            <v>3.6946693576485563</v>
          </cell>
          <cell r="CO52">
            <v>1.3065310935657444E-2</v>
          </cell>
          <cell r="CP52">
            <v>1.2727272727272727</v>
          </cell>
          <cell r="CQ52">
            <v>1.2857925836629303</v>
          </cell>
          <cell r="CR52">
            <v>14.66</v>
          </cell>
          <cell r="CS52">
            <v>9.98</v>
          </cell>
          <cell r="CT52">
            <v>13.19</v>
          </cell>
          <cell r="CU52">
            <v>0</v>
          </cell>
          <cell r="CV52">
            <v>215.27671985535272</v>
          </cell>
        </row>
        <row r="53">
          <cell r="K53" t="str">
            <v>ExportLNTManorUSAHand51x76L</v>
          </cell>
          <cell r="L53">
            <v>0</v>
          </cell>
          <cell r="M53">
            <v>160.51</v>
          </cell>
          <cell r="N53">
            <v>0</v>
          </cell>
          <cell r="O53">
            <v>50.42</v>
          </cell>
          <cell r="P53">
            <v>36.08</v>
          </cell>
          <cell r="Q53">
            <v>15.79</v>
          </cell>
          <cell r="R53">
            <v>0</v>
          </cell>
          <cell r="S53">
            <v>0</v>
          </cell>
          <cell r="T53">
            <v>262.8</v>
          </cell>
          <cell r="U53">
            <v>245.71800000000002</v>
          </cell>
          <cell r="V53">
            <v>2.5000000000000001E-3</v>
          </cell>
          <cell r="W53">
            <v>0</v>
          </cell>
          <cell r="X53">
            <v>-1.3999999999999999E-2</v>
          </cell>
          <cell r="Y53">
            <v>-2.5000000000000001E-2</v>
          </cell>
          <cell r="Z53">
            <v>6.4999999999999947E-2</v>
          </cell>
          <cell r="AA53">
            <v>1.4999999999999999E-2</v>
          </cell>
          <cell r="AB53">
            <v>0.01</v>
          </cell>
          <cell r="AC53">
            <v>0.6158345864661654</v>
          </cell>
          <cell r="AD53">
            <v>0</v>
          </cell>
          <cell r="AE53">
            <v>-2.2471399999999995</v>
          </cell>
          <cell r="AF53">
            <v>-1.2605000000000002</v>
          </cell>
          <cell r="AG53">
            <v>17.081999999999987</v>
          </cell>
          <cell r="AH53">
            <v>3.7418984771573607</v>
          </cell>
          <cell r="AI53">
            <v>2.4820000000000002</v>
          </cell>
          <cell r="AJ53">
            <v>20.414093063623511</v>
          </cell>
          <cell r="AK53">
            <v>266.13209306362353</v>
          </cell>
          <cell r="AL53" t="str">
            <v>1/13  Egy Comb</v>
          </cell>
          <cell r="AM53">
            <v>0</v>
          </cell>
          <cell r="AN53" t="str">
            <v>2/16  Egy Comb</v>
          </cell>
          <cell r="AO53" t="str">
            <v xml:space="preserve">1/14OE  </v>
          </cell>
          <cell r="AP53" t="str">
            <v>2/20  Gas Mer</v>
          </cell>
          <cell r="AQ53">
            <v>0</v>
          </cell>
          <cell r="AR53">
            <v>0</v>
          </cell>
          <cell r="AS53">
            <v>172.09</v>
          </cell>
          <cell r="AT53">
            <v>0</v>
          </cell>
          <cell r="AU53">
            <v>142.57</v>
          </cell>
          <cell r="AV53">
            <v>75.75</v>
          </cell>
          <cell r="AW53">
            <v>174</v>
          </cell>
          <cell r="AX53">
            <v>0</v>
          </cell>
          <cell r="AY53">
            <v>0</v>
          </cell>
          <cell r="AZ53">
            <v>27.622165899999999</v>
          </cell>
          <cell r="BA53">
            <v>7.1883793999999996</v>
          </cell>
          <cell r="BB53">
            <v>2.73306</v>
          </cell>
          <cell r="BC53">
            <v>2.7474600000000002</v>
          </cell>
          <cell r="BD53">
            <v>0</v>
          </cell>
          <cell r="BE53">
            <v>9.4416406154135324E-2</v>
          </cell>
          <cell r="BF53">
            <v>0</v>
          </cell>
          <cell r="BI53">
            <v>0</v>
          </cell>
          <cell r="BJ53">
            <v>0.5736875033832487</v>
          </cell>
          <cell r="BK53">
            <v>0.3805267278333333</v>
          </cell>
          <cell r="BL53">
            <v>1.0486306373707173</v>
          </cell>
          <cell r="BM53">
            <v>-1.5395864661654135E-2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-9.3547461928934011E-2</v>
          </cell>
          <cell r="BS53">
            <v>0</v>
          </cell>
          <cell r="BT53">
            <v>-0.10894332659058814</v>
          </cell>
          <cell r="BU53">
            <v>157.30477906153243</v>
          </cell>
          <cell r="BV53">
            <v>-0.35596446700507611</v>
          </cell>
          <cell r="BW53">
            <v>156.94881459452736</v>
          </cell>
          <cell r="BX53">
            <v>168.24040541340366</v>
          </cell>
          <cell r="BY53">
            <v>-0.38071065989847713</v>
          </cell>
          <cell r="BZ53">
            <v>167.85969475350518</v>
          </cell>
          <cell r="CA53">
            <v>168.24040541340366</v>
          </cell>
          <cell r="CB53">
            <v>-0.4433673015024871</v>
          </cell>
          <cell r="CC53">
            <v>167.79703811190117</v>
          </cell>
          <cell r="CD53">
            <v>2.2471399999999995</v>
          </cell>
          <cell r="CE53">
            <v>200</v>
          </cell>
          <cell r="CF53">
            <v>1.8290397935845151</v>
          </cell>
          <cell r="CG53">
            <v>1.2605000000000002</v>
          </cell>
          <cell r="CH53">
            <v>140</v>
          </cell>
          <cell r="CI53">
            <v>0.71818100424063358</v>
          </cell>
          <cell r="CJ53">
            <v>2.5472207978251484</v>
          </cell>
          <cell r="CK53">
            <v>0.58790564793787992</v>
          </cell>
          <cell r="CL53">
            <v>0.18467511537616291</v>
          </cell>
          <cell r="CM53">
            <v>2.8877005347593578</v>
          </cell>
          <cell r="CN53">
            <v>3.6602812980734005</v>
          </cell>
          <cell r="CO53">
            <v>1.2215372907153728E-2</v>
          </cell>
          <cell r="CP53">
            <v>1.2727272727272729</v>
          </cell>
          <cell r="CQ53">
            <v>1.2849426456344266</v>
          </cell>
          <cell r="CR53">
            <v>1.21</v>
          </cell>
          <cell r="CS53">
            <v>9.81</v>
          </cell>
          <cell r="CT53">
            <v>15.63</v>
          </cell>
          <cell r="CU53">
            <v>0</v>
          </cell>
          <cell r="CV53">
            <v>201.93948285343419</v>
          </cell>
        </row>
        <row r="54">
          <cell r="K54" t="str">
            <v>ExportLNTManorUSAHand51x76M</v>
          </cell>
          <cell r="L54">
            <v>0</v>
          </cell>
          <cell r="M54">
            <v>160.51</v>
          </cell>
          <cell r="N54">
            <v>0</v>
          </cell>
          <cell r="O54">
            <v>50.42</v>
          </cell>
          <cell r="P54">
            <v>36.08</v>
          </cell>
          <cell r="Q54">
            <v>15.79</v>
          </cell>
          <cell r="R54">
            <v>0</v>
          </cell>
          <cell r="S54">
            <v>0</v>
          </cell>
          <cell r="T54">
            <v>262.8</v>
          </cell>
          <cell r="U54">
            <v>245.71800000000002</v>
          </cell>
          <cell r="V54">
            <v>2.5000000000000001E-3</v>
          </cell>
          <cell r="W54">
            <v>0</v>
          </cell>
          <cell r="X54">
            <v>-1.3999999999999999E-2</v>
          </cell>
          <cell r="Y54">
            <v>-2.5000000000000001E-2</v>
          </cell>
          <cell r="Z54">
            <v>6.4999999999999947E-2</v>
          </cell>
          <cell r="AA54">
            <v>1.4999999999999999E-2</v>
          </cell>
          <cell r="AB54">
            <v>0.01</v>
          </cell>
          <cell r="AC54">
            <v>0.6158345864661654</v>
          </cell>
          <cell r="AD54">
            <v>0</v>
          </cell>
          <cell r="AE54">
            <v>-2.2471399999999995</v>
          </cell>
          <cell r="AF54">
            <v>-1.2605000000000002</v>
          </cell>
          <cell r="AG54">
            <v>17.081999999999987</v>
          </cell>
          <cell r="AH54">
            <v>3.7418984771573607</v>
          </cell>
          <cell r="AI54">
            <v>2.4820000000000002</v>
          </cell>
          <cell r="AJ54">
            <v>20.414093063623511</v>
          </cell>
          <cell r="AK54">
            <v>266.13209306362353</v>
          </cell>
          <cell r="AL54" t="str">
            <v>1/13  Egy Comb</v>
          </cell>
          <cell r="AM54">
            <v>0</v>
          </cell>
          <cell r="AN54" t="str">
            <v>2/16  Egy Comb</v>
          </cell>
          <cell r="AO54" t="str">
            <v xml:space="preserve">1/14OE  </v>
          </cell>
          <cell r="AP54" t="str">
            <v>2/20  Gas Mer</v>
          </cell>
          <cell r="AQ54">
            <v>0</v>
          </cell>
          <cell r="AR54">
            <v>0</v>
          </cell>
          <cell r="AS54">
            <v>172.09</v>
          </cell>
          <cell r="AT54">
            <v>0</v>
          </cell>
          <cell r="AU54">
            <v>142.57</v>
          </cell>
          <cell r="AV54">
            <v>75.75</v>
          </cell>
          <cell r="AW54">
            <v>174</v>
          </cell>
          <cell r="AX54">
            <v>0</v>
          </cell>
          <cell r="AY54">
            <v>0</v>
          </cell>
          <cell r="AZ54">
            <v>27.622165899999999</v>
          </cell>
          <cell r="BA54">
            <v>7.1883793999999996</v>
          </cell>
          <cell r="BB54">
            <v>2.73306</v>
          </cell>
          <cell r="BC54">
            <v>2.7474600000000002</v>
          </cell>
          <cell r="BD54">
            <v>0</v>
          </cell>
          <cell r="BE54">
            <v>9.4416406154135324E-2</v>
          </cell>
          <cell r="BF54">
            <v>0</v>
          </cell>
          <cell r="BI54">
            <v>0</v>
          </cell>
          <cell r="BJ54">
            <v>0.5736875033832487</v>
          </cell>
          <cell r="BK54">
            <v>0.3805267278333333</v>
          </cell>
          <cell r="BL54">
            <v>1.0486306373707173</v>
          </cell>
          <cell r="BM54">
            <v>-1.5395864661654135E-2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-9.3547461928934011E-2</v>
          </cell>
          <cell r="BS54">
            <v>0</v>
          </cell>
          <cell r="BT54">
            <v>-0.10894332659058814</v>
          </cell>
          <cell r="BU54">
            <v>157.30477906153243</v>
          </cell>
          <cell r="BV54">
            <v>-0.35596446700507611</v>
          </cell>
          <cell r="BW54">
            <v>156.94881459452736</v>
          </cell>
          <cell r="BX54">
            <v>168.24040541340366</v>
          </cell>
          <cell r="BY54">
            <v>-0.38071065989847713</v>
          </cell>
          <cell r="BZ54">
            <v>167.85969475350518</v>
          </cell>
          <cell r="CA54">
            <v>168.24040541340366</v>
          </cell>
          <cell r="CB54">
            <v>-0.4433673015024871</v>
          </cell>
          <cell r="CC54">
            <v>167.79703811190117</v>
          </cell>
          <cell r="CD54">
            <v>2.2471399999999995</v>
          </cell>
          <cell r="CE54">
            <v>200</v>
          </cell>
          <cell r="CF54">
            <v>1.8290397935845151</v>
          </cell>
          <cell r="CG54">
            <v>1.2605000000000002</v>
          </cell>
          <cell r="CH54">
            <v>140</v>
          </cell>
          <cell r="CI54">
            <v>0.71818100424063358</v>
          </cell>
          <cell r="CJ54">
            <v>2.5472207978251484</v>
          </cell>
          <cell r="CK54">
            <v>0.58790564793787992</v>
          </cell>
          <cell r="CL54">
            <v>0.18467511537616291</v>
          </cell>
          <cell r="CM54">
            <v>2.8877005347593578</v>
          </cell>
          <cell r="CN54">
            <v>3.6602812980734005</v>
          </cell>
          <cell r="CO54">
            <v>1.2215372907153728E-2</v>
          </cell>
          <cell r="CP54">
            <v>1.2727272727272729</v>
          </cell>
          <cell r="CQ54">
            <v>1.2849426456344266</v>
          </cell>
          <cell r="CR54">
            <v>4.22</v>
          </cell>
          <cell r="CS54">
            <v>9.7200000000000006</v>
          </cell>
          <cell r="CT54">
            <v>15.63</v>
          </cell>
          <cell r="CU54">
            <v>0</v>
          </cell>
          <cell r="CV54">
            <v>204.85948285343417</v>
          </cell>
        </row>
        <row r="55">
          <cell r="K55" t="str">
            <v>ExportLNTManorUSAHand51x76D</v>
          </cell>
          <cell r="L55">
            <v>0</v>
          </cell>
          <cell r="M55">
            <v>160.51</v>
          </cell>
          <cell r="N55">
            <v>0</v>
          </cell>
          <cell r="O55">
            <v>50.42</v>
          </cell>
          <cell r="P55">
            <v>36.08</v>
          </cell>
          <cell r="Q55">
            <v>15.79</v>
          </cell>
          <cell r="R55">
            <v>0</v>
          </cell>
          <cell r="S55">
            <v>0</v>
          </cell>
          <cell r="T55">
            <v>262.8</v>
          </cell>
          <cell r="U55">
            <v>245.71800000000002</v>
          </cell>
          <cell r="V55">
            <v>2.5000000000000001E-3</v>
          </cell>
          <cell r="W55">
            <v>0</v>
          </cell>
          <cell r="X55">
            <v>-1.3999999999999999E-2</v>
          </cell>
          <cell r="Y55">
            <v>-2.5000000000000001E-2</v>
          </cell>
          <cell r="Z55">
            <v>6.4999999999999947E-2</v>
          </cell>
          <cell r="AA55">
            <v>1.4999999999999999E-2</v>
          </cell>
          <cell r="AB55">
            <v>0.01</v>
          </cell>
          <cell r="AC55">
            <v>0.6158345864661654</v>
          </cell>
          <cell r="AD55">
            <v>0</v>
          </cell>
          <cell r="AE55">
            <v>-2.2471399999999995</v>
          </cell>
          <cell r="AF55">
            <v>-1.2605000000000002</v>
          </cell>
          <cell r="AG55">
            <v>17.081999999999987</v>
          </cell>
          <cell r="AH55">
            <v>3.7418984771573607</v>
          </cell>
          <cell r="AI55">
            <v>2.4820000000000002</v>
          </cell>
          <cell r="AJ55">
            <v>20.414093063623511</v>
          </cell>
          <cell r="AK55">
            <v>266.13209306362353</v>
          </cell>
          <cell r="AL55" t="str">
            <v>1/13  Egy Comb</v>
          </cell>
          <cell r="AM55">
            <v>0</v>
          </cell>
          <cell r="AN55" t="str">
            <v>2/16  Egy Comb</v>
          </cell>
          <cell r="AO55" t="str">
            <v xml:space="preserve">1/14OE  </v>
          </cell>
          <cell r="AP55" t="str">
            <v>2/20  Gas Mer</v>
          </cell>
          <cell r="AQ55">
            <v>0</v>
          </cell>
          <cell r="AR55">
            <v>0</v>
          </cell>
          <cell r="AS55">
            <v>172.09</v>
          </cell>
          <cell r="AT55">
            <v>0</v>
          </cell>
          <cell r="AU55">
            <v>142.57</v>
          </cell>
          <cell r="AV55">
            <v>75.75</v>
          </cell>
          <cell r="AW55">
            <v>174</v>
          </cell>
          <cell r="AX55">
            <v>0</v>
          </cell>
          <cell r="AY55">
            <v>0</v>
          </cell>
          <cell r="AZ55">
            <v>27.622165899999999</v>
          </cell>
          <cell r="BA55">
            <v>7.1883793999999996</v>
          </cell>
          <cell r="BB55">
            <v>2.73306</v>
          </cell>
          <cell r="BC55">
            <v>2.7474600000000002</v>
          </cell>
          <cell r="BD55">
            <v>0</v>
          </cell>
          <cell r="BE55">
            <v>9.4416406154135324E-2</v>
          </cell>
          <cell r="BF55">
            <v>0</v>
          </cell>
          <cell r="BI55">
            <v>0</v>
          </cell>
          <cell r="BJ55">
            <v>0.5736875033832487</v>
          </cell>
          <cell r="BK55">
            <v>0.3805267278333333</v>
          </cell>
          <cell r="BL55">
            <v>1.0486306373707173</v>
          </cell>
          <cell r="BM55">
            <v>-1.5395864661654135E-2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-9.3547461928934011E-2</v>
          </cell>
          <cell r="BS55">
            <v>0</v>
          </cell>
          <cell r="BT55">
            <v>-0.10894332659058814</v>
          </cell>
          <cell r="BU55">
            <v>157.30477906153243</v>
          </cell>
          <cell r="BV55">
            <v>-0.35596446700507611</v>
          </cell>
          <cell r="BW55">
            <v>156.94881459452736</v>
          </cell>
          <cell r="BX55">
            <v>168.24040541340366</v>
          </cell>
          <cell r="BY55">
            <v>-0.38071065989847713</v>
          </cell>
          <cell r="BZ55">
            <v>167.85969475350518</v>
          </cell>
          <cell r="CA55">
            <v>168.24040541340366</v>
          </cell>
          <cell r="CB55">
            <v>-0.4433673015024871</v>
          </cell>
          <cell r="CC55">
            <v>167.79703811190117</v>
          </cell>
          <cell r="CD55">
            <v>2.2471399999999995</v>
          </cell>
          <cell r="CE55">
            <v>200</v>
          </cell>
          <cell r="CF55">
            <v>1.8290397935845151</v>
          </cell>
          <cell r="CG55">
            <v>1.2605000000000002</v>
          </cell>
          <cell r="CH55">
            <v>140</v>
          </cell>
          <cell r="CI55">
            <v>0.71818100424063358</v>
          </cell>
          <cell r="CJ55">
            <v>2.5472207978251484</v>
          </cell>
          <cell r="CK55">
            <v>0.58790564793787992</v>
          </cell>
          <cell r="CL55">
            <v>0.18467511537616291</v>
          </cell>
          <cell r="CM55">
            <v>2.8877005347593578</v>
          </cell>
          <cell r="CN55">
            <v>3.6602812980734005</v>
          </cell>
          <cell r="CO55">
            <v>1.2215372907153728E-2</v>
          </cell>
          <cell r="CP55">
            <v>1.2727272727272729</v>
          </cell>
          <cell r="CQ55">
            <v>1.2849426456344266</v>
          </cell>
          <cell r="CR55">
            <v>14.66</v>
          </cell>
          <cell r="CS55">
            <v>9.98</v>
          </cell>
          <cell r="CT55">
            <v>15.63</v>
          </cell>
          <cell r="CU55">
            <v>0</v>
          </cell>
          <cell r="CV55">
            <v>215.55948285343419</v>
          </cell>
        </row>
        <row r="56">
          <cell r="K56" t="str">
            <v>ExportLNTManorUSAWash33x33L</v>
          </cell>
          <cell r="L56">
            <v>0</v>
          </cell>
          <cell r="M56">
            <v>39.29</v>
          </cell>
          <cell r="N56">
            <v>0</v>
          </cell>
          <cell r="O56">
            <v>15.6</v>
          </cell>
          <cell r="P56">
            <v>10.439</v>
          </cell>
          <cell r="Q56">
            <v>3.2650000000000001</v>
          </cell>
          <cell r="R56">
            <v>0</v>
          </cell>
          <cell r="S56">
            <v>0</v>
          </cell>
          <cell r="T56">
            <v>68.594000000000008</v>
          </cell>
          <cell r="U56">
            <v>60.36272000000001</v>
          </cell>
          <cell r="V56">
            <v>2.5000000000000001E-3</v>
          </cell>
          <cell r="W56">
            <v>0</v>
          </cell>
          <cell r="X56">
            <v>-1.3999999999999999E-2</v>
          </cell>
          <cell r="Y56">
            <v>-2.5000000000000001E-2</v>
          </cell>
          <cell r="Z56">
            <v>0.12</v>
          </cell>
          <cell r="AA56">
            <v>1.4999999999999999E-2</v>
          </cell>
          <cell r="AB56">
            <v>0.01</v>
          </cell>
          <cell r="AC56">
            <v>0.15128501253132834</v>
          </cell>
          <cell r="AD56">
            <v>0</v>
          </cell>
          <cell r="AE56">
            <v>-0.55005999999999988</v>
          </cell>
          <cell r="AF56">
            <v>-0.39</v>
          </cell>
          <cell r="AG56">
            <v>8.2312799999999999</v>
          </cell>
          <cell r="AH56">
            <v>0.91922923857868033</v>
          </cell>
          <cell r="AI56">
            <v>0.60972444444444462</v>
          </cell>
          <cell r="AJ56">
            <v>8.9714586955544533</v>
          </cell>
          <cell r="AK56">
            <v>69.334178695554471</v>
          </cell>
          <cell r="AL56" t="str">
            <v>1/13  Egy Comb</v>
          </cell>
          <cell r="AM56">
            <v>0</v>
          </cell>
          <cell r="AN56" t="str">
            <v>2/16  Egy Comb</v>
          </cell>
          <cell r="AO56" t="str">
            <v xml:space="preserve">1/14OE  </v>
          </cell>
          <cell r="AP56" t="str">
            <v>2/20  Gas Mer</v>
          </cell>
          <cell r="AQ56">
            <v>0</v>
          </cell>
          <cell r="AR56">
            <v>0</v>
          </cell>
          <cell r="AS56">
            <v>172.09</v>
          </cell>
          <cell r="AT56">
            <v>0</v>
          </cell>
          <cell r="AU56">
            <v>142.57</v>
          </cell>
          <cell r="AV56">
            <v>75.75</v>
          </cell>
          <cell r="AW56">
            <v>174</v>
          </cell>
          <cell r="AX56">
            <v>0</v>
          </cell>
          <cell r="AY56">
            <v>0</v>
          </cell>
          <cell r="AZ56">
            <v>6.7614160999999999</v>
          </cell>
          <cell r="BA56">
            <v>2.2240919999999997</v>
          </cell>
          <cell r="BB56">
            <v>0.79075424999999999</v>
          </cell>
          <cell r="BC56">
            <v>0.56811</v>
          </cell>
          <cell r="BD56">
            <v>0</v>
          </cell>
          <cell r="BE56">
            <v>2.2814655809523812E-2</v>
          </cell>
          <cell r="BF56">
            <v>0</v>
          </cell>
          <cell r="BI56">
            <v>0</v>
          </cell>
          <cell r="BJ56">
            <v>0.13862509139086296</v>
          </cell>
          <cell r="BK56">
            <v>9.194997644444447E-2</v>
          </cell>
          <cell r="BL56">
            <v>0.25338972364483126</v>
          </cell>
          <cell r="BM56">
            <v>-3.7821253132832083E-3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-2.2980730964467008E-2</v>
          </cell>
          <cell r="BS56">
            <v>0</v>
          </cell>
          <cell r="BT56">
            <v>-2.6762856277750217E-2</v>
          </cell>
          <cell r="BU56">
            <v>154.49984070975347</v>
          </cell>
          <cell r="BV56">
            <v>-0.3350253807106599</v>
          </cell>
          <cell r="BW56">
            <v>154.16481532904282</v>
          </cell>
          <cell r="BX56">
            <v>175.56800080653804</v>
          </cell>
          <cell r="BY56">
            <v>-0.38071065989847713</v>
          </cell>
          <cell r="BZ56">
            <v>175.18729014663955</v>
          </cell>
          <cell r="CA56">
            <v>175.56800080653804</v>
          </cell>
          <cell r="CB56">
            <v>-0.44336730150248715</v>
          </cell>
          <cell r="CC56">
            <v>175.12463350503555</v>
          </cell>
          <cell r="CD56">
            <v>0.55005999999999988</v>
          </cell>
          <cell r="CE56">
            <v>200</v>
          </cell>
          <cell r="CF56">
            <v>1.8225156189118044</v>
          </cell>
          <cell r="CG56">
            <v>0.39</v>
          </cell>
          <cell r="CH56">
            <v>140</v>
          </cell>
          <cell r="CI56">
            <v>0.90453180373581565</v>
          </cell>
          <cell r="CJ56">
            <v>2.7270474226476198</v>
          </cell>
          <cell r="CK56">
            <v>0.58580859179308009</v>
          </cell>
          <cell r="CL56">
            <v>0.23259389238920972</v>
          </cell>
          <cell r="CM56">
            <v>3.0681818181818179</v>
          </cell>
          <cell r="CN56">
            <v>3.8865843023641076</v>
          </cell>
          <cell r="CO56">
            <v>1.2171800740589555E-2</v>
          </cell>
          <cell r="CP56">
            <v>1.3522727272727275</v>
          </cell>
          <cell r="CQ56">
            <v>1.3644445280133171</v>
          </cell>
          <cell r="CR56">
            <v>1.21</v>
          </cell>
          <cell r="CS56">
            <v>9.81</v>
          </cell>
          <cell r="CT56">
            <v>60.77</v>
          </cell>
          <cell r="CU56">
            <v>0</v>
          </cell>
          <cell r="CV56">
            <v>254.89270975806056</v>
          </cell>
        </row>
        <row r="57">
          <cell r="K57" t="str">
            <v>ExportLNTManorUSAWash33x33M</v>
          </cell>
          <cell r="L57">
            <v>0</v>
          </cell>
          <cell r="M57">
            <v>39.29</v>
          </cell>
          <cell r="N57">
            <v>0</v>
          </cell>
          <cell r="O57">
            <v>15.6</v>
          </cell>
          <cell r="P57">
            <v>10.439</v>
          </cell>
          <cell r="Q57">
            <v>3.2650000000000001</v>
          </cell>
          <cell r="R57">
            <v>0</v>
          </cell>
          <cell r="S57">
            <v>0</v>
          </cell>
          <cell r="T57">
            <v>68.594000000000008</v>
          </cell>
          <cell r="U57">
            <v>60.36272000000001</v>
          </cell>
          <cell r="V57">
            <v>2.5000000000000001E-3</v>
          </cell>
          <cell r="W57">
            <v>0</v>
          </cell>
          <cell r="X57">
            <v>-1.3999999999999999E-2</v>
          </cell>
          <cell r="Y57">
            <v>-2.5000000000000001E-2</v>
          </cell>
          <cell r="Z57">
            <v>0.12</v>
          </cell>
          <cell r="AA57">
            <v>1.4999999999999999E-2</v>
          </cell>
          <cell r="AB57">
            <v>0.01</v>
          </cell>
          <cell r="AC57">
            <v>0.15128501253132834</v>
          </cell>
          <cell r="AD57">
            <v>0</v>
          </cell>
          <cell r="AE57">
            <v>-0.55005999999999988</v>
          </cell>
          <cell r="AF57">
            <v>-0.39</v>
          </cell>
          <cell r="AG57">
            <v>8.2312799999999999</v>
          </cell>
          <cell r="AH57">
            <v>0.91922923857868033</v>
          </cell>
          <cell r="AI57">
            <v>0.60972444444444462</v>
          </cell>
          <cell r="AJ57">
            <v>8.9714586955544533</v>
          </cell>
          <cell r="AK57">
            <v>69.334178695554471</v>
          </cell>
          <cell r="AL57" t="str">
            <v>1/13  Egy Comb</v>
          </cell>
          <cell r="AM57">
            <v>0</v>
          </cell>
          <cell r="AN57" t="str">
            <v>2/16  Egy Comb</v>
          </cell>
          <cell r="AO57" t="str">
            <v xml:space="preserve">1/14OE  </v>
          </cell>
          <cell r="AP57" t="str">
            <v>2/20  Gas Mer</v>
          </cell>
          <cell r="AQ57">
            <v>0</v>
          </cell>
          <cell r="AR57">
            <v>0</v>
          </cell>
          <cell r="AS57">
            <v>172.09</v>
          </cell>
          <cell r="AT57">
            <v>0</v>
          </cell>
          <cell r="AU57">
            <v>142.57</v>
          </cell>
          <cell r="AV57">
            <v>75.75</v>
          </cell>
          <cell r="AW57">
            <v>174</v>
          </cell>
          <cell r="AX57">
            <v>0</v>
          </cell>
          <cell r="AY57">
            <v>0</v>
          </cell>
          <cell r="AZ57">
            <v>6.7614160999999999</v>
          </cell>
          <cell r="BA57">
            <v>2.2240919999999997</v>
          </cell>
          <cell r="BB57">
            <v>0.79075424999999999</v>
          </cell>
          <cell r="BC57">
            <v>0.56811</v>
          </cell>
          <cell r="BD57">
            <v>0</v>
          </cell>
          <cell r="BE57">
            <v>2.2814655809523812E-2</v>
          </cell>
          <cell r="BF57">
            <v>0</v>
          </cell>
          <cell r="BI57">
            <v>0</v>
          </cell>
          <cell r="BJ57">
            <v>0.13862509139086296</v>
          </cell>
          <cell r="BK57">
            <v>9.194997644444447E-2</v>
          </cell>
          <cell r="BL57">
            <v>0.25338972364483126</v>
          </cell>
          <cell r="BM57">
            <v>-3.7821253132832083E-3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-2.2980730964467008E-2</v>
          </cell>
          <cell r="BS57">
            <v>0</v>
          </cell>
          <cell r="BT57">
            <v>-2.6762856277750217E-2</v>
          </cell>
          <cell r="BU57">
            <v>154.49984070975347</v>
          </cell>
          <cell r="BV57">
            <v>-0.3350253807106599</v>
          </cell>
          <cell r="BW57">
            <v>154.16481532904282</v>
          </cell>
          <cell r="BX57">
            <v>175.56800080653804</v>
          </cell>
          <cell r="BY57">
            <v>-0.38071065989847713</v>
          </cell>
          <cell r="BZ57">
            <v>175.18729014663955</v>
          </cell>
          <cell r="CA57">
            <v>175.56800080653804</v>
          </cell>
          <cell r="CB57">
            <v>-0.44336730150248715</v>
          </cell>
          <cell r="CC57">
            <v>175.12463350503555</v>
          </cell>
          <cell r="CD57">
            <v>0.55005999999999988</v>
          </cell>
          <cell r="CE57">
            <v>200</v>
          </cell>
          <cell r="CF57">
            <v>1.8225156189118044</v>
          </cell>
          <cell r="CG57">
            <v>0.39</v>
          </cell>
          <cell r="CH57">
            <v>140</v>
          </cell>
          <cell r="CI57">
            <v>0.90453180373581565</v>
          </cell>
          <cell r="CJ57">
            <v>2.7270474226476198</v>
          </cell>
          <cell r="CK57">
            <v>0.58580859179308009</v>
          </cell>
          <cell r="CL57">
            <v>0.23259389238920972</v>
          </cell>
          <cell r="CM57">
            <v>3.0681818181818179</v>
          </cell>
          <cell r="CN57">
            <v>3.8865843023641076</v>
          </cell>
          <cell r="CO57">
            <v>1.2171800740589555E-2</v>
          </cell>
          <cell r="CP57">
            <v>1.3522727272727275</v>
          </cell>
          <cell r="CQ57">
            <v>1.3644445280133171</v>
          </cell>
          <cell r="CR57">
            <v>4.22</v>
          </cell>
          <cell r="CS57">
            <v>9.7200000000000006</v>
          </cell>
          <cell r="CT57">
            <v>60.77</v>
          </cell>
          <cell r="CU57">
            <v>0</v>
          </cell>
          <cell r="CV57">
            <v>257.81270975806058</v>
          </cell>
        </row>
        <row r="58">
          <cell r="K58" t="str">
            <v>ExportLNTManorUSAWash33x33D</v>
          </cell>
          <cell r="L58">
            <v>0</v>
          </cell>
          <cell r="M58">
            <v>39.29</v>
          </cell>
          <cell r="N58">
            <v>0</v>
          </cell>
          <cell r="O58">
            <v>15.6</v>
          </cell>
          <cell r="P58">
            <v>10.439</v>
          </cell>
          <cell r="Q58">
            <v>3.2650000000000001</v>
          </cell>
          <cell r="R58">
            <v>0</v>
          </cell>
          <cell r="S58">
            <v>0</v>
          </cell>
          <cell r="T58">
            <v>68.594000000000008</v>
          </cell>
          <cell r="U58">
            <v>60.36272000000001</v>
          </cell>
          <cell r="V58">
            <v>2.5000000000000001E-3</v>
          </cell>
          <cell r="W58">
            <v>0</v>
          </cell>
          <cell r="X58">
            <v>-1.3999999999999999E-2</v>
          </cell>
          <cell r="Y58">
            <v>-2.5000000000000001E-2</v>
          </cell>
          <cell r="Z58">
            <v>0.12</v>
          </cell>
          <cell r="AA58">
            <v>1.4999999999999999E-2</v>
          </cell>
          <cell r="AB58">
            <v>0.01</v>
          </cell>
          <cell r="AC58">
            <v>0.15128501253132834</v>
          </cell>
          <cell r="AD58">
            <v>0</v>
          </cell>
          <cell r="AE58">
            <v>-0.55005999999999988</v>
          </cell>
          <cell r="AF58">
            <v>-0.39</v>
          </cell>
          <cell r="AG58">
            <v>8.2312799999999999</v>
          </cell>
          <cell r="AH58">
            <v>0.91922923857868033</v>
          </cell>
          <cell r="AI58">
            <v>0.60972444444444462</v>
          </cell>
          <cell r="AJ58">
            <v>8.9714586955544533</v>
          </cell>
          <cell r="AK58">
            <v>69.334178695554471</v>
          </cell>
          <cell r="AL58" t="str">
            <v>1/13  Egy Comb</v>
          </cell>
          <cell r="AM58">
            <v>0</v>
          </cell>
          <cell r="AN58" t="str">
            <v>2/16  Egy Comb</v>
          </cell>
          <cell r="AO58" t="str">
            <v xml:space="preserve">1/14OE  </v>
          </cell>
          <cell r="AP58" t="str">
            <v>2/20  Gas Mer</v>
          </cell>
          <cell r="AQ58">
            <v>0</v>
          </cell>
          <cell r="AR58">
            <v>0</v>
          </cell>
          <cell r="AS58">
            <v>172.09</v>
          </cell>
          <cell r="AT58">
            <v>0</v>
          </cell>
          <cell r="AU58">
            <v>142.57</v>
          </cell>
          <cell r="AV58">
            <v>75.75</v>
          </cell>
          <cell r="AW58">
            <v>174</v>
          </cell>
          <cell r="AX58">
            <v>0</v>
          </cell>
          <cell r="AY58">
            <v>0</v>
          </cell>
          <cell r="AZ58">
            <v>6.7614160999999999</v>
          </cell>
          <cell r="BA58">
            <v>2.2240919999999997</v>
          </cell>
          <cell r="BB58">
            <v>0.79075424999999999</v>
          </cell>
          <cell r="BC58">
            <v>0.56811</v>
          </cell>
          <cell r="BD58">
            <v>0</v>
          </cell>
          <cell r="BE58">
            <v>2.2814655809523812E-2</v>
          </cell>
          <cell r="BF58">
            <v>0</v>
          </cell>
          <cell r="BI58">
            <v>0</v>
          </cell>
          <cell r="BJ58">
            <v>0.13862509139086296</v>
          </cell>
          <cell r="BK58">
            <v>9.194997644444447E-2</v>
          </cell>
          <cell r="BL58">
            <v>0.25338972364483126</v>
          </cell>
          <cell r="BM58">
            <v>-3.7821253132832083E-3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-2.2980730964467008E-2</v>
          </cell>
          <cell r="BS58">
            <v>0</v>
          </cell>
          <cell r="BT58">
            <v>-2.6762856277750217E-2</v>
          </cell>
          <cell r="BU58">
            <v>154.49984070975347</v>
          </cell>
          <cell r="BV58">
            <v>-0.3350253807106599</v>
          </cell>
          <cell r="BW58">
            <v>154.16481532904282</v>
          </cell>
          <cell r="BX58">
            <v>175.56800080653804</v>
          </cell>
          <cell r="BY58">
            <v>-0.38071065989847713</v>
          </cell>
          <cell r="BZ58">
            <v>175.18729014663955</v>
          </cell>
          <cell r="CA58">
            <v>175.56800080653804</v>
          </cell>
          <cell r="CB58">
            <v>-0.44336730150248715</v>
          </cell>
          <cell r="CC58">
            <v>175.12463350503555</v>
          </cell>
          <cell r="CD58">
            <v>0.55005999999999988</v>
          </cell>
          <cell r="CE58">
            <v>200</v>
          </cell>
          <cell r="CF58">
            <v>1.8225156189118044</v>
          </cell>
          <cell r="CG58">
            <v>0.39</v>
          </cell>
          <cell r="CH58">
            <v>140</v>
          </cell>
          <cell r="CI58">
            <v>0.90453180373581565</v>
          </cell>
          <cell r="CJ58">
            <v>2.7270474226476198</v>
          </cell>
          <cell r="CK58">
            <v>0.58580859179308009</v>
          </cell>
          <cell r="CL58">
            <v>0.23259389238920972</v>
          </cell>
          <cell r="CM58">
            <v>3.0681818181818179</v>
          </cell>
          <cell r="CN58">
            <v>3.8865843023641076</v>
          </cell>
          <cell r="CO58">
            <v>1.2171800740589555E-2</v>
          </cell>
          <cell r="CP58">
            <v>1.3522727272727275</v>
          </cell>
          <cell r="CQ58">
            <v>1.3644445280133171</v>
          </cell>
          <cell r="CR58">
            <v>14.66</v>
          </cell>
          <cell r="CS58">
            <v>9.98</v>
          </cell>
          <cell r="CT58">
            <v>60.77</v>
          </cell>
          <cell r="CU58">
            <v>0</v>
          </cell>
          <cell r="CV58">
            <v>268.51270975806057</v>
          </cell>
        </row>
        <row r="59">
          <cell r="K59" t="str">
            <v>ExportLNTNewUSABath76x147L</v>
          </cell>
          <cell r="L59">
            <v>0</v>
          </cell>
          <cell r="M59">
            <v>501.9</v>
          </cell>
          <cell r="N59">
            <v>0</v>
          </cell>
          <cell r="O59">
            <v>142.19999999999999</v>
          </cell>
          <cell r="P59">
            <v>92.114000000000004</v>
          </cell>
          <cell r="Q59">
            <v>32.08</v>
          </cell>
          <cell r="R59">
            <v>0</v>
          </cell>
          <cell r="S59">
            <v>0</v>
          </cell>
          <cell r="T59">
            <v>768.29399999999998</v>
          </cell>
          <cell r="U59">
            <v>718.35489000000007</v>
          </cell>
          <cell r="V59">
            <v>2.5000000000000001E-3</v>
          </cell>
          <cell r="W59">
            <v>0</v>
          </cell>
          <cell r="X59">
            <v>-1.3999999999999999E-2</v>
          </cell>
          <cell r="Y59">
            <v>-2.5000000000000001E-2</v>
          </cell>
          <cell r="Z59">
            <v>6.4999999999999836E-2</v>
          </cell>
          <cell r="AA59">
            <v>1.4999999999999999E-2</v>
          </cell>
          <cell r="AB59">
            <v>0.01</v>
          </cell>
          <cell r="AC59">
            <v>1.800388195488722</v>
          </cell>
          <cell r="AD59">
            <v>0</v>
          </cell>
          <cell r="AE59">
            <v>-7.0265999999999993</v>
          </cell>
          <cell r="AF59">
            <v>-3.5549999999999997</v>
          </cell>
          <cell r="AG59">
            <v>49.939109999999872</v>
          </cell>
          <cell r="AH59">
            <v>10.939414568527919</v>
          </cell>
          <cell r="AI59">
            <v>7.2561100000000014</v>
          </cell>
          <cell r="AJ59">
            <v>59.353422764016521</v>
          </cell>
          <cell r="AK59">
            <v>777.70831276401657</v>
          </cell>
          <cell r="AL59" t="str">
            <v>1/13  Egy Comb</v>
          </cell>
          <cell r="AM59">
            <v>0</v>
          </cell>
          <cell r="AN59" t="str">
            <v>2/16  Egy Comb</v>
          </cell>
          <cell r="AO59" t="str">
            <v xml:space="preserve">1/14OE  </v>
          </cell>
          <cell r="AP59" t="str">
            <v>2/20  Gas Mer</v>
          </cell>
          <cell r="AQ59">
            <v>0</v>
          </cell>
          <cell r="AR59">
            <v>0</v>
          </cell>
          <cell r="AS59">
            <v>172.09</v>
          </cell>
          <cell r="AT59">
            <v>0</v>
          </cell>
          <cell r="AU59">
            <v>142.57</v>
          </cell>
          <cell r="AV59">
            <v>75.75</v>
          </cell>
          <cell r="AW59">
            <v>174</v>
          </cell>
          <cell r="AX59">
            <v>0</v>
          </cell>
          <cell r="AY59">
            <v>0</v>
          </cell>
          <cell r="AZ59">
            <v>86.371971000000002</v>
          </cell>
          <cell r="BA59">
            <v>20.273453999999997</v>
          </cell>
          <cell r="BB59">
            <v>6.9776354999999999</v>
          </cell>
          <cell r="BC59">
            <v>5.5819200000000002</v>
          </cell>
          <cell r="BD59">
            <v>0</v>
          </cell>
          <cell r="BE59">
            <v>0.27933999189849629</v>
          </cell>
          <cell r="BF59">
            <v>0</v>
          </cell>
          <cell r="BI59">
            <v>0</v>
          </cell>
          <cell r="BJ59">
            <v>1.6973094939213198</v>
          </cell>
          <cell r="BK59">
            <v>1.1258248158333335</v>
          </cell>
          <cell r="BL59">
            <v>3.1024743016531495</v>
          </cell>
          <cell r="BM59">
            <v>-4.5009704887218047E-2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-0.27348536421319797</v>
          </cell>
          <cell r="BS59">
            <v>0</v>
          </cell>
          <cell r="BT59">
            <v>-0.31849506910041603</v>
          </cell>
          <cell r="BU59">
            <v>159.19355715605374</v>
          </cell>
          <cell r="BV59">
            <v>-0.35596446700507617</v>
          </cell>
          <cell r="BW59">
            <v>158.83759268904868</v>
          </cell>
          <cell r="BX59">
            <v>170.26048893695585</v>
          </cell>
          <cell r="BY59">
            <v>-0.38071065989847708</v>
          </cell>
          <cell r="BZ59">
            <v>169.87977827705737</v>
          </cell>
          <cell r="CA59">
            <v>170.26048893695585</v>
          </cell>
          <cell r="CB59">
            <v>-0.44336730150248715</v>
          </cell>
          <cell r="CC59">
            <v>169.81712163545336</v>
          </cell>
          <cell r="CD59">
            <v>7.0265999999999993</v>
          </cell>
          <cell r="CE59">
            <v>200</v>
          </cell>
          <cell r="CF59">
            <v>1.9563032417027186</v>
          </cell>
          <cell r="CG59">
            <v>3.5549999999999997</v>
          </cell>
          <cell r="CH59">
            <v>140</v>
          </cell>
          <cell r="CI59">
            <v>0.69283303688515285</v>
          </cell>
          <cell r="CJ59">
            <v>2.6491362785878714</v>
          </cell>
          <cell r="CK59">
            <v>0.62881175626158803</v>
          </cell>
          <cell r="CL59">
            <v>0.17815706662761072</v>
          </cell>
          <cell r="CM59">
            <v>2.8877005347593578</v>
          </cell>
          <cell r="CN59">
            <v>3.6946693576485563</v>
          </cell>
          <cell r="CO59">
            <v>1.3065310935657444E-2</v>
          </cell>
          <cell r="CP59">
            <v>1.2727272727272727</v>
          </cell>
          <cell r="CQ59">
            <v>1.2857925836629303</v>
          </cell>
          <cell r="CR59">
            <v>1.21</v>
          </cell>
          <cell r="CS59">
            <v>9.81</v>
          </cell>
          <cell r="CT59">
            <v>13.19</v>
          </cell>
          <cell r="CU59">
            <v>0</v>
          </cell>
          <cell r="CV59">
            <v>201.65671985535272</v>
          </cell>
        </row>
        <row r="60">
          <cell r="K60" t="str">
            <v>ExportLNTNewUSABath76x147M</v>
          </cell>
          <cell r="L60">
            <v>0</v>
          </cell>
          <cell r="M60">
            <v>501.9</v>
          </cell>
          <cell r="N60">
            <v>0</v>
          </cell>
          <cell r="O60">
            <v>142.19999999999999</v>
          </cell>
          <cell r="P60">
            <v>92.114000000000004</v>
          </cell>
          <cell r="Q60">
            <v>32.08</v>
          </cell>
          <cell r="R60">
            <v>0</v>
          </cell>
          <cell r="S60">
            <v>0</v>
          </cell>
          <cell r="T60">
            <v>768.29399999999998</v>
          </cell>
          <cell r="U60">
            <v>718.35489000000007</v>
          </cell>
          <cell r="V60">
            <v>2.5000000000000001E-3</v>
          </cell>
          <cell r="W60">
            <v>0</v>
          </cell>
          <cell r="X60">
            <v>-1.3999999999999999E-2</v>
          </cell>
          <cell r="Y60">
            <v>-2.5000000000000001E-2</v>
          </cell>
          <cell r="Z60">
            <v>6.4999999999999836E-2</v>
          </cell>
          <cell r="AA60">
            <v>1.4999999999999999E-2</v>
          </cell>
          <cell r="AB60">
            <v>0.01</v>
          </cell>
          <cell r="AC60">
            <v>1.800388195488722</v>
          </cell>
          <cell r="AD60">
            <v>0</v>
          </cell>
          <cell r="AE60">
            <v>-7.0265999999999993</v>
          </cell>
          <cell r="AF60">
            <v>-3.5549999999999997</v>
          </cell>
          <cell r="AG60">
            <v>49.939109999999872</v>
          </cell>
          <cell r="AH60">
            <v>10.939414568527919</v>
          </cell>
          <cell r="AI60">
            <v>7.2561100000000014</v>
          </cell>
          <cell r="AJ60">
            <v>59.353422764016521</v>
          </cell>
          <cell r="AK60">
            <v>777.70831276401657</v>
          </cell>
          <cell r="AL60" t="str">
            <v>1/13  Egy Comb</v>
          </cell>
          <cell r="AM60">
            <v>0</v>
          </cell>
          <cell r="AN60" t="str">
            <v>2/16  Egy Comb</v>
          </cell>
          <cell r="AO60" t="str">
            <v xml:space="preserve">1/14OE  </v>
          </cell>
          <cell r="AP60" t="str">
            <v>2/20  Gas Mer</v>
          </cell>
          <cell r="AQ60">
            <v>0</v>
          </cell>
          <cell r="AR60">
            <v>0</v>
          </cell>
          <cell r="AS60">
            <v>172.09</v>
          </cell>
          <cell r="AT60">
            <v>0</v>
          </cell>
          <cell r="AU60">
            <v>142.57</v>
          </cell>
          <cell r="AV60">
            <v>75.75</v>
          </cell>
          <cell r="AW60">
            <v>174</v>
          </cell>
          <cell r="AX60">
            <v>0</v>
          </cell>
          <cell r="AY60">
            <v>0</v>
          </cell>
          <cell r="AZ60">
            <v>86.371971000000002</v>
          </cell>
          <cell r="BA60">
            <v>20.273453999999997</v>
          </cell>
          <cell r="BB60">
            <v>6.9776354999999999</v>
          </cell>
          <cell r="BC60">
            <v>5.5819200000000002</v>
          </cell>
          <cell r="BD60">
            <v>0</v>
          </cell>
          <cell r="BE60">
            <v>0.27933999189849629</v>
          </cell>
          <cell r="BF60">
            <v>0</v>
          </cell>
          <cell r="BI60">
            <v>0</v>
          </cell>
          <cell r="BJ60">
            <v>1.6973094939213198</v>
          </cell>
          <cell r="BK60">
            <v>1.1258248158333335</v>
          </cell>
          <cell r="BL60">
            <v>3.1024743016531495</v>
          </cell>
          <cell r="BM60">
            <v>-4.5009704887218047E-2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-0.27348536421319797</v>
          </cell>
          <cell r="BS60">
            <v>0</v>
          </cell>
          <cell r="BT60">
            <v>-0.31849506910041603</v>
          </cell>
          <cell r="BU60">
            <v>159.19355715605374</v>
          </cell>
          <cell r="BV60">
            <v>-0.35596446700507617</v>
          </cell>
          <cell r="BW60">
            <v>158.83759268904868</v>
          </cell>
          <cell r="BX60">
            <v>170.26048893695585</v>
          </cell>
          <cell r="BY60">
            <v>-0.38071065989847708</v>
          </cell>
          <cell r="BZ60">
            <v>169.87977827705737</v>
          </cell>
          <cell r="CA60">
            <v>170.26048893695585</v>
          </cell>
          <cell r="CB60">
            <v>-0.44336730150248715</v>
          </cell>
          <cell r="CC60">
            <v>169.81712163545336</v>
          </cell>
          <cell r="CD60">
            <v>7.0265999999999993</v>
          </cell>
          <cell r="CE60">
            <v>200</v>
          </cell>
          <cell r="CF60">
            <v>1.9563032417027186</v>
          </cell>
          <cell r="CG60">
            <v>3.5549999999999997</v>
          </cell>
          <cell r="CH60">
            <v>140</v>
          </cell>
          <cell r="CI60">
            <v>0.69283303688515285</v>
          </cell>
          <cell r="CJ60">
            <v>2.6491362785878714</v>
          </cell>
          <cell r="CK60">
            <v>0.62881175626158803</v>
          </cell>
          <cell r="CL60">
            <v>0.17815706662761072</v>
          </cell>
          <cell r="CM60">
            <v>2.8877005347593578</v>
          </cell>
          <cell r="CN60">
            <v>3.6946693576485563</v>
          </cell>
          <cell r="CO60">
            <v>1.3065310935657444E-2</v>
          </cell>
          <cell r="CP60">
            <v>1.2727272727272727</v>
          </cell>
          <cell r="CQ60">
            <v>1.2857925836629303</v>
          </cell>
          <cell r="CR60">
            <v>4.22</v>
          </cell>
          <cell r="CS60">
            <v>9.7200000000000006</v>
          </cell>
          <cell r="CT60">
            <v>13.19</v>
          </cell>
          <cell r="CU60">
            <v>0</v>
          </cell>
          <cell r="CV60">
            <v>204.57671985535271</v>
          </cell>
        </row>
        <row r="61">
          <cell r="K61" t="str">
            <v>ExportLNTNewUSABath76x147D</v>
          </cell>
          <cell r="L61">
            <v>0</v>
          </cell>
          <cell r="M61">
            <v>501.9</v>
          </cell>
          <cell r="N61">
            <v>0</v>
          </cell>
          <cell r="O61">
            <v>142.19999999999999</v>
          </cell>
          <cell r="P61">
            <v>92.114000000000004</v>
          </cell>
          <cell r="Q61">
            <v>32.08</v>
          </cell>
          <cell r="R61">
            <v>0</v>
          </cell>
          <cell r="S61">
            <v>0</v>
          </cell>
          <cell r="T61">
            <v>768.29399999999998</v>
          </cell>
          <cell r="U61">
            <v>718.35489000000007</v>
          </cell>
          <cell r="V61">
            <v>2.5000000000000001E-3</v>
          </cell>
          <cell r="W61">
            <v>0</v>
          </cell>
          <cell r="X61">
            <v>-1.3999999999999999E-2</v>
          </cell>
          <cell r="Y61">
            <v>-2.5000000000000001E-2</v>
          </cell>
          <cell r="Z61">
            <v>6.4999999999999836E-2</v>
          </cell>
          <cell r="AA61">
            <v>1.4999999999999999E-2</v>
          </cell>
          <cell r="AB61">
            <v>0.01</v>
          </cell>
          <cell r="AC61">
            <v>1.800388195488722</v>
          </cell>
          <cell r="AD61">
            <v>0</v>
          </cell>
          <cell r="AE61">
            <v>-7.0265999999999993</v>
          </cell>
          <cell r="AF61">
            <v>-3.5549999999999997</v>
          </cell>
          <cell r="AG61">
            <v>49.939109999999872</v>
          </cell>
          <cell r="AH61">
            <v>10.939414568527919</v>
          </cell>
          <cell r="AI61">
            <v>7.2561100000000014</v>
          </cell>
          <cell r="AJ61">
            <v>59.353422764016521</v>
          </cell>
          <cell r="AK61">
            <v>777.70831276401657</v>
          </cell>
          <cell r="AL61" t="str">
            <v>1/13  Egy Comb</v>
          </cell>
          <cell r="AM61">
            <v>0</v>
          </cell>
          <cell r="AN61" t="str">
            <v>2/16  Egy Comb</v>
          </cell>
          <cell r="AO61" t="str">
            <v xml:space="preserve">1/14OE  </v>
          </cell>
          <cell r="AP61" t="str">
            <v>2/20  Gas Mer</v>
          </cell>
          <cell r="AQ61">
            <v>0</v>
          </cell>
          <cell r="AR61">
            <v>0</v>
          </cell>
          <cell r="AS61">
            <v>172.09</v>
          </cell>
          <cell r="AT61">
            <v>0</v>
          </cell>
          <cell r="AU61">
            <v>142.57</v>
          </cell>
          <cell r="AV61">
            <v>75.75</v>
          </cell>
          <cell r="AW61">
            <v>174</v>
          </cell>
          <cell r="AX61">
            <v>0</v>
          </cell>
          <cell r="AY61">
            <v>0</v>
          </cell>
          <cell r="AZ61">
            <v>86.371971000000002</v>
          </cell>
          <cell r="BA61">
            <v>20.273453999999997</v>
          </cell>
          <cell r="BB61">
            <v>6.9776354999999999</v>
          </cell>
          <cell r="BC61">
            <v>5.5819200000000002</v>
          </cell>
          <cell r="BD61">
            <v>0</v>
          </cell>
          <cell r="BE61">
            <v>0.27933999189849629</v>
          </cell>
          <cell r="BF61">
            <v>0</v>
          </cell>
          <cell r="BI61">
            <v>0</v>
          </cell>
          <cell r="BJ61">
            <v>1.6973094939213198</v>
          </cell>
          <cell r="BK61">
            <v>1.1258248158333335</v>
          </cell>
          <cell r="BL61">
            <v>3.1024743016531495</v>
          </cell>
          <cell r="BM61">
            <v>-4.5009704887218047E-2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-0.27348536421319797</v>
          </cell>
          <cell r="BS61">
            <v>0</v>
          </cell>
          <cell r="BT61">
            <v>-0.31849506910041603</v>
          </cell>
          <cell r="BU61">
            <v>159.19355715605374</v>
          </cell>
          <cell r="BV61">
            <v>-0.35596446700507617</v>
          </cell>
          <cell r="BW61">
            <v>158.83759268904868</v>
          </cell>
          <cell r="BX61">
            <v>170.26048893695585</v>
          </cell>
          <cell r="BY61">
            <v>-0.38071065989847708</v>
          </cell>
          <cell r="BZ61">
            <v>169.87977827705737</v>
          </cell>
          <cell r="CA61">
            <v>170.26048893695585</v>
          </cell>
          <cell r="CB61">
            <v>-0.44336730150248715</v>
          </cell>
          <cell r="CC61">
            <v>169.81712163545336</v>
          </cell>
          <cell r="CD61">
            <v>7.0265999999999993</v>
          </cell>
          <cell r="CE61">
            <v>200</v>
          </cell>
          <cell r="CF61">
            <v>1.9563032417027186</v>
          </cell>
          <cell r="CG61">
            <v>3.5549999999999997</v>
          </cell>
          <cell r="CH61">
            <v>140</v>
          </cell>
          <cell r="CI61">
            <v>0.69283303688515285</v>
          </cell>
          <cell r="CJ61">
            <v>2.6491362785878714</v>
          </cell>
          <cell r="CK61">
            <v>0.62881175626158803</v>
          </cell>
          <cell r="CL61">
            <v>0.17815706662761072</v>
          </cell>
          <cell r="CM61">
            <v>2.8877005347593578</v>
          </cell>
          <cell r="CN61">
            <v>3.6946693576485563</v>
          </cell>
          <cell r="CO61">
            <v>1.3065310935657444E-2</v>
          </cell>
          <cell r="CP61">
            <v>1.2727272727272727</v>
          </cell>
          <cell r="CQ61">
            <v>1.2857925836629303</v>
          </cell>
          <cell r="CR61">
            <v>14.66</v>
          </cell>
          <cell r="CS61">
            <v>9.98</v>
          </cell>
          <cell r="CT61">
            <v>13.19</v>
          </cell>
          <cell r="CU61">
            <v>0</v>
          </cell>
          <cell r="CV61">
            <v>215.27671985535272</v>
          </cell>
        </row>
        <row r="62">
          <cell r="K62" t="str">
            <v>ExportLNTNewUSAHand51x76L</v>
          </cell>
          <cell r="L62">
            <v>0</v>
          </cell>
          <cell r="M62">
            <v>160.51</v>
          </cell>
          <cell r="N62">
            <v>0</v>
          </cell>
          <cell r="O62">
            <v>50.42</v>
          </cell>
          <cell r="P62">
            <v>36.08</v>
          </cell>
          <cell r="Q62">
            <v>15.79</v>
          </cell>
          <cell r="R62">
            <v>0</v>
          </cell>
          <cell r="S62">
            <v>0</v>
          </cell>
          <cell r="T62">
            <v>262.8</v>
          </cell>
          <cell r="U62">
            <v>245.71800000000002</v>
          </cell>
          <cell r="V62">
            <v>2.5000000000000001E-3</v>
          </cell>
          <cell r="W62">
            <v>0</v>
          </cell>
          <cell r="X62">
            <v>-1.3999999999999999E-2</v>
          </cell>
          <cell r="Y62">
            <v>-2.5000000000000001E-2</v>
          </cell>
          <cell r="Z62">
            <v>6.4999999999999947E-2</v>
          </cell>
          <cell r="AA62">
            <v>1.4999999999999999E-2</v>
          </cell>
          <cell r="AB62">
            <v>0.01</v>
          </cell>
          <cell r="AC62">
            <v>0.6158345864661654</v>
          </cell>
          <cell r="AD62">
            <v>0</v>
          </cell>
          <cell r="AE62">
            <v>-2.2471399999999995</v>
          </cell>
          <cell r="AF62">
            <v>-1.2605000000000002</v>
          </cell>
          <cell r="AG62">
            <v>17.081999999999987</v>
          </cell>
          <cell r="AH62">
            <v>3.7418984771573607</v>
          </cell>
          <cell r="AI62">
            <v>2.4820000000000002</v>
          </cell>
          <cell r="AJ62">
            <v>20.414093063623511</v>
          </cell>
          <cell r="AK62">
            <v>266.13209306362353</v>
          </cell>
          <cell r="AL62" t="str">
            <v>1/13  Egy Comb</v>
          </cell>
          <cell r="AM62">
            <v>0</v>
          </cell>
          <cell r="AN62" t="str">
            <v>2/16  Egy Comb</v>
          </cell>
          <cell r="AO62" t="str">
            <v xml:space="preserve">1/14OE  </v>
          </cell>
          <cell r="AP62" t="str">
            <v>2/20  Gas Mer</v>
          </cell>
          <cell r="AQ62">
            <v>0</v>
          </cell>
          <cell r="AR62">
            <v>0</v>
          </cell>
          <cell r="AS62">
            <v>172.09</v>
          </cell>
          <cell r="AT62">
            <v>0</v>
          </cell>
          <cell r="AU62">
            <v>142.57</v>
          </cell>
          <cell r="AV62">
            <v>75.75</v>
          </cell>
          <cell r="AW62">
            <v>174</v>
          </cell>
          <cell r="AX62">
            <v>0</v>
          </cell>
          <cell r="AY62">
            <v>0</v>
          </cell>
          <cell r="AZ62">
            <v>27.622165899999999</v>
          </cell>
          <cell r="BA62">
            <v>7.1883793999999996</v>
          </cell>
          <cell r="BB62">
            <v>2.73306</v>
          </cell>
          <cell r="BC62">
            <v>2.7474600000000002</v>
          </cell>
          <cell r="BD62">
            <v>0</v>
          </cell>
          <cell r="BE62">
            <v>9.4416406154135324E-2</v>
          </cell>
          <cell r="BF62">
            <v>0</v>
          </cell>
          <cell r="BI62">
            <v>0</v>
          </cell>
          <cell r="BJ62">
            <v>0.5736875033832487</v>
          </cell>
          <cell r="BK62">
            <v>0.3805267278333333</v>
          </cell>
          <cell r="BL62">
            <v>1.0486306373707173</v>
          </cell>
          <cell r="BM62">
            <v>-1.5395864661654135E-2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-9.3547461928934011E-2</v>
          </cell>
          <cell r="BS62">
            <v>0</v>
          </cell>
          <cell r="BT62">
            <v>-0.10894332659058814</v>
          </cell>
          <cell r="BU62">
            <v>157.30477906153243</v>
          </cell>
          <cell r="BV62">
            <v>-0.35596446700507611</v>
          </cell>
          <cell r="BW62">
            <v>156.94881459452736</v>
          </cell>
          <cell r="BX62">
            <v>168.24040541340366</v>
          </cell>
          <cell r="BY62">
            <v>-0.38071065989847713</v>
          </cell>
          <cell r="BZ62">
            <v>167.85969475350518</v>
          </cell>
          <cell r="CA62">
            <v>168.24040541340366</v>
          </cell>
          <cell r="CB62">
            <v>-0.4433673015024871</v>
          </cell>
          <cell r="CC62">
            <v>167.79703811190117</v>
          </cell>
          <cell r="CD62">
            <v>2.2471399999999995</v>
          </cell>
          <cell r="CE62">
            <v>200</v>
          </cell>
          <cell r="CF62">
            <v>1.8290397935845151</v>
          </cell>
          <cell r="CG62">
            <v>1.2605000000000002</v>
          </cell>
          <cell r="CH62">
            <v>140</v>
          </cell>
          <cell r="CI62">
            <v>0.71818100424063358</v>
          </cell>
          <cell r="CJ62">
            <v>2.5472207978251484</v>
          </cell>
          <cell r="CK62">
            <v>0.58790564793787992</v>
          </cell>
          <cell r="CL62">
            <v>0.18467511537616291</v>
          </cell>
          <cell r="CM62">
            <v>2.8877005347593578</v>
          </cell>
          <cell r="CN62">
            <v>3.6602812980734005</v>
          </cell>
          <cell r="CO62">
            <v>1.2215372907153728E-2</v>
          </cell>
          <cell r="CP62">
            <v>1.2727272727272729</v>
          </cell>
          <cell r="CQ62">
            <v>1.2849426456344266</v>
          </cell>
          <cell r="CR62">
            <v>1.21</v>
          </cell>
          <cell r="CS62">
            <v>9.81</v>
          </cell>
          <cell r="CT62">
            <v>15.63</v>
          </cell>
          <cell r="CU62">
            <v>0</v>
          </cell>
          <cell r="CV62">
            <v>201.93948285343419</v>
          </cell>
        </row>
        <row r="63">
          <cell r="K63" t="str">
            <v>ExportLNTNewUSAHand51x76M</v>
          </cell>
          <cell r="L63">
            <v>0</v>
          </cell>
          <cell r="M63">
            <v>160.51</v>
          </cell>
          <cell r="N63">
            <v>0</v>
          </cell>
          <cell r="O63">
            <v>50.42</v>
          </cell>
          <cell r="P63">
            <v>36.08</v>
          </cell>
          <cell r="Q63">
            <v>15.79</v>
          </cell>
          <cell r="R63">
            <v>0</v>
          </cell>
          <cell r="S63">
            <v>0</v>
          </cell>
          <cell r="T63">
            <v>262.8</v>
          </cell>
          <cell r="U63">
            <v>245.71800000000002</v>
          </cell>
          <cell r="V63">
            <v>2.5000000000000001E-3</v>
          </cell>
          <cell r="W63">
            <v>0</v>
          </cell>
          <cell r="X63">
            <v>-1.3999999999999999E-2</v>
          </cell>
          <cell r="Y63">
            <v>-2.5000000000000001E-2</v>
          </cell>
          <cell r="Z63">
            <v>6.4999999999999947E-2</v>
          </cell>
          <cell r="AA63">
            <v>1.4999999999999999E-2</v>
          </cell>
          <cell r="AB63">
            <v>0.01</v>
          </cell>
          <cell r="AC63">
            <v>0.6158345864661654</v>
          </cell>
          <cell r="AD63">
            <v>0</v>
          </cell>
          <cell r="AE63">
            <v>-2.2471399999999995</v>
          </cell>
          <cell r="AF63">
            <v>-1.2605000000000002</v>
          </cell>
          <cell r="AG63">
            <v>17.081999999999987</v>
          </cell>
          <cell r="AH63">
            <v>3.7418984771573607</v>
          </cell>
          <cell r="AI63">
            <v>2.4820000000000002</v>
          </cell>
          <cell r="AJ63">
            <v>20.414093063623511</v>
          </cell>
          <cell r="AK63">
            <v>266.13209306362353</v>
          </cell>
          <cell r="AL63" t="str">
            <v>1/13  Egy Comb</v>
          </cell>
          <cell r="AM63">
            <v>0</v>
          </cell>
          <cell r="AN63" t="str">
            <v>2/16  Egy Comb</v>
          </cell>
          <cell r="AO63" t="str">
            <v xml:space="preserve">1/14OE  </v>
          </cell>
          <cell r="AP63" t="str">
            <v>2/20  Gas Mer</v>
          </cell>
          <cell r="AQ63">
            <v>0</v>
          </cell>
          <cell r="AR63">
            <v>0</v>
          </cell>
          <cell r="AS63">
            <v>172.09</v>
          </cell>
          <cell r="AT63">
            <v>0</v>
          </cell>
          <cell r="AU63">
            <v>142.57</v>
          </cell>
          <cell r="AV63">
            <v>75.75</v>
          </cell>
          <cell r="AW63">
            <v>174</v>
          </cell>
          <cell r="AX63">
            <v>0</v>
          </cell>
          <cell r="AY63">
            <v>0</v>
          </cell>
          <cell r="AZ63">
            <v>27.622165899999999</v>
          </cell>
          <cell r="BA63">
            <v>7.1883793999999996</v>
          </cell>
          <cell r="BB63">
            <v>2.73306</v>
          </cell>
          <cell r="BC63">
            <v>2.7474600000000002</v>
          </cell>
          <cell r="BD63">
            <v>0</v>
          </cell>
          <cell r="BE63">
            <v>9.4416406154135324E-2</v>
          </cell>
          <cell r="BF63">
            <v>0</v>
          </cell>
          <cell r="BI63">
            <v>0</v>
          </cell>
          <cell r="BJ63">
            <v>0.5736875033832487</v>
          </cell>
          <cell r="BK63">
            <v>0.3805267278333333</v>
          </cell>
          <cell r="BL63">
            <v>1.0486306373707173</v>
          </cell>
          <cell r="BM63">
            <v>-1.5395864661654135E-2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-9.3547461928934011E-2</v>
          </cell>
          <cell r="BS63">
            <v>0</v>
          </cell>
          <cell r="BT63">
            <v>-0.10894332659058814</v>
          </cell>
          <cell r="BU63">
            <v>157.30477906153243</v>
          </cell>
          <cell r="BV63">
            <v>-0.35596446700507611</v>
          </cell>
          <cell r="BW63">
            <v>156.94881459452736</v>
          </cell>
          <cell r="BX63">
            <v>168.24040541340366</v>
          </cell>
          <cell r="BY63">
            <v>-0.38071065989847713</v>
          </cell>
          <cell r="BZ63">
            <v>167.85969475350518</v>
          </cell>
          <cell r="CA63">
            <v>168.24040541340366</v>
          </cell>
          <cell r="CB63">
            <v>-0.4433673015024871</v>
          </cell>
          <cell r="CC63">
            <v>167.79703811190117</v>
          </cell>
          <cell r="CD63">
            <v>2.2471399999999995</v>
          </cell>
          <cell r="CE63">
            <v>200</v>
          </cell>
          <cell r="CF63">
            <v>1.8290397935845151</v>
          </cell>
          <cell r="CG63">
            <v>1.2605000000000002</v>
          </cell>
          <cell r="CH63">
            <v>140</v>
          </cell>
          <cell r="CI63">
            <v>0.71818100424063358</v>
          </cell>
          <cell r="CJ63">
            <v>2.5472207978251484</v>
          </cell>
          <cell r="CK63">
            <v>0.58790564793787992</v>
          </cell>
          <cell r="CL63">
            <v>0.18467511537616291</v>
          </cell>
          <cell r="CM63">
            <v>2.8877005347593578</v>
          </cell>
          <cell r="CN63">
            <v>3.6602812980734005</v>
          </cell>
          <cell r="CO63">
            <v>1.2215372907153728E-2</v>
          </cell>
          <cell r="CP63">
            <v>1.2727272727272729</v>
          </cell>
          <cell r="CQ63">
            <v>1.2849426456344266</v>
          </cell>
          <cell r="CR63">
            <v>4.22</v>
          </cell>
          <cell r="CS63">
            <v>9.7200000000000006</v>
          </cell>
          <cell r="CT63">
            <v>15.63</v>
          </cell>
          <cell r="CU63">
            <v>0</v>
          </cell>
          <cell r="CV63">
            <v>204.85948285343417</v>
          </cell>
        </row>
        <row r="64">
          <cell r="K64" t="str">
            <v>ExportLNTNewUSAHand51x76D</v>
          </cell>
          <cell r="L64">
            <v>0</v>
          </cell>
          <cell r="M64">
            <v>160.51</v>
          </cell>
          <cell r="N64">
            <v>0</v>
          </cell>
          <cell r="O64">
            <v>50.42</v>
          </cell>
          <cell r="P64">
            <v>36.08</v>
          </cell>
          <cell r="Q64">
            <v>15.79</v>
          </cell>
          <cell r="R64">
            <v>0</v>
          </cell>
          <cell r="S64">
            <v>0</v>
          </cell>
          <cell r="T64">
            <v>262.8</v>
          </cell>
          <cell r="U64">
            <v>245.71800000000002</v>
          </cell>
          <cell r="V64">
            <v>2.5000000000000001E-3</v>
          </cell>
          <cell r="W64">
            <v>0</v>
          </cell>
          <cell r="X64">
            <v>-1.3999999999999999E-2</v>
          </cell>
          <cell r="Y64">
            <v>-2.5000000000000001E-2</v>
          </cell>
          <cell r="Z64">
            <v>6.4999999999999947E-2</v>
          </cell>
          <cell r="AA64">
            <v>1.4999999999999999E-2</v>
          </cell>
          <cell r="AB64">
            <v>0.01</v>
          </cell>
          <cell r="AC64">
            <v>0.6158345864661654</v>
          </cell>
          <cell r="AD64">
            <v>0</v>
          </cell>
          <cell r="AE64">
            <v>-2.2471399999999995</v>
          </cell>
          <cell r="AF64">
            <v>-1.2605000000000002</v>
          </cell>
          <cell r="AG64">
            <v>17.081999999999987</v>
          </cell>
          <cell r="AH64">
            <v>3.7418984771573607</v>
          </cell>
          <cell r="AI64">
            <v>2.4820000000000002</v>
          </cell>
          <cell r="AJ64">
            <v>20.414093063623511</v>
          </cell>
          <cell r="AK64">
            <v>266.13209306362353</v>
          </cell>
          <cell r="AL64" t="str">
            <v>1/13  Egy Comb</v>
          </cell>
          <cell r="AM64">
            <v>0</v>
          </cell>
          <cell r="AN64" t="str">
            <v>2/16  Egy Comb</v>
          </cell>
          <cell r="AO64" t="str">
            <v xml:space="preserve">1/14OE  </v>
          </cell>
          <cell r="AP64" t="str">
            <v>2/20  Gas Mer</v>
          </cell>
          <cell r="AQ64">
            <v>0</v>
          </cell>
          <cell r="AR64">
            <v>0</v>
          </cell>
          <cell r="AS64">
            <v>172.09</v>
          </cell>
          <cell r="AT64">
            <v>0</v>
          </cell>
          <cell r="AU64">
            <v>142.57</v>
          </cell>
          <cell r="AV64">
            <v>75.75</v>
          </cell>
          <cell r="AW64">
            <v>174</v>
          </cell>
          <cell r="AX64">
            <v>0</v>
          </cell>
          <cell r="AY64">
            <v>0</v>
          </cell>
          <cell r="AZ64">
            <v>27.622165899999999</v>
          </cell>
          <cell r="BA64">
            <v>7.1883793999999996</v>
          </cell>
          <cell r="BB64">
            <v>2.73306</v>
          </cell>
          <cell r="BC64">
            <v>2.7474600000000002</v>
          </cell>
          <cell r="BD64">
            <v>0</v>
          </cell>
          <cell r="BE64">
            <v>9.4416406154135324E-2</v>
          </cell>
          <cell r="BF64">
            <v>0</v>
          </cell>
          <cell r="BI64">
            <v>0</v>
          </cell>
          <cell r="BJ64">
            <v>0.5736875033832487</v>
          </cell>
          <cell r="BK64">
            <v>0.3805267278333333</v>
          </cell>
          <cell r="BL64">
            <v>1.0486306373707173</v>
          </cell>
          <cell r="BM64">
            <v>-1.5395864661654135E-2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-9.3547461928934011E-2</v>
          </cell>
          <cell r="BS64">
            <v>0</v>
          </cell>
          <cell r="BT64">
            <v>-0.10894332659058814</v>
          </cell>
          <cell r="BU64">
            <v>157.30477906153243</v>
          </cell>
          <cell r="BV64">
            <v>-0.35596446700507611</v>
          </cell>
          <cell r="BW64">
            <v>156.94881459452736</v>
          </cell>
          <cell r="BX64">
            <v>168.24040541340366</v>
          </cell>
          <cell r="BY64">
            <v>-0.38071065989847713</v>
          </cell>
          <cell r="BZ64">
            <v>167.85969475350518</v>
          </cell>
          <cell r="CA64">
            <v>168.24040541340366</v>
          </cell>
          <cell r="CB64">
            <v>-0.4433673015024871</v>
          </cell>
          <cell r="CC64">
            <v>167.79703811190117</v>
          </cell>
          <cell r="CD64">
            <v>2.2471399999999995</v>
          </cell>
          <cell r="CE64">
            <v>200</v>
          </cell>
          <cell r="CF64">
            <v>1.8290397935845151</v>
          </cell>
          <cell r="CG64">
            <v>1.2605000000000002</v>
          </cell>
          <cell r="CH64">
            <v>140</v>
          </cell>
          <cell r="CI64">
            <v>0.71818100424063358</v>
          </cell>
          <cell r="CJ64">
            <v>2.5472207978251484</v>
          </cell>
          <cell r="CK64">
            <v>0.58790564793787992</v>
          </cell>
          <cell r="CL64">
            <v>0.18467511537616291</v>
          </cell>
          <cell r="CM64">
            <v>2.8877005347593578</v>
          </cell>
          <cell r="CN64">
            <v>3.6602812980734005</v>
          </cell>
          <cell r="CO64">
            <v>1.2215372907153728E-2</v>
          </cell>
          <cell r="CP64">
            <v>1.2727272727272729</v>
          </cell>
          <cell r="CQ64">
            <v>1.2849426456344266</v>
          </cell>
          <cell r="CR64">
            <v>14.66</v>
          </cell>
          <cell r="CS64">
            <v>9.98</v>
          </cell>
          <cell r="CT64">
            <v>15.63</v>
          </cell>
          <cell r="CU64">
            <v>0</v>
          </cell>
          <cell r="CV64">
            <v>215.55948285343419</v>
          </cell>
        </row>
        <row r="65">
          <cell r="K65" t="str">
            <v>ExportLNTNewUSAWash33x33L</v>
          </cell>
          <cell r="L65">
            <v>0</v>
          </cell>
          <cell r="M65">
            <v>39.29</v>
          </cell>
          <cell r="N65">
            <v>0</v>
          </cell>
          <cell r="O65">
            <v>15.6</v>
          </cell>
          <cell r="P65">
            <v>10.439</v>
          </cell>
          <cell r="Q65">
            <v>3.2650000000000001</v>
          </cell>
          <cell r="R65">
            <v>0</v>
          </cell>
          <cell r="S65">
            <v>0</v>
          </cell>
          <cell r="T65">
            <v>68.594000000000008</v>
          </cell>
          <cell r="U65">
            <v>60.36272000000001</v>
          </cell>
          <cell r="V65">
            <v>2.5000000000000001E-3</v>
          </cell>
          <cell r="W65">
            <v>0</v>
          </cell>
          <cell r="X65">
            <v>-1.3999999999999999E-2</v>
          </cell>
          <cell r="Y65">
            <v>-2.5000000000000001E-2</v>
          </cell>
          <cell r="Z65">
            <v>0.12</v>
          </cell>
          <cell r="AA65">
            <v>1.4999999999999999E-2</v>
          </cell>
          <cell r="AB65">
            <v>0.01</v>
          </cell>
          <cell r="AC65">
            <v>0.15128501253132834</v>
          </cell>
          <cell r="AD65">
            <v>0</v>
          </cell>
          <cell r="AE65">
            <v>-0.55005999999999988</v>
          </cell>
          <cell r="AF65">
            <v>-0.39</v>
          </cell>
          <cell r="AG65">
            <v>8.2312799999999999</v>
          </cell>
          <cell r="AH65">
            <v>0.91922923857868033</v>
          </cell>
          <cell r="AI65">
            <v>0.60972444444444462</v>
          </cell>
          <cell r="AJ65">
            <v>8.9714586955544533</v>
          </cell>
          <cell r="AK65">
            <v>69.334178695554471</v>
          </cell>
          <cell r="AL65" t="str">
            <v>1/13  Egy Comb</v>
          </cell>
          <cell r="AM65">
            <v>0</v>
          </cell>
          <cell r="AN65" t="str">
            <v>2/16  Egy Comb</v>
          </cell>
          <cell r="AO65" t="str">
            <v xml:space="preserve">1/14OE  </v>
          </cell>
          <cell r="AP65" t="str">
            <v>2/20  Gas Mer</v>
          </cell>
          <cell r="AQ65">
            <v>0</v>
          </cell>
          <cell r="AR65">
            <v>0</v>
          </cell>
          <cell r="AS65">
            <v>172.09</v>
          </cell>
          <cell r="AT65">
            <v>0</v>
          </cell>
          <cell r="AU65">
            <v>142.57</v>
          </cell>
          <cell r="AV65">
            <v>75.75</v>
          </cell>
          <cell r="AW65">
            <v>174</v>
          </cell>
          <cell r="AX65">
            <v>0</v>
          </cell>
          <cell r="AY65">
            <v>0</v>
          </cell>
          <cell r="AZ65">
            <v>6.7614160999999999</v>
          </cell>
          <cell r="BA65">
            <v>2.2240919999999997</v>
          </cell>
          <cell r="BB65">
            <v>0.79075424999999999</v>
          </cell>
          <cell r="BC65">
            <v>0.56811</v>
          </cell>
          <cell r="BD65">
            <v>0</v>
          </cell>
          <cell r="BE65">
            <v>2.2814655809523812E-2</v>
          </cell>
          <cell r="BF65">
            <v>0</v>
          </cell>
          <cell r="BI65">
            <v>0</v>
          </cell>
          <cell r="BJ65">
            <v>0.13862509139086296</v>
          </cell>
          <cell r="BK65">
            <v>9.194997644444447E-2</v>
          </cell>
          <cell r="BL65">
            <v>0.25338972364483126</v>
          </cell>
          <cell r="BM65">
            <v>-3.7821253132832083E-3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-2.2980730964467008E-2</v>
          </cell>
          <cell r="BS65">
            <v>0</v>
          </cell>
          <cell r="BT65">
            <v>-2.6762856277750217E-2</v>
          </cell>
          <cell r="BU65">
            <v>154.49984070975347</v>
          </cell>
          <cell r="BV65">
            <v>-0.3350253807106599</v>
          </cell>
          <cell r="BW65">
            <v>154.16481532904282</v>
          </cell>
          <cell r="BX65">
            <v>175.56800080653804</v>
          </cell>
          <cell r="BY65">
            <v>-0.38071065989847713</v>
          </cell>
          <cell r="BZ65">
            <v>175.18729014663955</v>
          </cell>
          <cell r="CA65">
            <v>175.56800080653804</v>
          </cell>
          <cell r="CB65">
            <v>-0.44336730150248715</v>
          </cell>
          <cell r="CC65">
            <v>175.12463350503555</v>
          </cell>
          <cell r="CD65">
            <v>0.55005999999999988</v>
          </cell>
          <cell r="CE65">
            <v>200</v>
          </cell>
          <cell r="CF65">
            <v>1.8225156189118044</v>
          </cell>
          <cell r="CG65">
            <v>0.39</v>
          </cell>
          <cell r="CH65">
            <v>140</v>
          </cell>
          <cell r="CI65">
            <v>0.90453180373581565</v>
          </cell>
          <cell r="CJ65">
            <v>2.7270474226476198</v>
          </cell>
          <cell r="CK65">
            <v>0.58580859179308009</v>
          </cell>
          <cell r="CL65">
            <v>0.23259389238920972</v>
          </cell>
          <cell r="CM65">
            <v>3.0681818181818179</v>
          </cell>
          <cell r="CN65">
            <v>3.8865843023641076</v>
          </cell>
          <cell r="CO65">
            <v>1.2171800740589555E-2</v>
          </cell>
          <cell r="CP65">
            <v>1.3522727272727275</v>
          </cell>
          <cell r="CQ65">
            <v>1.3644445280133171</v>
          </cell>
          <cell r="CR65">
            <v>1.21</v>
          </cell>
          <cell r="CS65">
            <v>9.81</v>
          </cell>
          <cell r="CT65">
            <v>60.77</v>
          </cell>
          <cell r="CU65">
            <v>0</v>
          </cell>
          <cell r="CV65">
            <v>254.89270975806056</v>
          </cell>
        </row>
        <row r="66">
          <cell r="K66" t="str">
            <v>ExportLNTNewUSAWash33x33M</v>
          </cell>
          <cell r="L66">
            <v>0</v>
          </cell>
          <cell r="M66">
            <v>39.29</v>
          </cell>
          <cell r="N66">
            <v>0</v>
          </cell>
          <cell r="O66">
            <v>15.6</v>
          </cell>
          <cell r="P66">
            <v>10.439</v>
          </cell>
          <cell r="Q66">
            <v>3.2650000000000001</v>
          </cell>
          <cell r="R66">
            <v>0</v>
          </cell>
          <cell r="S66">
            <v>0</v>
          </cell>
          <cell r="T66">
            <v>68.594000000000008</v>
          </cell>
          <cell r="U66">
            <v>60.36272000000001</v>
          </cell>
          <cell r="V66">
            <v>2.5000000000000001E-3</v>
          </cell>
          <cell r="W66">
            <v>0</v>
          </cell>
          <cell r="X66">
            <v>-1.3999999999999999E-2</v>
          </cell>
          <cell r="Y66">
            <v>-2.5000000000000001E-2</v>
          </cell>
          <cell r="Z66">
            <v>0.12</v>
          </cell>
          <cell r="AA66">
            <v>1.4999999999999999E-2</v>
          </cell>
          <cell r="AB66">
            <v>0.01</v>
          </cell>
          <cell r="AC66">
            <v>0.15128501253132834</v>
          </cell>
          <cell r="AD66">
            <v>0</v>
          </cell>
          <cell r="AE66">
            <v>-0.55005999999999988</v>
          </cell>
          <cell r="AF66">
            <v>-0.39</v>
          </cell>
          <cell r="AG66">
            <v>8.2312799999999999</v>
          </cell>
          <cell r="AH66">
            <v>0.91922923857868033</v>
          </cell>
          <cell r="AI66">
            <v>0.60972444444444462</v>
          </cell>
          <cell r="AJ66">
            <v>8.9714586955544533</v>
          </cell>
          <cell r="AK66">
            <v>69.334178695554471</v>
          </cell>
          <cell r="AL66" t="str">
            <v>1/13  Egy Comb</v>
          </cell>
          <cell r="AM66">
            <v>0</v>
          </cell>
          <cell r="AN66" t="str">
            <v>2/16  Egy Comb</v>
          </cell>
          <cell r="AO66" t="str">
            <v xml:space="preserve">1/14OE  </v>
          </cell>
          <cell r="AP66" t="str">
            <v>2/20  Gas Mer</v>
          </cell>
          <cell r="AQ66">
            <v>0</v>
          </cell>
          <cell r="AR66">
            <v>0</v>
          </cell>
          <cell r="AS66">
            <v>172.09</v>
          </cell>
          <cell r="AT66">
            <v>0</v>
          </cell>
          <cell r="AU66">
            <v>142.57</v>
          </cell>
          <cell r="AV66">
            <v>75.75</v>
          </cell>
          <cell r="AW66">
            <v>174</v>
          </cell>
          <cell r="AX66">
            <v>0</v>
          </cell>
          <cell r="AY66">
            <v>0</v>
          </cell>
          <cell r="AZ66">
            <v>6.7614160999999999</v>
          </cell>
          <cell r="BA66">
            <v>2.2240919999999997</v>
          </cell>
          <cell r="BB66">
            <v>0.79075424999999999</v>
          </cell>
          <cell r="BC66">
            <v>0.56811</v>
          </cell>
          <cell r="BD66">
            <v>0</v>
          </cell>
          <cell r="BE66">
            <v>2.2814655809523812E-2</v>
          </cell>
          <cell r="BF66">
            <v>0</v>
          </cell>
          <cell r="BI66">
            <v>0</v>
          </cell>
          <cell r="BJ66">
            <v>0.13862509139086296</v>
          </cell>
          <cell r="BK66">
            <v>9.194997644444447E-2</v>
          </cell>
          <cell r="BL66">
            <v>0.25338972364483126</v>
          </cell>
          <cell r="BM66">
            <v>-3.7821253132832083E-3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-2.2980730964467008E-2</v>
          </cell>
          <cell r="BS66">
            <v>0</v>
          </cell>
          <cell r="BT66">
            <v>-2.6762856277750217E-2</v>
          </cell>
          <cell r="BU66">
            <v>154.49984070975347</v>
          </cell>
          <cell r="BV66">
            <v>-0.3350253807106599</v>
          </cell>
          <cell r="BW66">
            <v>154.16481532904282</v>
          </cell>
          <cell r="BX66">
            <v>175.56800080653804</v>
          </cell>
          <cell r="BY66">
            <v>-0.38071065989847713</v>
          </cell>
          <cell r="BZ66">
            <v>175.18729014663955</v>
          </cell>
          <cell r="CA66">
            <v>175.56800080653804</v>
          </cell>
          <cell r="CB66">
            <v>-0.44336730150248715</v>
          </cell>
          <cell r="CC66">
            <v>175.12463350503555</v>
          </cell>
          <cell r="CD66">
            <v>0.55005999999999988</v>
          </cell>
          <cell r="CE66">
            <v>200</v>
          </cell>
          <cell r="CF66">
            <v>1.8225156189118044</v>
          </cell>
          <cell r="CG66">
            <v>0.39</v>
          </cell>
          <cell r="CH66">
            <v>140</v>
          </cell>
          <cell r="CI66">
            <v>0.90453180373581565</v>
          </cell>
          <cell r="CJ66">
            <v>2.7270474226476198</v>
          </cell>
          <cell r="CK66">
            <v>0.58580859179308009</v>
          </cell>
          <cell r="CL66">
            <v>0.23259389238920972</v>
          </cell>
          <cell r="CM66">
            <v>3.0681818181818179</v>
          </cell>
          <cell r="CN66">
            <v>3.8865843023641076</v>
          </cell>
          <cell r="CO66">
            <v>1.2171800740589555E-2</v>
          </cell>
          <cell r="CP66">
            <v>1.3522727272727275</v>
          </cell>
          <cell r="CQ66">
            <v>1.3644445280133171</v>
          </cell>
          <cell r="CR66">
            <v>4.22</v>
          </cell>
          <cell r="CS66">
            <v>9.7200000000000006</v>
          </cell>
          <cell r="CT66">
            <v>60.77</v>
          </cell>
          <cell r="CU66">
            <v>0</v>
          </cell>
          <cell r="CV66">
            <v>257.81270975806058</v>
          </cell>
        </row>
        <row r="67">
          <cell r="K67" t="str">
            <v>ExportLNTNewUSAWash33x33D</v>
          </cell>
          <cell r="L67">
            <v>0</v>
          </cell>
          <cell r="M67">
            <v>39.29</v>
          </cell>
          <cell r="N67">
            <v>0</v>
          </cell>
          <cell r="O67">
            <v>15.6</v>
          </cell>
          <cell r="P67">
            <v>10.439</v>
          </cell>
          <cell r="Q67">
            <v>3.2650000000000001</v>
          </cell>
          <cell r="R67">
            <v>0</v>
          </cell>
          <cell r="S67">
            <v>0</v>
          </cell>
          <cell r="T67">
            <v>68.594000000000008</v>
          </cell>
          <cell r="U67">
            <v>60.36272000000001</v>
          </cell>
          <cell r="V67">
            <v>2.5000000000000001E-3</v>
          </cell>
          <cell r="W67">
            <v>0</v>
          </cell>
          <cell r="X67">
            <v>-1.3999999999999999E-2</v>
          </cell>
          <cell r="Y67">
            <v>-2.5000000000000001E-2</v>
          </cell>
          <cell r="Z67">
            <v>0.12</v>
          </cell>
          <cell r="AA67">
            <v>1.4999999999999999E-2</v>
          </cell>
          <cell r="AB67">
            <v>0.01</v>
          </cell>
          <cell r="AC67">
            <v>0.15128501253132834</v>
          </cell>
          <cell r="AD67">
            <v>0</v>
          </cell>
          <cell r="AE67">
            <v>-0.55005999999999988</v>
          </cell>
          <cell r="AF67">
            <v>-0.39</v>
          </cell>
          <cell r="AG67">
            <v>8.2312799999999999</v>
          </cell>
          <cell r="AH67">
            <v>0.91922923857868033</v>
          </cell>
          <cell r="AI67">
            <v>0.60972444444444462</v>
          </cell>
          <cell r="AJ67">
            <v>8.9714586955544533</v>
          </cell>
          <cell r="AK67">
            <v>69.334178695554471</v>
          </cell>
          <cell r="AL67" t="str">
            <v>1/13  Egy Comb</v>
          </cell>
          <cell r="AM67">
            <v>0</v>
          </cell>
          <cell r="AN67" t="str">
            <v>2/16  Egy Comb</v>
          </cell>
          <cell r="AO67" t="str">
            <v xml:space="preserve">1/14OE  </v>
          </cell>
          <cell r="AP67" t="str">
            <v>2/20  Gas Mer</v>
          </cell>
          <cell r="AQ67">
            <v>0</v>
          </cell>
          <cell r="AR67">
            <v>0</v>
          </cell>
          <cell r="AS67">
            <v>172.09</v>
          </cell>
          <cell r="AT67">
            <v>0</v>
          </cell>
          <cell r="AU67">
            <v>142.57</v>
          </cell>
          <cell r="AV67">
            <v>75.75</v>
          </cell>
          <cell r="AW67">
            <v>174</v>
          </cell>
          <cell r="AX67">
            <v>0</v>
          </cell>
          <cell r="AY67">
            <v>0</v>
          </cell>
          <cell r="AZ67">
            <v>6.7614160999999999</v>
          </cell>
          <cell r="BA67">
            <v>2.2240919999999997</v>
          </cell>
          <cell r="BB67">
            <v>0.79075424999999999</v>
          </cell>
          <cell r="BC67">
            <v>0.56811</v>
          </cell>
          <cell r="BD67">
            <v>0</v>
          </cell>
          <cell r="BE67">
            <v>2.2814655809523812E-2</v>
          </cell>
          <cell r="BF67">
            <v>0</v>
          </cell>
          <cell r="BI67">
            <v>0</v>
          </cell>
          <cell r="BJ67">
            <v>0.13862509139086296</v>
          </cell>
          <cell r="BK67">
            <v>9.194997644444447E-2</v>
          </cell>
          <cell r="BL67">
            <v>0.25338972364483126</v>
          </cell>
          <cell r="BM67">
            <v>-3.7821253132832083E-3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-2.2980730964467008E-2</v>
          </cell>
          <cell r="BS67">
            <v>0</v>
          </cell>
          <cell r="BT67">
            <v>-2.6762856277750217E-2</v>
          </cell>
          <cell r="BU67">
            <v>154.49984070975347</v>
          </cell>
          <cell r="BV67">
            <v>-0.3350253807106599</v>
          </cell>
          <cell r="BW67">
            <v>154.16481532904282</v>
          </cell>
          <cell r="BX67">
            <v>175.56800080653804</v>
          </cell>
          <cell r="BY67">
            <v>-0.38071065989847713</v>
          </cell>
          <cell r="BZ67">
            <v>175.18729014663955</v>
          </cell>
          <cell r="CA67">
            <v>175.56800080653804</v>
          </cell>
          <cell r="CB67">
            <v>-0.44336730150248715</v>
          </cell>
          <cell r="CC67">
            <v>175.12463350503555</v>
          </cell>
          <cell r="CD67">
            <v>0.55005999999999988</v>
          </cell>
          <cell r="CE67">
            <v>200</v>
          </cell>
          <cell r="CF67">
            <v>1.8225156189118044</v>
          </cell>
          <cell r="CG67">
            <v>0.39</v>
          </cell>
          <cell r="CH67">
            <v>140</v>
          </cell>
          <cell r="CI67">
            <v>0.90453180373581565</v>
          </cell>
          <cell r="CJ67">
            <v>2.7270474226476198</v>
          </cell>
          <cell r="CK67">
            <v>0.58580859179308009</v>
          </cell>
          <cell r="CL67">
            <v>0.23259389238920972</v>
          </cell>
          <cell r="CM67">
            <v>3.0681818181818179</v>
          </cell>
          <cell r="CN67">
            <v>3.8865843023641076</v>
          </cell>
          <cell r="CO67">
            <v>1.2171800740589555E-2</v>
          </cell>
          <cell r="CP67">
            <v>1.3522727272727275</v>
          </cell>
          <cell r="CQ67">
            <v>1.3644445280133171</v>
          </cell>
          <cell r="CR67">
            <v>14.66</v>
          </cell>
          <cell r="CS67">
            <v>9.98</v>
          </cell>
          <cell r="CT67">
            <v>60.77</v>
          </cell>
          <cell r="CU67">
            <v>0</v>
          </cell>
          <cell r="CV67">
            <v>268.51270975806057</v>
          </cell>
        </row>
        <row r="68">
          <cell r="K68" t="str">
            <v>ExportKohlsBig One StripeUSABath76x137L</v>
          </cell>
          <cell r="L68">
            <v>0</v>
          </cell>
          <cell r="M68">
            <v>371.42</v>
          </cell>
          <cell r="N68">
            <v>0</v>
          </cell>
          <cell r="O68">
            <v>90.53</v>
          </cell>
          <cell r="P68">
            <v>74.27</v>
          </cell>
          <cell r="Q68">
            <v>22.72</v>
          </cell>
          <cell r="R68">
            <v>0</v>
          </cell>
          <cell r="S68">
            <v>0</v>
          </cell>
          <cell r="T68">
            <v>558.94000000000005</v>
          </cell>
          <cell r="U68">
            <v>547.76120000000003</v>
          </cell>
          <cell r="V68">
            <v>2.5000000000000001E-3</v>
          </cell>
          <cell r="W68">
            <v>0</v>
          </cell>
          <cell r="X68">
            <v>0</v>
          </cell>
          <cell r="Y68">
            <v>-2.5000000000000001E-2</v>
          </cell>
          <cell r="Z68">
            <v>2.0000000000000018E-2</v>
          </cell>
          <cell r="AA68">
            <v>1.4999999999999999E-2</v>
          </cell>
          <cell r="AB68">
            <v>0.01</v>
          </cell>
          <cell r="AC68">
            <v>1.3728350877192983</v>
          </cell>
          <cell r="AD68">
            <v>0</v>
          </cell>
          <cell r="AE68">
            <v>0</v>
          </cell>
          <cell r="AF68">
            <v>-2.2632500000000002</v>
          </cell>
          <cell r="AG68">
            <v>11.178800000000011</v>
          </cell>
          <cell r="AH68">
            <v>8.3415411167512694</v>
          </cell>
          <cell r="AI68">
            <v>5.5329414141414146</v>
          </cell>
          <cell r="AJ68">
            <v>24.162867618611994</v>
          </cell>
          <cell r="AK68">
            <v>571.92406761861207</v>
          </cell>
          <cell r="AL68" t="str">
            <v>2/24  DyedPattern</v>
          </cell>
          <cell r="AM68">
            <v>0</v>
          </cell>
          <cell r="AN68" t="str">
            <v>2/24  DyedPattern</v>
          </cell>
          <cell r="AO68" t="str">
            <v>1/16  CombDyed</v>
          </cell>
          <cell r="AP68" t="str">
            <v>2/24  KC</v>
          </cell>
          <cell r="AQ68">
            <v>0</v>
          </cell>
          <cell r="AR68">
            <v>0</v>
          </cell>
          <cell r="AS68">
            <v>160</v>
          </cell>
          <cell r="AT68">
            <v>0</v>
          </cell>
          <cell r="AU68">
            <v>160</v>
          </cell>
          <cell r="AV68">
            <v>150</v>
          </cell>
          <cell r="AW68">
            <v>107.5</v>
          </cell>
          <cell r="AX68">
            <v>0</v>
          </cell>
          <cell r="AY68">
            <v>0</v>
          </cell>
          <cell r="AZ68">
            <v>59.427200000000006</v>
          </cell>
          <cell r="BA68">
            <v>14.4848</v>
          </cell>
          <cell r="BB68">
            <v>11.140499999999999</v>
          </cell>
          <cell r="BC68">
            <v>2.4424000000000001</v>
          </cell>
          <cell r="BD68">
            <v>0</v>
          </cell>
          <cell r="BE68">
            <v>0.21489975438596493</v>
          </cell>
          <cell r="BF68">
            <v>0</v>
          </cell>
          <cell r="BI68">
            <v>0</v>
          </cell>
          <cell r="BJ68">
            <v>1.3057614517766498</v>
          </cell>
          <cell r="BK68">
            <v>0.86611113131313144</v>
          </cell>
          <cell r="BL68">
            <v>2.3867723374757461</v>
          </cell>
          <cell r="BM68">
            <v>-3.4320877192982456E-2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-0.20853852791878175</v>
          </cell>
          <cell r="BS68">
            <v>0</v>
          </cell>
          <cell r="BT68">
            <v>-0.24285940511176421</v>
          </cell>
          <cell r="BU68">
            <v>160.80737169906564</v>
          </cell>
          <cell r="BV68">
            <v>-0.37309644670050757</v>
          </cell>
          <cell r="BW68">
            <v>160.43427525236513</v>
          </cell>
          <cell r="BX68">
            <v>164.08915479496494</v>
          </cell>
          <cell r="BY68">
            <v>-0.38071065989847713</v>
          </cell>
          <cell r="BZ68">
            <v>163.70844413506646</v>
          </cell>
          <cell r="CA68">
            <v>164.08915479496494</v>
          </cell>
          <cell r="CB68">
            <v>-0.44336730150248721</v>
          </cell>
          <cell r="CC68">
            <v>163.64578749346245</v>
          </cell>
          <cell r="CD68">
            <v>0</v>
          </cell>
          <cell r="CE68">
            <v>200</v>
          </cell>
          <cell r="CF68">
            <v>0</v>
          </cell>
          <cell r="CG68">
            <v>2.2632500000000002</v>
          </cell>
          <cell r="CH68">
            <v>140</v>
          </cell>
          <cell r="CI68">
            <v>0.57845462584790597</v>
          </cell>
          <cell r="CJ68">
            <v>0.57845462584790597</v>
          </cell>
          <cell r="CK68">
            <v>0.61026228217697776</v>
          </cell>
          <cell r="CL68">
            <v>0.14874547521803294</v>
          </cell>
          <cell r="CM68">
            <v>2.7551020408163263</v>
          </cell>
          <cell r="CN68">
            <v>3.514109798211337</v>
          </cell>
          <cell r="CO68">
            <v>1.2679894085232762E-2</v>
          </cell>
          <cell r="CP68">
            <v>1.2142857142857144</v>
          </cell>
          <cell r="CQ68">
            <v>1.2269656083709473</v>
          </cell>
          <cell r="CR68">
            <v>1.21</v>
          </cell>
          <cell r="CS68">
            <v>9.81</v>
          </cell>
          <cell r="CT68">
            <v>9.26</v>
          </cell>
          <cell r="CU68">
            <v>0</v>
          </cell>
          <cell r="CV68">
            <v>189.24531752589266</v>
          </cell>
        </row>
        <row r="69">
          <cell r="K69" t="str">
            <v>ExportKohlsBig One StripeUSABath76x137M</v>
          </cell>
          <cell r="L69">
            <v>0</v>
          </cell>
          <cell r="M69">
            <v>371.42</v>
          </cell>
          <cell r="N69">
            <v>0</v>
          </cell>
          <cell r="O69">
            <v>90.53</v>
          </cell>
          <cell r="P69">
            <v>74.27</v>
          </cell>
          <cell r="Q69">
            <v>22.72</v>
          </cell>
          <cell r="R69">
            <v>0</v>
          </cell>
          <cell r="S69">
            <v>0</v>
          </cell>
          <cell r="T69">
            <v>558.94000000000005</v>
          </cell>
          <cell r="U69">
            <v>547.76120000000003</v>
          </cell>
          <cell r="V69">
            <v>2.5000000000000001E-3</v>
          </cell>
          <cell r="W69">
            <v>0</v>
          </cell>
          <cell r="X69">
            <v>0</v>
          </cell>
          <cell r="Y69">
            <v>-2.5000000000000001E-2</v>
          </cell>
          <cell r="Z69">
            <v>2.0000000000000018E-2</v>
          </cell>
          <cell r="AA69">
            <v>1.4999999999999999E-2</v>
          </cell>
          <cell r="AB69">
            <v>0.01</v>
          </cell>
          <cell r="AC69">
            <v>1.3728350877192983</v>
          </cell>
          <cell r="AD69">
            <v>0</v>
          </cell>
          <cell r="AE69">
            <v>0</v>
          </cell>
          <cell r="AF69">
            <v>-2.2632500000000002</v>
          </cell>
          <cell r="AG69">
            <v>11.178800000000011</v>
          </cell>
          <cell r="AH69">
            <v>8.3415411167512694</v>
          </cell>
          <cell r="AI69">
            <v>5.5329414141414146</v>
          </cell>
          <cell r="AJ69">
            <v>24.162867618611994</v>
          </cell>
          <cell r="AK69">
            <v>571.92406761861207</v>
          </cell>
          <cell r="AL69" t="str">
            <v>2/24  DyedPattern</v>
          </cell>
          <cell r="AM69">
            <v>0</v>
          </cell>
          <cell r="AN69" t="str">
            <v>2/24  DyedPattern</v>
          </cell>
          <cell r="AO69" t="str">
            <v>1/16  CombDyed</v>
          </cell>
          <cell r="AP69" t="str">
            <v>2/24  KC</v>
          </cell>
          <cell r="AQ69">
            <v>0</v>
          </cell>
          <cell r="AR69">
            <v>0</v>
          </cell>
          <cell r="AS69">
            <v>160</v>
          </cell>
          <cell r="AT69">
            <v>0</v>
          </cell>
          <cell r="AU69">
            <v>160</v>
          </cell>
          <cell r="AV69">
            <v>150</v>
          </cell>
          <cell r="AW69">
            <v>107.5</v>
          </cell>
          <cell r="AX69">
            <v>0</v>
          </cell>
          <cell r="AY69">
            <v>0</v>
          </cell>
          <cell r="AZ69">
            <v>59.427200000000006</v>
          </cell>
          <cell r="BA69">
            <v>14.4848</v>
          </cell>
          <cell r="BB69">
            <v>11.140499999999999</v>
          </cell>
          <cell r="BC69">
            <v>2.4424000000000001</v>
          </cell>
          <cell r="BD69">
            <v>0</v>
          </cell>
          <cell r="BE69">
            <v>0.21489975438596493</v>
          </cell>
          <cell r="BF69">
            <v>0</v>
          </cell>
          <cell r="BI69">
            <v>0</v>
          </cell>
          <cell r="BJ69">
            <v>1.3057614517766498</v>
          </cell>
          <cell r="BK69">
            <v>0.86611113131313144</v>
          </cell>
          <cell r="BL69">
            <v>2.3867723374757461</v>
          </cell>
          <cell r="BM69">
            <v>-3.4320877192982456E-2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-0.20853852791878175</v>
          </cell>
          <cell r="BS69">
            <v>0</v>
          </cell>
          <cell r="BT69">
            <v>-0.24285940511176421</v>
          </cell>
          <cell r="BU69">
            <v>160.80737169906564</v>
          </cell>
          <cell r="BV69">
            <v>-0.37309644670050757</v>
          </cell>
          <cell r="BW69">
            <v>160.43427525236513</v>
          </cell>
          <cell r="BX69">
            <v>164.08915479496494</v>
          </cell>
          <cell r="BY69">
            <v>-0.38071065989847713</v>
          </cell>
          <cell r="BZ69">
            <v>163.70844413506646</v>
          </cell>
          <cell r="CA69">
            <v>164.08915479496494</v>
          </cell>
          <cell r="CB69">
            <v>-0.44336730150248721</v>
          </cell>
          <cell r="CC69">
            <v>163.64578749346245</v>
          </cell>
          <cell r="CD69">
            <v>0</v>
          </cell>
          <cell r="CE69">
            <v>200</v>
          </cell>
          <cell r="CF69">
            <v>0</v>
          </cell>
          <cell r="CG69">
            <v>2.2632500000000002</v>
          </cell>
          <cell r="CH69">
            <v>140</v>
          </cell>
          <cell r="CI69">
            <v>0.57845462584790597</v>
          </cell>
          <cell r="CJ69">
            <v>0.57845462584790597</v>
          </cell>
          <cell r="CK69">
            <v>0.61026228217697776</v>
          </cell>
          <cell r="CL69">
            <v>0.14874547521803294</v>
          </cell>
          <cell r="CM69">
            <v>2.7551020408163263</v>
          </cell>
          <cell r="CN69">
            <v>3.514109798211337</v>
          </cell>
          <cell r="CO69">
            <v>1.2679894085232762E-2</v>
          </cell>
          <cell r="CP69">
            <v>1.2142857142857144</v>
          </cell>
          <cell r="CQ69">
            <v>1.2269656083709473</v>
          </cell>
          <cell r="CR69">
            <v>4.22</v>
          </cell>
          <cell r="CS69">
            <v>9.7200000000000006</v>
          </cell>
          <cell r="CT69">
            <v>9.26</v>
          </cell>
          <cell r="CU69">
            <v>0</v>
          </cell>
          <cell r="CV69">
            <v>192.16531752589265</v>
          </cell>
        </row>
        <row r="70">
          <cell r="K70" t="str">
            <v>ExportKohlsBig One StripeUSABath76x137D</v>
          </cell>
          <cell r="L70">
            <v>0</v>
          </cell>
          <cell r="M70">
            <v>371.42</v>
          </cell>
          <cell r="N70">
            <v>0</v>
          </cell>
          <cell r="O70">
            <v>90.53</v>
          </cell>
          <cell r="P70">
            <v>74.27</v>
          </cell>
          <cell r="Q70">
            <v>22.72</v>
          </cell>
          <cell r="R70">
            <v>0</v>
          </cell>
          <cell r="S70">
            <v>0</v>
          </cell>
          <cell r="T70">
            <v>558.94000000000005</v>
          </cell>
          <cell r="U70">
            <v>547.76120000000003</v>
          </cell>
          <cell r="V70">
            <v>2.5000000000000001E-3</v>
          </cell>
          <cell r="W70">
            <v>0</v>
          </cell>
          <cell r="X70">
            <v>0</v>
          </cell>
          <cell r="Y70">
            <v>-2.5000000000000001E-2</v>
          </cell>
          <cell r="Z70">
            <v>2.0000000000000018E-2</v>
          </cell>
          <cell r="AA70">
            <v>1.4999999999999999E-2</v>
          </cell>
          <cell r="AB70">
            <v>0.01</v>
          </cell>
          <cell r="AC70">
            <v>1.3728350877192983</v>
          </cell>
          <cell r="AD70">
            <v>0</v>
          </cell>
          <cell r="AE70">
            <v>0</v>
          </cell>
          <cell r="AF70">
            <v>-2.2632500000000002</v>
          </cell>
          <cell r="AG70">
            <v>11.178800000000011</v>
          </cell>
          <cell r="AH70">
            <v>8.3415411167512694</v>
          </cell>
          <cell r="AI70">
            <v>5.5329414141414146</v>
          </cell>
          <cell r="AJ70">
            <v>24.162867618611994</v>
          </cell>
          <cell r="AK70">
            <v>571.92406761861207</v>
          </cell>
          <cell r="AL70" t="str">
            <v>2/24  DyedPattern</v>
          </cell>
          <cell r="AM70">
            <v>0</v>
          </cell>
          <cell r="AN70" t="str">
            <v>2/24  DyedPattern</v>
          </cell>
          <cell r="AO70" t="str">
            <v>1/16  CombDyed</v>
          </cell>
          <cell r="AP70" t="str">
            <v>2/24  KC</v>
          </cell>
          <cell r="AQ70">
            <v>0</v>
          </cell>
          <cell r="AR70">
            <v>0</v>
          </cell>
          <cell r="AS70">
            <v>160</v>
          </cell>
          <cell r="AT70">
            <v>0</v>
          </cell>
          <cell r="AU70">
            <v>160</v>
          </cell>
          <cell r="AV70">
            <v>150</v>
          </cell>
          <cell r="AW70">
            <v>107.5</v>
          </cell>
          <cell r="AX70">
            <v>0</v>
          </cell>
          <cell r="AY70">
            <v>0</v>
          </cell>
          <cell r="AZ70">
            <v>59.427200000000006</v>
          </cell>
          <cell r="BA70">
            <v>14.4848</v>
          </cell>
          <cell r="BB70">
            <v>11.140499999999999</v>
          </cell>
          <cell r="BC70">
            <v>2.4424000000000001</v>
          </cell>
          <cell r="BD70">
            <v>0</v>
          </cell>
          <cell r="BE70">
            <v>0.21489975438596493</v>
          </cell>
          <cell r="BF70">
            <v>0</v>
          </cell>
          <cell r="BI70">
            <v>0</v>
          </cell>
          <cell r="BJ70">
            <v>1.3057614517766498</v>
          </cell>
          <cell r="BK70">
            <v>0.86611113131313144</v>
          </cell>
          <cell r="BL70">
            <v>2.3867723374757461</v>
          </cell>
          <cell r="BM70">
            <v>-3.4320877192982456E-2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-0.20853852791878175</v>
          </cell>
          <cell r="BS70">
            <v>0</v>
          </cell>
          <cell r="BT70">
            <v>-0.24285940511176421</v>
          </cell>
          <cell r="BU70">
            <v>160.80737169906564</v>
          </cell>
          <cell r="BV70">
            <v>-0.37309644670050757</v>
          </cell>
          <cell r="BW70">
            <v>160.43427525236513</v>
          </cell>
          <cell r="BX70">
            <v>164.08915479496494</v>
          </cell>
          <cell r="BY70">
            <v>-0.38071065989847713</v>
          </cell>
          <cell r="BZ70">
            <v>163.70844413506646</v>
          </cell>
          <cell r="CA70">
            <v>164.08915479496494</v>
          </cell>
          <cell r="CB70">
            <v>-0.44336730150248721</v>
          </cell>
          <cell r="CC70">
            <v>163.64578749346245</v>
          </cell>
          <cell r="CD70">
            <v>0</v>
          </cell>
          <cell r="CE70">
            <v>200</v>
          </cell>
          <cell r="CF70">
            <v>0</v>
          </cell>
          <cell r="CG70">
            <v>2.2632500000000002</v>
          </cell>
          <cell r="CH70">
            <v>140</v>
          </cell>
          <cell r="CI70">
            <v>0.57845462584790597</v>
          </cell>
          <cell r="CJ70">
            <v>0.57845462584790597</v>
          </cell>
          <cell r="CK70">
            <v>0.61026228217697776</v>
          </cell>
          <cell r="CL70">
            <v>0.14874547521803294</v>
          </cell>
          <cell r="CM70">
            <v>2.7551020408163263</v>
          </cell>
          <cell r="CN70">
            <v>3.514109798211337</v>
          </cell>
          <cell r="CO70">
            <v>1.2679894085232762E-2</v>
          </cell>
          <cell r="CP70">
            <v>1.2142857142857144</v>
          </cell>
          <cell r="CQ70">
            <v>1.2269656083709473</v>
          </cell>
          <cell r="CR70">
            <v>14.66</v>
          </cell>
          <cell r="CS70">
            <v>9.98</v>
          </cell>
          <cell r="CT70">
            <v>9.26</v>
          </cell>
          <cell r="CU70">
            <v>0</v>
          </cell>
          <cell r="CV70">
            <v>202.86531752589266</v>
          </cell>
        </row>
        <row r="71">
          <cell r="K71" t="str">
            <v>ExportKohlsBig One StripeUSAHand41x71L</v>
          </cell>
          <cell r="L71">
            <v>0</v>
          </cell>
          <cell r="M71">
            <v>90.83</v>
          </cell>
          <cell r="N71">
            <v>0</v>
          </cell>
          <cell r="O71">
            <v>26.33</v>
          </cell>
          <cell r="P71">
            <v>20.6</v>
          </cell>
          <cell r="Q71">
            <v>6.9</v>
          </cell>
          <cell r="R71">
            <v>0</v>
          </cell>
          <cell r="S71">
            <v>0</v>
          </cell>
          <cell r="T71">
            <v>144.66</v>
          </cell>
          <cell r="U71">
            <v>141.76679999999999</v>
          </cell>
          <cell r="V71">
            <v>2.5000000000000001E-3</v>
          </cell>
          <cell r="W71">
            <v>0</v>
          </cell>
          <cell r="X71">
            <v>0</v>
          </cell>
          <cell r="Y71">
            <v>-2.5000000000000001E-2</v>
          </cell>
          <cell r="Z71">
            <v>2.0000000000000018E-2</v>
          </cell>
          <cell r="AA71">
            <v>1.4999999999999999E-2</v>
          </cell>
          <cell r="AB71">
            <v>0.01</v>
          </cell>
          <cell r="AC71">
            <v>0.35530526315789468</v>
          </cell>
          <cell r="AD71">
            <v>0</v>
          </cell>
          <cell r="AE71">
            <v>0</v>
          </cell>
          <cell r="AF71">
            <v>-0.65825</v>
          </cell>
          <cell r="AG71">
            <v>2.8932000000000024</v>
          </cell>
          <cell r="AH71">
            <v>2.158885279187817</v>
          </cell>
          <cell r="AI71">
            <v>1.4319878787878788</v>
          </cell>
          <cell r="AJ71">
            <v>6.1811284211335931</v>
          </cell>
          <cell r="AK71">
            <v>147.94792842113358</v>
          </cell>
          <cell r="AL71" t="str">
            <v>2/24  DyedPattern</v>
          </cell>
          <cell r="AM71">
            <v>0</v>
          </cell>
          <cell r="AN71" t="str">
            <v>2/24  DyedPattern</v>
          </cell>
          <cell r="AO71" t="str">
            <v>1/16  CombDyed</v>
          </cell>
          <cell r="AP71" t="str">
            <v>2/24  KC</v>
          </cell>
          <cell r="AQ71">
            <v>0</v>
          </cell>
          <cell r="AR71">
            <v>0</v>
          </cell>
          <cell r="AS71">
            <v>160</v>
          </cell>
          <cell r="AT71">
            <v>0</v>
          </cell>
          <cell r="AU71">
            <v>160</v>
          </cell>
          <cell r="AV71">
            <v>150</v>
          </cell>
          <cell r="AW71">
            <v>107.5</v>
          </cell>
          <cell r="AX71">
            <v>0</v>
          </cell>
          <cell r="AY71">
            <v>0</v>
          </cell>
          <cell r="AZ71">
            <v>14.5328</v>
          </cell>
          <cell r="BA71">
            <v>4.2127999999999997</v>
          </cell>
          <cell r="BB71">
            <v>3.09</v>
          </cell>
          <cell r="BC71">
            <v>0.74175000000000002</v>
          </cell>
          <cell r="BD71">
            <v>0</v>
          </cell>
          <cell r="BE71">
            <v>5.5453140350877186E-2</v>
          </cell>
          <cell r="BF71">
            <v>0</v>
          </cell>
          <cell r="BI71">
            <v>0</v>
          </cell>
          <cell r="BJ71">
            <v>0.3369411624365482</v>
          </cell>
          <cell r="BK71">
            <v>0.22349295959595961</v>
          </cell>
          <cell r="BL71">
            <v>0.61588726238338498</v>
          </cell>
          <cell r="BM71">
            <v>-8.8826315789473659E-3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-5.3972131979695429E-2</v>
          </cell>
          <cell r="BS71">
            <v>0</v>
          </cell>
          <cell r="BT71">
            <v>-6.2854763558642793E-2</v>
          </cell>
          <cell r="BU71">
            <v>160.32930500748918</v>
          </cell>
          <cell r="BV71">
            <v>-0.37309644670050757</v>
          </cell>
          <cell r="BW71">
            <v>159.95620856078867</v>
          </cell>
          <cell r="BX71">
            <v>163.60133164029509</v>
          </cell>
          <cell r="BY71">
            <v>-0.38071065989847713</v>
          </cell>
          <cell r="BZ71">
            <v>163.2206209803966</v>
          </cell>
          <cell r="CA71">
            <v>163.60133164029509</v>
          </cell>
          <cell r="CB71">
            <v>-0.44336730150248715</v>
          </cell>
          <cell r="CC71">
            <v>163.1579643387926</v>
          </cell>
          <cell r="CD71">
            <v>0</v>
          </cell>
          <cell r="CE71">
            <v>200</v>
          </cell>
          <cell r="CF71">
            <v>0</v>
          </cell>
          <cell r="CG71">
            <v>0.65825</v>
          </cell>
          <cell r="CH71">
            <v>140</v>
          </cell>
          <cell r="CI71">
            <v>0.65004641425213805</v>
          </cell>
          <cell r="CJ71">
            <v>0.65004641425213805</v>
          </cell>
          <cell r="CK71">
            <v>0.57663007135662225</v>
          </cell>
          <cell r="CL71">
            <v>0.16715479223626403</v>
          </cell>
          <cell r="CM71">
            <v>2.7551020408163263</v>
          </cell>
          <cell r="CN71">
            <v>3.4988869044092126</v>
          </cell>
          <cell r="CO71">
            <v>1.1981091482632043E-2</v>
          </cell>
          <cell r="CP71">
            <v>1.2142857142857146</v>
          </cell>
          <cell r="CQ71">
            <v>1.2262668057683466</v>
          </cell>
          <cell r="CR71">
            <v>1.21</v>
          </cell>
          <cell r="CS71">
            <v>9.81</v>
          </cell>
          <cell r="CT71">
            <v>9.61</v>
          </cell>
          <cell r="CU71">
            <v>0</v>
          </cell>
          <cell r="CV71">
            <v>189.16316446322227</v>
          </cell>
        </row>
        <row r="72">
          <cell r="K72" t="str">
            <v>ExportKohlsBig One StripeUSAHand41x71M</v>
          </cell>
          <cell r="L72">
            <v>0</v>
          </cell>
          <cell r="M72">
            <v>90.83</v>
          </cell>
          <cell r="N72">
            <v>0</v>
          </cell>
          <cell r="O72">
            <v>26.33</v>
          </cell>
          <cell r="P72">
            <v>20.6</v>
          </cell>
          <cell r="Q72">
            <v>6.9</v>
          </cell>
          <cell r="R72">
            <v>0</v>
          </cell>
          <cell r="S72">
            <v>0</v>
          </cell>
          <cell r="T72">
            <v>144.66</v>
          </cell>
          <cell r="U72">
            <v>141.76679999999999</v>
          </cell>
          <cell r="V72">
            <v>2.5000000000000001E-3</v>
          </cell>
          <cell r="W72">
            <v>0</v>
          </cell>
          <cell r="X72">
            <v>0</v>
          </cell>
          <cell r="Y72">
            <v>-2.5000000000000001E-2</v>
          </cell>
          <cell r="Z72">
            <v>2.0000000000000018E-2</v>
          </cell>
          <cell r="AA72">
            <v>1.4999999999999999E-2</v>
          </cell>
          <cell r="AB72">
            <v>0.01</v>
          </cell>
          <cell r="AC72">
            <v>0.35530526315789468</v>
          </cell>
          <cell r="AD72">
            <v>0</v>
          </cell>
          <cell r="AE72">
            <v>0</v>
          </cell>
          <cell r="AF72">
            <v>-0.65825</v>
          </cell>
          <cell r="AG72">
            <v>2.8932000000000024</v>
          </cell>
          <cell r="AH72">
            <v>2.158885279187817</v>
          </cell>
          <cell r="AI72">
            <v>1.4319878787878788</v>
          </cell>
          <cell r="AJ72">
            <v>6.1811284211335931</v>
          </cell>
          <cell r="AK72">
            <v>147.94792842113358</v>
          </cell>
          <cell r="AL72" t="str">
            <v>2/24  DyedPattern</v>
          </cell>
          <cell r="AM72">
            <v>0</v>
          </cell>
          <cell r="AN72" t="str">
            <v>2/24  DyedPattern</v>
          </cell>
          <cell r="AO72" t="str">
            <v>1/16  CombDyed</v>
          </cell>
          <cell r="AP72" t="str">
            <v>2/24  KC</v>
          </cell>
          <cell r="AQ72">
            <v>0</v>
          </cell>
          <cell r="AR72">
            <v>0</v>
          </cell>
          <cell r="AS72">
            <v>160</v>
          </cell>
          <cell r="AT72">
            <v>0</v>
          </cell>
          <cell r="AU72">
            <v>160</v>
          </cell>
          <cell r="AV72">
            <v>150</v>
          </cell>
          <cell r="AW72">
            <v>107.5</v>
          </cell>
          <cell r="AX72">
            <v>0</v>
          </cell>
          <cell r="AY72">
            <v>0</v>
          </cell>
          <cell r="AZ72">
            <v>14.5328</v>
          </cell>
          <cell r="BA72">
            <v>4.2127999999999997</v>
          </cell>
          <cell r="BB72">
            <v>3.09</v>
          </cell>
          <cell r="BC72">
            <v>0.74175000000000002</v>
          </cell>
          <cell r="BD72">
            <v>0</v>
          </cell>
          <cell r="BE72">
            <v>5.5453140350877186E-2</v>
          </cell>
          <cell r="BF72">
            <v>0</v>
          </cell>
          <cell r="BI72">
            <v>0</v>
          </cell>
          <cell r="BJ72">
            <v>0.3369411624365482</v>
          </cell>
          <cell r="BK72">
            <v>0.22349295959595961</v>
          </cell>
          <cell r="BL72">
            <v>0.61588726238338498</v>
          </cell>
          <cell r="BM72">
            <v>-8.8826315789473659E-3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-5.3972131979695429E-2</v>
          </cell>
          <cell r="BS72">
            <v>0</v>
          </cell>
          <cell r="BT72">
            <v>-6.2854763558642793E-2</v>
          </cell>
          <cell r="BU72">
            <v>160.32930500748918</v>
          </cell>
          <cell r="BV72">
            <v>-0.37309644670050757</v>
          </cell>
          <cell r="BW72">
            <v>159.95620856078867</v>
          </cell>
          <cell r="BX72">
            <v>163.60133164029509</v>
          </cell>
          <cell r="BY72">
            <v>-0.38071065989847713</v>
          </cell>
          <cell r="BZ72">
            <v>163.2206209803966</v>
          </cell>
          <cell r="CA72">
            <v>163.60133164029509</v>
          </cell>
          <cell r="CB72">
            <v>-0.44336730150248715</v>
          </cell>
          <cell r="CC72">
            <v>163.1579643387926</v>
          </cell>
          <cell r="CD72">
            <v>0</v>
          </cell>
          <cell r="CE72">
            <v>200</v>
          </cell>
          <cell r="CF72">
            <v>0</v>
          </cell>
          <cell r="CG72">
            <v>0.65825</v>
          </cell>
          <cell r="CH72">
            <v>140</v>
          </cell>
          <cell r="CI72">
            <v>0.65004641425213805</v>
          </cell>
          <cell r="CJ72">
            <v>0.65004641425213805</v>
          </cell>
          <cell r="CK72">
            <v>0.57663007135662225</v>
          </cell>
          <cell r="CL72">
            <v>0.16715479223626403</v>
          </cell>
          <cell r="CM72">
            <v>2.7551020408163263</v>
          </cell>
          <cell r="CN72">
            <v>3.4988869044092126</v>
          </cell>
          <cell r="CO72">
            <v>1.1981091482632043E-2</v>
          </cell>
          <cell r="CP72">
            <v>1.2142857142857146</v>
          </cell>
          <cell r="CQ72">
            <v>1.2262668057683466</v>
          </cell>
          <cell r="CR72">
            <v>4.22</v>
          </cell>
          <cell r="CS72">
            <v>9.7200000000000006</v>
          </cell>
          <cell r="CT72">
            <v>9.61</v>
          </cell>
          <cell r="CU72">
            <v>0</v>
          </cell>
          <cell r="CV72">
            <v>192.08316446322229</v>
          </cell>
        </row>
        <row r="73">
          <cell r="K73" t="str">
            <v>ExportKohlsBig One StripeUSAHand41x71D</v>
          </cell>
          <cell r="L73">
            <v>0</v>
          </cell>
          <cell r="M73">
            <v>90.83</v>
          </cell>
          <cell r="N73">
            <v>0</v>
          </cell>
          <cell r="O73">
            <v>26.33</v>
          </cell>
          <cell r="P73">
            <v>20.6</v>
          </cell>
          <cell r="Q73">
            <v>6.9</v>
          </cell>
          <cell r="R73">
            <v>0</v>
          </cell>
          <cell r="S73">
            <v>0</v>
          </cell>
          <cell r="T73">
            <v>144.66</v>
          </cell>
          <cell r="U73">
            <v>141.76679999999999</v>
          </cell>
          <cell r="V73">
            <v>2.5000000000000001E-3</v>
          </cell>
          <cell r="W73">
            <v>0</v>
          </cell>
          <cell r="X73">
            <v>0</v>
          </cell>
          <cell r="Y73">
            <v>-2.5000000000000001E-2</v>
          </cell>
          <cell r="Z73">
            <v>2.0000000000000018E-2</v>
          </cell>
          <cell r="AA73">
            <v>1.4999999999999999E-2</v>
          </cell>
          <cell r="AB73">
            <v>0.01</v>
          </cell>
          <cell r="AC73">
            <v>0.35530526315789468</v>
          </cell>
          <cell r="AD73">
            <v>0</v>
          </cell>
          <cell r="AE73">
            <v>0</v>
          </cell>
          <cell r="AF73">
            <v>-0.65825</v>
          </cell>
          <cell r="AG73">
            <v>2.8932000000000024</v>
          </cell>
          <cell r="AH73">
            <v>2.158885279187817</v>
          </cell>
          <cell r="AI73">
            <v>1.4319878787878788</v>
          </cell>
          <cell r="AJ73">
            <v>6.1811284211335931</v>
          </cell>
          <cell r="AK73">
            <v>147.94792842113358</v>
          </cell>
          <cell r="AL73" t="str">
            <v>2/24  DyedPattern</v>
          </cell>
          <cell r="AM73">
            <v>0</v>
          </cell>
          <cell r="AN73" t="str">
            <v>2/24  DyedPattern</v>
          </cell>
          <cell r="AO73" t="str">
            <v>1/16  CombDyed</v>
          </cell>
          <cell r="AP73" t="str">
            <v>2/24  KC</v>
          </cell>
          <cell r="AQ73">
            <v>0</v>
          </cell>
          <cell r="AR73">
            <v>0</v>
          </cell>
          <cell r="AS73">
            <v>160</v>
          </cell>
          <cell r="AT73">
            <v>0</v>
          </cell>
          <cell r="AU73">
            <v>160</v>
          </cell>
          <cell r="AV73">
            <v>150</v>
          </cell>
          <cell r="AW73">
            <v>107.5</v>
          </cell>
          <cell r="AX73">
            <v>0</v>
          </cell>
          <cell r="AY73">
            <v>0</v>
          </cell>
          <cell r="AZ73">
            <v>14.5328</v>
          </cell>
          <cell r="BA73">
            <v>4.2127999999999997</v>
          </cell>
          <cell r="BB73">
            <v>3.09</v>
          </cell>
          <cell r="BC73">
            <v>0.74175000000000002</v>
          </cell>
          <cell r="BD73">
            <v>0</v>
          </cell>
          <cell r="BE73">
            <v>5.5453140350877186E-2</v>
          </cell>
          <cell r="BF73">
            <v>0</v>
          </cell>
          <cell r="BI73">
            <v>0</v>
          </cell>
          <cell r="BJ73">
            <v>0.3369411624365482</v>
          </cell>
          <cell r="BK73">
            <v>0.22349295959595961</v>
          </cell>
          <cell r="BL73">
            <v>0.61588726238338498</v>
          </cell>
          <cell r="BM73">
            <v>-8.8826315789473659E-3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-5.3972131979695429E-2</v>
          </cell>
          <cell r="BS73">
            <v>0</v>
          </cell>
          <cell r="BT73">
            <v>-6.2854763558642793E-2</v>
          </cell>
          <cell r="BU73">
            <v>160.32930500748918</v>
          </cell>
          <cell r="BV73">
            <v>-0.37309644670050757</v>
          </cell>
          <cell r="BW73">
            <v>159.95620856078867</v>
          </cell>
          <cell r="BX73">
            <v>163.60133164029509</v>
          </cell>
          <cell r="BY73">
            <v>-0.38071065989847713</v>
          </cell>
          <cell r="BZ73">
            <v>163.2206209803966</v>
          </cell>
          <cell r="CA73">
            <v>163.60133164029509</v>
          </cell>
          <cell r="CB73">
            <v>-0.44336730150248715</v>
          </cell>
          <cell r="CC73">
            <v>163.1579643387926</v>
          </cell>
          <cell r="CD73">
            <v>0</v>
          </cell>
          <cell r="CE73">
            <v>200</v>
          </cell>
          <cell r="CF73">
            <v>0</v>
          </cell>
          <cell r="CG73">
            <v>0.65825</v>
          </cell>
          <cell r="CH73">
            <v>140</v>
          </cell>
          <cell r="CI73">
            <v>0.65004641425213805</v>
          </cell>
          <cell r="CJ73">
            <v>0.65004641425213805</v>
          </cell>
          <cell r="CK73">
            <v>0.57663007135662225</v>
          </cell>
          <cell r="CL73">
            <v>0.16715479223626403</v>
          </cell>
          <cell r="CM73">
            <v>2.7551020408163263</v>
          </cell>
          <cell r="CN73">
            <v>3.4988869044092126</v>
          </cell>
          <cell r="CO73">
            <v>1.1981091482632043E-2</v>
          </cell>
          <cell r="CP73">
            <v>1.2142857142857146</v>
          </cell>
          <cell r="CQ73">
            <v>1.2262668057683466</v>
          </cell>
          <cell r="CR73">
            <v>14.66</v>
          </cell>
          <cell r="CS73">
            <v>9.98</v>
          </cell>
          <cell r="CT73">
            <v>9.61</v>
          </cell>
          <cell r="CU73">
            <v>0</v>
          </cell>
          <cell r="CV73">
            <v>202.78316446322228</v>
          </cell>
        </row>
        <row r="74">
          <cell r="K74" t="str">
            <v>ExportKohlsBig One StripeUSAWash30x30L</v>
          </cell>
          <cell r="L74">
            <v>0</v>
          </cell>
          <cell r="M74">
            <v>28</v>
          </cell>
          <cell r="N74">
            <v>0</v>
          </cell>
          <cell r="O74">
            <v>9</v>
          </cell>
          <cell r="P74">
            <v>6.45</v>
          </cell>
          <cell r="Q74">
            <v>5</v>
          </cell>
          <cell r="R74">
            <v>0</v>
          </cell>
          <cell r="S74">
            <v>0</v>
          </cell>
          <cell r="T74">
            <v>48.45</v>
          </cell>
          <cell r="U74">
            <v>47.481000000000002</v>
          </cell>
          <cell r="V74">
            <v>2.5000000000000001E-3</v>
          </cell>
          <cell r="W74">
            <v>0</v>
          </cell>
          <cell r="X74">
            <v>0</v>
          </cell>
          <cell r="Y74">
            <v>-2.5000000000000001E-2</v>
          </cell>
          <cell r="Z74">
            <v>2.0000000000000018E-2</v>
          </cell>
          <cell r="AA74">
            <v>1.4999999999999999E-2</v>
          </cell>
          <cell r="AB74">
            <v>0.01</v>
          </cell>
          <cell r="AC74">
            <v>0.11900000000000001</v>
          </cell>
          <cell r="AD74">
            <v>0</v>
          </cell>
          <cell r="AE74">
            <v>0</v>
          </cell>
          <cell r="AF74">
            <v>-0.22500000000000001</v>
          </cell>
          <cell r="AG74">
            <v>0.96900000000000097</v>
          </cell>
          <cell r="AH74">
            <v>0.72306091370558379</v>
          </cell>
          <cell r="AI74">
            <v>0.47960606060606059</v>
          </cell>
          <cell r="AJ74">
            <v>2.0656669743116454</v>
          </cell>
          <cell r="AK74">
            <v>49.546666974311648</v>
          </cell>
          <cell r="AL74" t="str">
            <v>2/24  DyedPattern</v>
          </cell>
          <cell r="AM74">
            <v>0</v>
          </cell>
          <cell r="AN74" t="str">
            <v>2/24  DyedPattern</v>
          </cell>
          <cell r="AO74" t="str">
            <v>1/16  CombDyed</v>
          </cell>
          <cell r="AP74" t="str">
            <v>2/24  KC</v>
          </cell>
          <cell r="AQ74">
            <v>0</v>
          </cell>
          <cell r="AR74">
            <v>0</v>
          </cell>
          <cell r="AS74">
            <v>160</v>
          </cell>
          <cell r="AT74">
            <v>0</v>
          </cell>
          <cell r="AU74">
            <v>160</v>
          </cell>
          <cell r="AV74">
            <v>150</v>
          </cell>
          <cell r="AW74">
            <v>107.5</v>
          </cell>
          <cell r="AX74">
            <v>0</v>
          </cell>
          <cell r="AY74">
            <v>0</v>
          </cell>
          <cell r="AZ74">
            <v>4.4800000000000004</v>
          </cell>
          <cell r="BA74">
            <v>1.44</v>
          </cell>
          <cell r="BB74">
            <v>0.96750000000000003</v>
          </cell>
          <cell r="BC74">
            <v>0.53749999999999998</v>
          </cell>
          <cell r="BD74">
            <v>0</v>
          </cell>
          <cell r="BE74">
            <v>1.8236842105263159E-2</v>
          </cell>
          <cell r="BF74">
            <v>0</v>
          </cell>
          <cell r="BI74">
            <v>0</v>
          </cell>
          <cell r="BJ74">
            <v>0.11080964467005076</v>
          </cell>
          <cell r="BK74">
            <v>7.3499999999999996E-2</v>
          </cell>
          <cell r="BL74">
            <v>0.20254648677531389</v>
          </cell>
          <cell r="BM74">
            <v>-2.9750000000000002E-3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-1.8076522842639595E-2</v>
          </cell>
          <cell r="BS74">
            <v>0</v>
          </cell>
          <cell r="BT74">
            <v>-2.1051522842639593E-2</v>
          </cell>
          <cell r="BU74">
            <v>157.4313000366422</v>
          </cell>
          <cell r="BV74">
            <v>-0.37309644670050757</v>
          </cell>
          <cell r="BW74">
            <v>157.05820358994168</v>
          </cell>
          <cell r="BX74">
            <v>160.64418371085938</v>
          </cell>
          <cell r="BY74">
            <v>-0.38071065989847713</v>
          </cell>
          <cell r="BZ74">
            <v>160.2634730509609</v>
          </cell>
          <cell r="CA74">
            <v>160.64418371085938</v>
          </cell>
          <cell r="CB74">
            <v>-0.44336730150248715</v>
          </cell>
          <cell r="CC74">
            <v>160.20081640935689</v>
          </cell>
          <cell r="CD74">
            <v>0</v>
          </cell>
          <cell r="CE74">
            <v>200</v>
          </cell>
          <cell r="CF74">
            <v>0</v>
          </cell>
          <cell r="CG74">
            <v>0.22500000000000001</v>
          </cell>
          <cell r="CH74">
            <v>140</v>
          </cell>
          <cell r="CI74">
            <v>0.6634232640424591</v>
          </cell>
          <cell r="CJ74">
            <v>0.6634232640424591</v>
          </cell>
          <cell r="CK74">
            <v>0.53073861123396715</v>
          </cell>
          <cell r="CL74">
            <v>0.17059455361091805</v>
          </cell>
          <cell r="CM74">
            <v>2.7551020408163263</v>
          </cell>
          <cell r="CN74">
            <v>3.4564352056612115</v>
          </cell>
          <cell r="CO74">
            <v>1.1027568922305766E-2</v>
          </cell>
          <cell r="CP74">
            <v>1.2142857142857144</v>
          </cell>
          <cell r="CQ74">
            <v>1.2253132832080202</v>
          </cell>
          <cell r="CR74">
            <v>1.21</v>
          </cell>
          <cell r="CS74">
            <v>9.81</v>
          </cell>
          <cell r="CT74">
            <v>32.75</v>
          </cell>
          <cell r="CU74">
            <v>0</v>
          </cell>
          <cell r="CV74">
            <v>209.31598816226858</v>
          </cell>
        </row>
        <row r="75">
          <cell r="K75" t="str">
            <v>ExportKohlsBig One StripeUSAWash30x30M</v>
          </cell>
          <cell r="L75">
            <v>0</v>
          </cell>
          <cell r="M75">
            <v>28</v>
          </cell>
          <cell r="N75">
            <v>0</v>
          </cell>
          <cell r="O75">
            <v>9</v>
          </cell>
          <cell r="P75">
            <v>6.45</v>
          </cell>
          <cell r="Q75">
            <v>5</v>
          </cell>
          <cell r="R75">
            <v>0</v>
          </cell>
          <cell r="S75">
            <v>0</v>
          </cell>
          <cell r="T75">
            <v>48.45</v>
          </cell>
          <cell r="U75">
            <v>47.481000000000002</v>
          </cell>
          <cell r="V75">
            <v>2.5000000000000001E-3</v>
          </cell>
          <cell r="W75">
            <v>0</v>
          </cell>
          <cell r="X75">
            <v>0</v>
          </cell>
          <cell r="Y75">
            <v>-2.5000000000000001E-2</v>
          </cell>
          <cell r="Z75">
            <v>2.0000000000000018E-2</v>
          </cell>
          <cell r="AA75">
            <v>1.4999999999999999E-2</v>
          </cell>
          <cell r="AB75">
            <v>0.01</v>
          </cell>
          <cell r="AC75">
            <v>0.11900000000000001</v>
          </cell>
          <cell r="AD75">
            <v>0</v>
          </cell>
          <cell r="AE75">
            <v>0</v>
          </cell>
          <cell r="AF75">
            <v>-0.22500000000000001</v>
          </cell>
          <cell r="AG75">
            <v>0.96900000000000097</v>
          </cell>
          <cell r="AH75">
            <v>0.72306091370558379</v>
          </cell>
          <cell r="AI75">
            <v>0.47960606060606059</v>
          </cell>
          <cell r="AJ75">
            <v>2.0656669743116454</v>
          </cell>
          <cell r="AK75">
            <v>49.546666974311648</v>
          </cell>
          <cell r="AL75" t="str">
            <v>2/24  DyedPattern</v>
          </cell>
          <cell r="AM75">
            <v>0</v>
          </cell>
          <cell r="AN75" t="str">
            <v>2/24  DyedPattern</v>
          </cell>
          <cell r="AO75" t="str">
            <v>1/16  CombDyed</v>
          </cell>
          <cell r="AP75" t="str">
            <v>2/24  KC</v>
          </cell>
          <cell r="AQ75">
            <v>0</v>
          </cell>
          <cell r="AR75">
            <v>0</v>
          </cell>
          <cell r="AS75">
            <v>160</v>
          </cell>
          <cell r="AT75">
            <v>0</v>
          </cell>
          <cell r="AU75">
            <v>160</v>
          </cell>
          <cell r="AV75">
            <v>150</v>
          </cell>
          <cell r="AW75">
            <v>107.5</v>
          </cell>
          <cell r="AX75">
            <v>0</v>
          </cell>
          <cell r="AY75">
            <v>0</v>
          </cell>
          <cell r="AZ75">
            <v>4.4800000000000004</v>
          </cell>
          <cell r="BA75">
            <v>1.44</v>
          </cell>
          <cell r="BB75">
            <v>0.96750000000000003</v>
          </cell>
          <cell r="BC75">
            <v>0.53749999999999998</v>
          </cell>
          <cell r="BD75">
            <v>0</v>
          </cell>
          <cell r="BE75">
            <v>1.8236842105263159E-2</v>
          </cell>
          <cell r="BF75">
            <v>0</v>
          </cell>
          <cell r="BI75">
            <v>0</v>
          </cell>
          <cell r="BJ75">
            <v>0.11080964467005076</v>
          </cell>
          <cell r="BK75">
            <v>7.3499999999999996E-2</v>
          </cell>
          <cell r="BL75">
            <v>0.20254648677531389</v>
          </cell>
          <cell r="BM75">
            <v>-2.9750000000000002E-3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-1.8076522842639595E-2</v>
          </cell>
          <cell r="BS75">
            <v>0</v>
          </cell>
          <cell r="BT75">
            <v>-2.1051522842639593E-2</v>
          </cell>
          <cell r="BU75">
            <v>157.4313000366422</v>
          </cell>
          <cell r="BV75">
            <v>-0.37309644670050757</v>
          </cell>
          <cell r="BW75">
            <v>157.05820358994168</v>
          </cell>
          <cell r="BX75">
            <v>160.64418371085938</v>
          </cell>
          <cell r="BY75">
            <v>-0.38071065989847713</v>
          </cell>
          <cell r="BZ75">
            <v>160.2634730509609</v>
          </cell>
          <cell r="CA75">
            <v>160.64418371085938</v>
          </cell>
          <cell r="CB75">
            <v>-0.44336730150248715</v>
          </cell>
          <cell r="CC75">
            <v>160.20081640935689</v>
          </cell>
          <cell r="CD75">
            <v>0</v>
          </cell>
          <cell r="CE75">
            <v>200</v>
          </cell>
          <cell r="CF75">
            <v>0</v>
          </cell>
          <cell r="CG75">
            <v>0.22500000000000001</v>
          </cell>
          <cell r="CH75">
            <v>140</v>
          </cell>
          <cell r="CI75">
            <v>0.6634232640424591</v>
          </cell>
          <cell r="CJ75">
            <v>0.6634232640424591</v>
          </cell>
          <cell r="CK75">
            <v>0.53073861123396715</v>
          </cell>
          <cell r="CL75">
            <v>0.17059455361091805</v>
          </cell>
          <cell r="CM75">
            <v>2.7551020408163263</v>
          </cell>
          <cell r="CN75">
            <v>3.4564352056612115</v>
          </cell>
          <cell r="CO75">
            <v>1.1027568922305766E-2</v>
          </cell>
          <cell r="CP75">
            <v>1.2142857142857144</v>
          </cell>
          <cell r="CQ75">
            <v>1.2253132832080202</v>
          </cell>
          <cell r="CR75">
            <v>4.22</v>
          </cell>
          <cell r="CS75">
            <v>9.7200000000000006</v>
          </cell>
          <cell r="CT75">
            <v>32.75</v>
          </cell>
          <cell r="CU75">
            <v>0</v>
          </cell>
          <cell r="CV75">
            <v>212.23598816226857</v>
          </cell>
        </row>
        <row r="76">
          <cell r="K76" t="str">
            <v>ExportKohlsBig One StripeUSAWash30x30D</v>
          </cell>
          <cell r="L76">
            <v>0</v>
          </cell>
          <cell r="M76">
            <v>28</v>
          </cell>
          <cell r="N76">
            <v>0</v>
          </cell>
          <cell r="O76">
            <v>9</v>
          </cell>
          <cell r="P76">
            <v>6.45</v>
          </cell>
          <cell r="Q76">
            <v>5</v>
          </cell>
          <cell r="R76">
            <v>0</v>
          </cell>
          <cell r="S76">
            <v>0</v>
          </cell>
          <cell r="T76">
            <v>48.45</v>
          </cell>
          <cell r="U76">
            <v>47.481000000000002</v>
          </cell>
          <cell r="V76">
            <v>2.5000000000000001E-3</v>
          </cell>
          <cell r="W76">
            <v>0</v>
          </cell>
          <cell r="X76">
            <v>0</v>
          </cell>
          <cell r="Y76">
            <v>-2.5000000000000001E-2</v>
          </cell>
          <cell r="Z76">
            <v>2.0000000000000018E-2</v>
          </cell>
          <cell r="AA76">
            <v>1.4999999999999999E-2</v>
          </cell>
          <cell r="AB76">
            <v>0.01</v>
          </cell>
          <cell r="AC76">
            <v>0.11900000000000001</v>
          </cell>
          <cell r="AD76">
            <v>0</v>
          </cell>
          <cell r="AE76">
            <v>0</v>
          </cell>
          <cell r="AF76">
            <v>-0.22500000000000001</v>
          </cell>
          <cell r="AG76">
            <v>0.96900000000000097</v>
          </cell>
          <cell r="AH76">
            <v>0.72306091370558379</v>
          </cell>
          <cell r="AI76">
            <v>0.47960606060606059</v>
          </cell>
          <cell r="AJ76">
            <v>2.0656669743116454</v>
          </cell>
          <cell r="AK76">
            <v>49.546666974311648</v>
          </cell>
          <cell r="AL76" t="str">
            <v>2/24  DyedPattern</v>
          </cell>
          <cell r="AM76">
            <v>0</v>
          </cell>
          <cell r="AN76" t="str">
            <v>2/24  DyedPattern</v>
          </cell>
          <cell r="AO76" t="str">
            <v>1/16  CombDyed</v>
          </cell>
          <cell r="AP76" t="str">
            <v>2/24  KC</v>
          </cell>
          <cell r="AQ76">
            <v>0</v>
          </cell>
          <cell r="AR76">
            <v>0</v>
          </cell>
          <cell r="AS76">
            <v>160</v>
          </cell>
          <cell r="AT76">
            <v>0</v>
          </cell>
          <cell r="AU76">
            <v>160</v>
          </cell>
          <cell r="AV76">
            <v>150</v>
          </cell>
          <cell r="AW76">
            <v>107.5</v>
          </cell>
          <cell r="AX76">
            <v>0</v>
          </cell>
          <cell r="AY76">
            <v>0</v>
          </cell>
          <cell r="AZ76">
            <v>4.4800000000000004</v>
          </cell>
          <cell r="BA76">
            <v>1.44</v>
          </cell>
          <cell r="BB76">
            <v>0.96750000000000003</v>
          </cell>
          <cell r="BC76">
            <v>0.53749999999999998</v>
          </cell>
          <cell r="BD76">
            <v>0</v>
          </cell>
          <cell r="BE76">
            <v>1.8236842105263159E-2</v>
          </cell>
          <cell r="BF76">
            <v>0</v>
          </cell>
          <cell r="BI76">
            <v>0</v>
          </cell>
          <cell r="BJ76">
            <v>0.11080964467005076</v>
          </cell>
          <cell r="BK76">
            <v>7.3499999999999996E-2</v>
          </cell>
          <cell r="BL76">
            <v>0.20254648677531389</v>
          </cell>
          <cell r="BM76">
            <v>-2.9750000000000002E-3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-1.8076522842639595E-2</v>
          </cell>
          <cell r="BS76">
            <v>0</v>
          </cell>
          <cell r="BT76">
            <v>-2.1051522842639593E-2</v>
          </cell>
          <cell r="BU76">
            <v>157.4313000366422</v>
          </cell>
          <cell r="BV76">
            <v>-0.37309644670050757</v>
          </cell>
          <cell r="BW76">
            <v>157.05820358994168</v>
          </cell>
          <cell r="BX76">
            <v>160.64418371085938</v>
          </cell>
          <cell r="BY76">
            <v>-0.38071065989847713</v>
          </cell>
          <cell r="BZ76">
            <v>160.2634730509609</v>
          </cell>
          <cell r="CA76">
            <v>160.64418371085938</v>
          </cell>
          <cell r="CB76">
            <v>-0.44336730150248715</v>
          </cell>
          <cell r="CC76">
            <v>160.20081640935689</v>
          </cell>
          <cell r="CD76">
            <v>0</v>
          </cell>
          <cell r="CE76">
            <v>200</v>
          </cell>
          <cell r="CF76">
            <v>0</v>
          </cell>
          <cell r="CG76">
            <v>0.22500000000000001</v>
          </cell>
          <cell r="CH76">
            <v>140</v>
          </cell>
          <cell r="CI76">
            <v>0.6634232640424591</v>
          </cell>
          <cell r="CJ76">
            <v>0.6634232640424591</v>
          </cell>
          <cell r="CK76">
            <v>0.53073861123396715</v>
          </cell>
          <cell r="CL76">
            <v>0.17059455361091805</v>
          </cell>
          <cell r="CM76">
            <v>2.7551020408163263</v>
          </cell>
          <cell r="CN76">
            <v>3.4564352056612115</v>
          </cell>
          <cell r="CO76">
            <v>1.1027568922305766E-2</v>
          </cell>
          <cell r="CP76">
            <v>1.2142857142857144</v>
          </cell>
          <cell r="CQ76">
            <v>1.2253132832080202</v>
          </cell>
          <cell r="CR76">
            <v>14.66</v>
          </cell>
          <cell r="CS76">
            <v>9.98</v>
          </cell>
          <cell r="CT76">
            <v>32.75</v>
          </cell>
          <cell r="CU76">
            <v>0</v>
          </cell>
          <cell r="CV76">
            <v>222.93598816226859</v>
          </cell>
        </row>
        <row r="77">
          <cell r="K77" t="str">
            <v>ExportKohlsBig One SolidUSABath76x137L</v>
          </cell>
          <cell r="L77">
            <v>0</v>
          </cell>
          <cell r="M77">
            <v>392.87</v>
          </cell>
          <cell r="N77">
            <v>0</v>
          </cell>
          <cell r="O77">
            <v>88.95</v>
          </cell>
          <cell r="P77">
            <v>74.804000000000002</v>
          </cell>
          <cell r="Q77">
            <v>32.276000000000003</v>
          </cell>
          <cell r="R77">
            <v>0</v>
          </cell>
          <cell r="S77">
            <v>0</v>
          </cell>
          <cell r="T77">
            <v>588.9</v>
          </cell>
          <cell r="U77">
            <v>547.67699999999991</v>
          </cell>
          <cell r="V77">
            <v>2.5000000000000001E-3</v>
          </cell>
          <cell r="W77">
            <v>0</v>
          </cell>
          <cell r="X77">
            <v>-1.3999999999999999E-2</v>
          </cell>
          <cell r="Y77">
            <v>-2.5000000000000001E-2</v>
          </cell>
          <cell r="Z77">
            <v>7.0000000000000173E-2</v>
          </cell>
          <cell r="AA77">
            <v>1.4999999999999999E-2</v>
          </cell>
          <cell r="AB77">
            <v>0.01</v>
          </cell>
          <cell r="AC77">
            <v>1.3726240601503756</v>
          </cell>
          <cell r="AD77">
            <v>0</v>
          </cell>
          <cell r="AE77">
            <v>-5.5001799999999994</v>
          </cell>
          <cell r="AF77">
            <v>-2.2237500000000003</v>
          </cell>
          <cell r="AG77">
            <v>41.223000000000098</v>
          </cell>
          <cell r="AH77">
            <v>8.3402588832487297</v>
          </cell>
          <cell r="AI77">
            <v>5.5320909090909085</v>
          </cell>
          <cell r="AJ77">
            <v>48.744043852490115</v>
          </cell>
          <cell r="AK77">
            <v>596.42104385249002</v>
          </cell>
          <cell r="AL77" t="str">
            <v>1/13   KC</v>
          </cell>
          <cell r="AM77">
            <v>0</v>
          </cell>
          <cell r="AN77" t="str">
            <v>2/24  KC</v>
          </cell>
          <cell r="AO77" t="str">
            <v xml:space="preserve">1/16OE  </v>
          </cell>
          <cell r="AP77" t="str">
            <v>2/24  KC</v>
          </cell>
          <cell r="AQ77">
            <v>0</v>
          </cell>
          <cell r="AR77">
            <v>0</v>
          </cell>
          <cell r="AS77">
            <v>84.5</v>
          </cell>
          <cell r="AT77">
            <v>0</v>
          </cell>
          <cell r="AU77">
            <v>107.5</v>
          </cell>
          <cell r="AV77">
            <v>77.75</v>
          </cell>
          <cell r="AW77">
            <v>107.5</v>
          </cell>
          <cell r="AX77">
            <v>0</v>
          </cell>
          <cell r="AY77">
            <v>0</v>
          </cell>
          <cell r="AZ77">
            <v>33.197515000000003</v>
          </cell>
          <cell r="BA77">
            <v>9.562125</v>
          </cell>
          <cell r="BB77">
            <v>5.8160110000000005</v>
          </cell>
          <cell r="BC77">
            <v>3.4696700000000007</v>
          </cell>
          <cell r="BD77">
            <v>0</v>
          </cell>
          <cell r="BE77">
            <v>0.12130864293233083</v>
          </cell>
          <cell r="BF77">
            <v>0</v>
          </cell>
          <cell r="BI77">
            <v>0</v>
          </cell>
          <cell r="BJ77">
            <v>0.73708855629441627</v>
          </cell>
          <cell r="BK77">
            <v>0.48891059121212127</v>
          </cell>
          <cell r="BL77">
            <v>1.3473077904388684</v>
          </cell>
          <cell r="BM77">
            <v>-3.431560150375939E-2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-0.20850647208121825</v>
          </cell>
          <cell r="BS77">
            <v>0</v>
          </cell>
          <cell r="BT77">
            <v>-0.24282207358497765</v>
          </cell>
          <cell r="BU77">
            <v>90.665017474000479</v>
          </cell>
          <cell r="BV77">
            <v>-0.35406091370558374</v>
          </cell>
          <cell r="BW77">
            <v>90.310956560294898</v>
          </cell>
          <cell r="BX77">
            <v>97.489266101075785</v>
          </cell>
          <cell r="BY77">
            <v>-0.38071065989847719</v>
          </cell>
          <cell r="BZ77">
            <v>97.108555441177302</v>
          </cell>
          <cell r="CA77">
            <v>97.489266101075785</v>
          </cell>
          <cell r="CB77">
            <v>-0.44336730150248721</v>
          </cell>
          <cell r="CC77">
            <v>97.045898799573294</v>
          </cell>
          <cell r="CD77">
            <v>5.5001799999999994</v>
          </cell>
          <cell r="CE77">
            <v>200</v>
          </cell>
          <cell r="CF77">
            <v>2.0085488344407381</v>
          </cell>
          <cell r="CG77">
            <v>2.2237500000000003</v>
          </cell>
          <cell r="CH77">
            <v>140</v>
          </cell>
          <cell r="CI77">
            <v>0.56844636528464787</v>
          </cell>
          <cell r="CJ77">
            <v>2.5769951997253857</v>
          </cell>
          <cell r="CK77">
            <v>0.64560498249880871</v>
          </cell>
          <cell r="CL77">
            <v>0.14617192250176655</v>
          </cell>
          <cell r="CM77">
            <v>2.903225806451613</v>
          </cell>
          <cell r="CN77">
            <v>3.6950027114521884</v>
          </cell>
          <cell r="CO77">
            <v>1.341423685858636E-2</v>
          </cell>
          <cell r="CP77">
            <v>1.2795698924731187</v>
          </cell>
          <cell r="CQ77">
            <v>1.292984129331705</v>
          </cell>
          <cell r="CR77">
            <v>1.21</v>
          </cell>
          <cell r="CS77">
            <v>9.81</v>
          </cell>
          <cell r="CT77">
            <v>9.26</v>
          </cell>
          <cell r="CU77">
            <v>0</v>
          </cell>
          <cell r="CV77">
            <v>124.89088084008257</v>
          </cell>
        </row>
        <row r="78">
          <cell r="K78" t="str">
            <v>ExportKohlsBig One SolidUSABath76x137M</v>
          </cell>
          <cell r="L78">
            <v>0</v>
          </cell>
          <cell r="M78">
            <v>392.87</v>
          </cell>
          <cell r="N78">
            <v>0</v>
          </cell>
          <cell r="O78">
            <v>88.95</v>
          </cell>
          <cell r="P78">
            <v>74.804000000000002</v>
          </cell>
          <cell r="Q78">
            <v>32.276000000000003</v>
          </cell>
          <cell r="R78">
            <v>0</v>
          </cell>
          <cell r="S78">
            <v>0</v>
          </cell>
          <cell r="T78">
            <v>588.9</v>
          </cell>
          <cell r="U78">
            <v>547.67699999999991</v>
          </cell>
          <cell r="V78">
            <v>2.5000000000000001E-3</v>
          </cell>
          <cell r="W78">
            <v>0</v>
          </cell>
          <cell r="X78">
            <v>-1.3999999999999999E-2</v>
          </cell>
          <cell r="Y78">
            <v>-2.5000000000000001E-2</v>
          </cell>
          <cell r="Z78">
            <v>7.0000000000000173E-2</v>
          </cell>
          <cell r="AA78">
            <v>1.4999999999999999E-2</v>
          </cell>
          <cell r="AB78">
            <v>0.01</v>
          </cell>
          <cell r="AC78">
            <v>1.3726240601503756</v>
          </cell>
          <cell r="AD78">
            <v>0</v>
          </cell>
          <cell r="AE78">
            <v>-5.5001799999999994</v>
          </cell>
          <cell r="AF78">
            <v>-2.2237500000000003</v>
          </cell>
          <cell r="AG78">
            <v>41.223000000000098</v>
          </cell>
          <cell r="AH78">
            <v>8.3402588832487297</v>
          </cell>
          <cell r="AI78">
            <v>5.5320909090909085</v>
          </cell>
          <cell r="AJ78">
            <v>48.744043852490115</v>
          </cell>
          <cell r="AK78">
            <v>596.42104385249002</v>
          </cell>
          <cell r="AL78" t="str">
            <v>1/13   KC</v>
          </cell>
          <cell r="AM78">
            <v>0</v>
          </cell>
          <cell r="AN78" t="str">
            <v>2/24  KC</v>
          </cell>
          <cell r="AO78" t="str">
            <v xml:space="preserve">1/16OE  </v>
          </cell>
          <cell r="AP78" t="str">
            <v>2/24  KC</v>
          </cell>
          <cell r="AQ78">
            <v>0</v>
          </cell>
          <cell r="AR78">
            <v>0</v>
          </cell>
          <cell r="AS78">
            <v>84.5</v>
          </cell>
          <cell r="AT78">
            <v>0</v>
          </cell>
          <cell r="AU78">
            <v>107.5</v>
          </cell>
          <cell r="AV78">
            <v>77.75</v>
          </cell>
          <cell r="AW78">
            <v>107.5</v>
          </cell>
          <cell r="AX78">
            <v>0</v>
          </cell>
          <cell r="AY78">
            <v>0</v>
          </cell>
          <cell r="AZ78">
            <v>33.197515000000003</v>
          </cell>
          <cell r="BA78">
            <v>9.562125</v>
          </cell>
          <cell r="BB78">
            <v>5.8160110000000005</v>
          </cell>
          <cell r="BC78">
            <v>3.4696700000000007</v>
          </cell>
          <cell r="BD78">
            <v>0</v>
          </cell>
          <cell r="BE78">
            <v>0.12130864293233083</v>
          </cell>
          <cell r="BF78">
            <v>0</v>
          </cell>
          <cell r="BI78">
            <v>0</v>
          </cell>
          <cell r="BJ78">
            <v>0.73708855629441627</v>
          </cell>
          <cell r="BK78">
            <v>0.48891059121212127</v>
          </cell>
          <cell r="BL78">
            <v>1.3473077904388684</v>
          </cell>
          <cell r="BM78">
            <v>-3.431560150375939E-2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-0.20850647208121825</v>
          </cell>
          <cell r="BS78">
            <v>0</v>
          </cell>
          <cell r="BT78">
            <v>-0.24282207358497765</v>
          </cell>
          <cell r="BU78">
            <v>90.665017474000479</v>
          </cell>
          <cell r="BV78">
            <v>-0.35406091370558374</v>
          </cell>
          <cell r="BW78">
            <v>90.310956560294898</v>
          </cell>
          <cell r="BX78">
            <v>97.489266101075785</v>
          </cell>
          <cell r="BY78">
            <v>-0.38071065989847719</v>
          </cell>
          <cell r="BZ78">
            <v>97.108555441177302</v>
          </cell>
          <cell r="CA78">
            <v>97.489266101075785</v>
          </cell>
          <cell r="CB78">
            <v>-0.44336730150248721</v>
          </cell>
          <cell r="CC78">
            <v>97.045898799573294</v>
          </cell>
          <cell r="CD78">
            <v>5.5001799999999994</v>
          </cell>
          <cell r="CE78">
            <v>200</v>
          </cell>
          <cell r="CF78">
            <v>2.0085488344407381</v>
          </cell>
          <cell r="CG78">
            <v>2.2237500000000003</v>
          </cell>
          <cell r="CH78">
            <v>140</v>
          </cell>
          <cell r="CI78">
            <v>0.56844636528464787</v>
          </cell>
          <cell r="CJ78">
            <v>2.5769951997253857</v>
          </cell>
          <cell r="CK78">
            <v>0.64560498249880871</v>
          </cell>
          <cell r="CL78">
            <v>0.14617192250176655</v>
          </cell>
          <cell r="CM78">
            <v>2.903225806451613</v>
          </cell>
          <cell r="CN78">
            <v>3.6950027114521884</v>
          </cell>
          <cell r="CO78">
            <v>1.341423685858636E-2</v>
          </cell>
          <cell r="CP78">
            <v>1.2795698924731187</v>
          </cell>
          <cell r="CQ78">
            <v>1.292984129331705</v>
          </cell>
          <cell r="CR78">
            <v>4.22</v>
          </cell>
          <cell r="CS78">
            <v>9.7200000000000006</v>
          </cell>
          <cell r="CT78">
            <v>9.26</v>
          </cell>
          <cell r="CU78">
            <v>0</v>
          </cell>
          <cell r="CV78">
            <v>127.81088084008258</v>
          </cell>
        </row>
        <row r="79">
          <cell r="K79" t="str">
            <v>ExportKohlsBig One SolidUSABath76x137D</v>
          </cell>
          <cell r="L79">
            <v>0</v>
          </cell>
          <cell r="M79">
            <v>392.87</v>
          </cell>
          <cell r="N79">
            <v>0</v>
          </cell>
          <cell r="O79">
            <v>88.95</v>
          </cell>
          <cell r="P79">
            <v>74.804000000000002</v>
          </cell>
          <cell r="Q79">
            <v>32.276000000000003</v>
          </cell>
          <cell r="R79">
            <v>0</v>
          </cell>
          <cell r="S79">
            <v>0</v>
          </cell>
          <cell r="T79">
            <v>588.9</v>
          </cell>
          <cell r="U79">
            <v>547.67699999999991</v>
          </cell>
          <cell r="V79">
            <v>2.5000000000000001E-3</v>
          </cell>
          <cell r="W79">
            <v>0</v>
          </cell>
          <cell r="X79">
            <v>-1.3999999999999999E-2</v>
          </cell>
          <cell r="Y79">
            <v>-2.5000000000000001E-2</v>
          </cell>
          <cell r="Z79">
            <v>7.0000000000000173E-2</v>
          </cell>
          <cell r="AA79">
            <v>1.4999999999999999E-2</v>
          </cell>
          <cell r="AB79">
            <v>0.01</v>
          </cell>
          <cell r="AC79">
            <v>1.3726240601503756</v>
          </cell>
          <cell r="AD79">
            <v>0</v>
          </cell>
          <cell r="AE79">
            <v>-5.5001799999999994</v>
          </cell>
          <cell r="AF79">
            <v>-2.2237500000000003</v>
          </cell>
          <cell r="AG79">
            <v>41.223000000000098</v>
          </cell>
          <cell r="AH79">
            <v>8.3402588832487297</v>
          </cell>
          <cell r="AI79">
            <v>5.5320909090909085</v>
          </cell>
          <cell r="AJ79">
            <v>48.744043852490115</v>
          </cell>
          <cell r="AK79">
            <v>596.42104385249002</v>
          </cell>
          <cell r="AL79" t="str">
            <v>1/13   KC</v>
          </cell>
          <cell r="AM79">
            <v>0</v>
          </cell>
          <cell r="AN79" t="str">
            <v>2/24  KC</v>
          </cell>
          <cell r="AO79" t="str">
            <v xml:space="preserve">1/16OE  </v>
          </cell>
          <cell r="AP79" t="str">
            <v>2/24  KC</v>
          </cell>
          <cell r="AQ79">
            <v>0</v>
          </cell>
          <cell r="AR79">
            <v>0</v>
          </cell>
          <cell r="AS79">
            <v>84.5</v>
          </cell>
          <cell r="AT79">
            <v>0</v>
          </cell>
          <cell r="AU79">
            <v>107.5</v>
          </cell>
          <cell r="AV79">
            <v>77.75</v>
          </cell>
          <cell r="AW79">
            <v>107.5</v>
          </cell>
          <cell r="AX79">
            <v>0</v>
          </cell>
          <cell r="AY79">
            <v>0</v>
          </cell>
          <cell r="AZ79">
            <v>33.197515000000003</v>
          </cell>
          <cell r="BA79">
            <v>9.562125</v>
          </cell>
          <cell r="BB79">
            <v>5.8160110000000005</v>
          </cell>
          <cell r="BC79">
            <v>3.4696700000000007</v>
          </cell>
          <cell r="BD79">
            <v>0</v>
          </cell>
          <cell r="BE79">
            <v>0.12130864293233083</v>
          </cell>
          <cell r="BF79">
            <v>0</v>
          </cell>
          <cell r="BI79">
            <v>0</v>
          </cell>
          <cell r="BJ79">
            <v>0.73708855629441627</v>
          </cell>
          <cell r="BK79">
            <v>0.48891059121212127</v>
          </cell>
          <cell r="BL79">
            <v>1.3473077904388684</v>
          </cell>
          <cell r="BM79">
            <v>-3.431560150375939E-2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-0.20850647208121825</v>
          </cell>
          <cell r="BS79">
            <v>0</v>
          </cell>
          <cell r="BT79">
            <v>-0.24282207358497765</v>
          </cell>
          <cell r="BU79">
            <v>90.665017474000479</v>
          </cell>
          <cell r="BV79">
            <v>-0.35406091370558374</v>
          </cell>
          <cell r="BW79">
            <v>90.310956560294898</v>
          </cell>
          <cell r="BX79">
            <v>97.489266101075785</v>
          </cell>
          <cell r="BY79">
            <v>-0.38071065989847719</v>
          </cell>
          <cell r="BZ79">
            <v>97.108555441177302</v>
          </cell>
          <cell r="CA79">
            <v>97.489266101075785</v>
          </cell>
          <cell r="CB79">
            <v>-0.44336730150248721</v>
          </cell>
          <cell r="CC79">
            <v>97.045898799573294</v>
          </cell>
          <cell r="CD79">
            <v>5.5001799999999994</v>
          </cell>
          <cell r="CE79">
            <v>200</v>
          </cell>
          <cell r="CF79">
            <v>2.0085488344407381</v>
          </cell>
          <cell r="CG79">
            <v>2.2237500000000003</v>
          </cell>
          <cell r="CH79">
            <v>140</v>
          </cell>
          <cell r="CI79">
            <v>0.56844636528464787</v>
          </cell>
          <cell r="CJ79">
            <v>2.5769951997253857</v>
          </cell>
          <cell r="CK79">
            <v>0.64560498249880871</v>
          </cell>
          <cell r="CL79">
            <v>0.14617192250176655</v>
          </cell>
          <cell r="CM79">
            <v>2.903225806451613</v>
          </cell>
          <cell r="CN79">
            <v>3.6950027114521884</v>
          </cell>
          <cell r="CO79">
            <v>1.341423685858636E-2</v>
          </cell>
          <cell r="CP79">
            <v>1.2795698924731187</v>
          </cell>
          <cell r="CQ79">
            <v>1.292984129331705</v>
          </cell>
          <cell r="CR79">
            <v>14.66</v>
          </cell>
          <cell r="CS79">
            <v>9.98</v>
          </cell>
          <cell r="CT79">
            <v>9.26</v>
          </cell>
          <cell r="CU79">
            <v>0</v>
          </cell>
          <cell r="CV79">
            <v>138.51088084008256</v>
          </cell>
        </row>
        <row r="80">
          <cell r="K80" t="str">
            <v>ExportKohlsBig One SolidUSAHand41x71L</v>
          </cell>
          <cell r="L80">
            <v>0</v>
          </cell>
          <cell r="M80">
            <v>89.11</v>
          </cell>
          <cell r="N80">
            <v>0</v>
          </cell>
          <cell r="O80">
            <v>26.58</v>
          </cell>
          <cell r="P80">
            <v>20.52</v>
          </cell>
          <cell r="Q80">
            <v>16.59</v>
          </cell>
          <cell r="R80">
            <v>0</v>
          </cell>
          <cell r="S80">
            <v>0</v>
          </cell>
          <cell r="T80">
            <v>152.80000000000001</v>
          </cell>
          <cell r="U80">
            <v>142.10400000000001</v>
          </cell>
          <cell r="V80">
            <v>2.5000000000000001E-3</v>
          </cell>
          <cell r="W80">
            <v>0</v>
          </cell>
          <cell r="X80">
            <v>-1.3999999999999999E-2</v>
          </cell>
          <cell r="Y80">
            <v>-2.5000000000000001E-2</v>
          </cell>
          <cell r="Z80">
            <v>6.9999999999999951E-2</v>
          </cell>
          <cell r="AA80">
            <v>1.4999999999999999E-2</v>
          </cell>
          <cell r="AB80">
            <v>0.01</v>
          </cell>
          <cell r="AC80">
            <v>0.35615037593984966</v>
          </cell>
          <cell r="AD80">
            <v>0</v>
          </cell>
          <cell r="AE80">
            <v>-1.2475399999999999</v>
          </cell>
          <cell r="AF80">
            <v>-0.66449999999999998</v>
          </cell>
          <cell r="AG80">
            <v>10.695999999999993</v>
          </cell>
          <cell r="AH80">
            <v>2.164020304568528</v>
          </cell>
          <cell r="AI80">
            <v>1.4353939393939397</v>
          </cell>
          <cell r="AJ80">
            <v>12.73952461990231</v>
          </cell>
          <cell r="AK80">
            <v>154.84352461990233</v>
          </cell>
          <cell r="AL80" t="str">
            <v>1/13   KC</v>
          </cell>
          <cell r="AM80">
            <v>0</v>
          </cell>
          <cell r="AN80" t="str">
            <v>2/24  KC</v>
          </cell>
          <cell r="AO80" t="str">
            <v xml:space="preserve">1/16OE  </v>
          </cell>
          <cell r="AP80" t="str">
            <v>2/24  KC</v>
          </cell>
          <cell r="AQ80">
            <v>0</v>
          </cell>
          <cell r="AR80">
            <v>0</v>
          </cell>
          <cell r="AS80">
            <v>84.5</v>
          </cell>
          <cell r="AT80">
            <v>0</v>
          </cell>
          <cell r="AU80">
            <v>107.5</v>
          </cell>
          <cell r="AV80">
            <v>77.75</v>
          </cell>
          <cell r="AW80">
            <v>107.5</v>
          </cell>
          <cell r="AX80">
            <v>0</v>
          </cell>
          <cell r="AY80">
            <v>0</v>
          </cell>
          <cell r="AZ80">
            <v>7.529795</v>
          </cell>
          <cell r="BA80">
            <v>2.8573499999999998</v>
          </cell>
          <cell r="BB80">
            <v>1.5954300000000001</v>
          </cell>
          <cell r="BC80">
            <v>1.783425</v>
          </cell>
          <cell r="BD80">
            <v>0</v>
          </cell>
          <cell r="BE80">
            <v>3.2086165413533832E-2</v>
          </cell>
          <cell r="BF80">
            <v>0</v>
          </cell>
          <cell r="BI80">
            <v>0</v>
          </cell>
          <cell r="BJ80">
            <v>0.19496010152284263</v>
          </cell>
          <cell r="BK80">
            <v>0.12931696969696971</v>
          </cell>
          <cell r="BL80">
            <v>0.35636323663334618</v>
          </cell>
          <cell r="BM80">
            <v>-8.9037593984962419E-3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-5.41005076142132E-2</v>
          </cell>
          <cell r="BS80">
            <v>0</v>
          </cell>
          <cell r="BT80">
            <v>-6.3004267012709447E-2</v>
          </cell>
          <cell r="BU80">
            <v>92.423843171684197</v>
          </cell>
          <cell r="BV80">
            <v>-0.35406091370558379</v>
          </cell>
          <cell r="BW80">
            <v>92.069782257978616</v>
          </cell>
          <cell r="BX80">
            <v>99.380476528692682</v>
          </cell>
          <cell r="BY80">
            <v>-0.38071065989847719</v>
          </cell>
          <cell r="BZ80">
            <v>98.999765868794199</v>
          </cell>
          <cell r="CA80">
            <v>99.380476528692682</v>
          </cell>
          <cell r="CB80">
            <v>-0.44336730150248721</v>
          </cell>
          <cell r="CC80">
            <v>98.937109227190192</v>
          </cell>
          <cell r="CD80">
            <v>1.2475399999999999</v>
          </cell>
          <cell r="CE80">
            <v>200</v>
          </cell>
          <cell r="CF80">
            <v>1.7558126442605413</v>
          </cell>
          <cell r="CG80">
            <v>0.66449999999999998</v>
          </cell>
          <cell r="CH80">
            <v>140</v>
          </cell>
          <cell r="CI80">
            <v>0.65466137476777564</v>
          </cell>
          <cell r="CJ80">
            <v>2.4104740190283169</v>
          </cell>
          <cell r="CK80">
            <v>0.56436834994088825</v>
          </cell>
          <cell r="CL80">
            <v>0.16834149636885656</v>
          </cell>
          <cell r="CM80">
            <v>2.9032258064516125</v>
          </cell>
          <cell r="CN80">
            <v>3.6359356527613573</v>
          </cell>
          <cell r="CO80">
            <v>1.1726320159882902E-2</v>
          </cell>
          <cell r="CP80">
            <v>1.2795698924731185</v>
          </cell>
          <cell r="CQ80">
            <v>1.2912962126330014</v>
          </cell>
          <cell r="CR80">
            <v>1.21</v>
          </cell>
          <cell r="CS80">
            <v>9.81</v>
          </cell>
          <cell r="CT80">
            <v>9.61</v>
          </cell>
          <cell r="CU80">
            <v>0</v>
          </cell>
          <cell r="CV80">
            <v>126.90481511161286</v>
          </cell>
        </row>
        <row r="81">
          <cell r="K81" t="str">
            <v>ExportKohlsBig One SolidUSAHand41x71M</v>
          </cell>
          <cell r="L81">
            <v>0</v>
          </cell>
          <cell r="M81">
            <v>89.11</v>
          </cell>
          <cell r="N81">
            <v>0</v>
          </cell>
          <cell r="O81">
            <v>26.58</v>
          </cell>
          <cell r="P81">
            <v>20.52</v>
          </cell>
          <cell r="Q81">
            <v>16.59</v>
          </cell>
          <cell r="R81">
            <v>0</v>
          </cell>
          <cell r="S81">
            <v>0</v>
          </cell>
          <cell r="T81">
            <v>152.80000000000001</v>
          </cell>
          <cell r="U81">
            <v>142.10400000000001</v>
          </cell>
          <cell r="V81">
            <v>2.5000000000000001E-3</v>
          </cell>
          <cell r="W81">
            <v>0</v>
          </cell>
          <cell r="X81">
            <v>-1.3999999999999999E-2</v>
          </cell>
          <cell r="Y81">
            <v>-2.5000000000000001E-2</v>
          </cell>
          <cell r="Z81">
            <v>6.9999999999999951E-2</v>
          </cell>
          <cell r="AA81">
            <v>1.4999999999999999E-2</v>
          </cell>
          <cell r="AB81">
            <v>0.01</v>
          </cell>
          <cell r="AC81">
            <v>0.35615037593984966</v>
          </cell>
          <cell r="AD81">
            <v>0</v>
          </cell>
          <cell r="AE81">
            <v>-1.2475399999999999</v>
          </cell>
          <cell r="AF81">
            <v>-0.66449999999999998</v>
          </cell>
          <cell r="AG81">
            <v>10.695999999999993</v>
          </cell>
          <cell r="AH81">
            <v>2.164020304568528</v>
          </cell>
          <cell r="AI81">
            <v>1.4353939393939397</v>
          </cell>
          <cell r="AJ81">
            <v>12.73952461990231</v>
          </cell>
          <cell r="AK81">
            <v>154.84352461990233</v>
          </cell>
          <cell r="AL81" t="str">
            <v>1/13   KC</v>
          </cell>
          <cell r="AM81">
            <v>0</v>
          </cell>
          <cell r="AN81" t="str">
            <v>2/24  KC</v>
          </cell>
          <cell r="AO81" t="str">
            <v xml:space="preserve">1/16OE  </v>
          </cell>
          <cell r="AP81" t="str">
            <v>2/24  KC</v>
          </cell>
          <cell r="AQ81">
            <v>0</v>
          </cell>
          <cell r="AR81">
            <v>0</v>
          </cell>
          <cell r="AS81">
            <v>84.5</v>
          </cell>
          <cell r="AT81">
            <v>0</v>
          </cell>
          <cell r="AU81">
            <v>107.5</v>
          </cell>
          <cell r="AV81">
            <v>77.75</v>
          </cell>
          <cell r="AW81">
            <v>107.5</v>
          </cell>
          <cell r="AX81">
            <v>0</v>
          </cell>
          <cell r="AY81">
            <v>0</v>
          </cell>
          <cell r="AZ81">
            <v>7.529795</v>
          </cell>
          <cell r="BA81">
            <v>2.8573499999999998</v>
          </cell>
          <cell r="BB81">
            <v>1.5954300000000001</v>
          </cell>
          <cell r="BC81">
            <v>1.783425</v>
          </cell>
          <cell r="BD81">
            <v>0</v>
          </cell>
          <cell r="BE81">
            <v>3.2086165413533832E-2</v>
          </cell>
          <cell r="BF81">
            <v>0</v>
          </cell>
          <cell r="BI81">
            <v>0</v>
          </cell>
          <cell r="BJ81">
            <v>0.19496010152284263</v>
          </cell>
          <cell r="BK81">
            <v>0.12931696969696971</v>
          </cell>
          <cell r="BL81">
            <v>0.35636323663334618</v>
          </cell>
          <cell r="BM81">
            <v>-8.9037593984962419E-3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-5.41005076142132E-2</v>
          </cell>
          <cell r="BS81">
            <v>0</v>
          </cell>
          <cell r="BT81">
            <v>-6.3004267012709447E-2</v>
          </cell>
          <cell r="BU81">
            <v>92.423843171684197</v>
          </cell>
          <cell r="BV81">
            <v>-0.35406091370558379</v>
          </cell>
          <cell r="BW81">
            <v>92.069782257978616</v>
          </cell>
          <cell r="BX81">
            <v>99.380476528692682</v>
          </cell>
          <cell r="BY81">
            <v>-0.38071065989847719</v>
          </cell>
          <cell r="BZ81">
            <v>98.999765868794199</v>
          </cell>
          <cell r="CA81">
            <v>99.380476528692682</v>
          </cell>
          <cell r="CB81">
            <v>-0.44336730150248721</v>
          </cell>
          <cell r="CC81">
            <v>98.937109227190192</v>
          </cell>
          <cell r="CD81">
            <v>1.2475399999999999</v>
          </cell>
          <cell r="CE81">
            <v>200</v>
          </cell>
          <cell r="CF81">
            <v>1.7558126442605413</v>
          </cell>
          <cell r="CG81">
            <v>0.66449999999999998</v>
          </cell>
          <cell r="CH81">
            <v>140</v>
          </cell>
          <cell r="CI81">
            <v>0.65466137476777564</v>
          </cell>
          <cell r="CJ81">
            <v>2.4104740190283169</v>
          </cell>
          <cell r="CK81">
            <v>0.56436834994088825</v>
          </cell>
          <cell r="CL81">
            <v>0.16834149636885656</v>
          </cell>
          <cell r="CM81">
            <v>2.9032258064516125</v>
          </cell>
          <cell r="CN81">
            <v>3.6359356527613573</v>
          </cell>
          <cell r="CO81">
            <v>1.1726320159882902E-2</v>
          </cell>
          <cell r="CP81">
            <v>1.2795698924731185</v>
          </cell>
          <cell r="CQ81">
            <v>1.2912962126330014</v>
          </cell>
          <cell r="CR81">
            <v>4.22</v>
          </cell>
          <cell r="CS81">
            <v>9.7200000000000006</v>
          </cell>
          <cell r="CT81">
            <v>9.61</v>
          </cell>
          <cell r="CU81">
            <v>0</v>
          </cell>
          <cell r="CV81">
            <v>129.82481511161288</v>
          </cell>
        </row>
        <row r="82">
          <cell r="K82" t="str">
            <v>ExportKohlsBig One SolidUSAHand41x71D</v>
          </cell>
          <cell r="L82">
            <v>0</v>
          </cell>
          <cell r="M82">
            <v>89.11</v>
          </cell>
          <cell r="N82">
            <v>0</v>
          </cell>
          <cell r="O82">
            <v>26.58</v>
          </cell>
          <cell r="P82">
            <v>20.52</v>
          </cell>
          <cell r="Q82">
            <v>16.59</v>
          </cell>
          <cell r="R82">
            <v>0</v>
          </cell>
          <cell r="S82">
            <v>0</v>
          </cell>
          <cell r="T82">
            <v>152.80000000000001</v>
          </cell>
          <cell r="U82">
            <v>142.10400000000001</v>
          </cell>
          <cell r="V82">
            <v>2.5000000000000001E-3</v>
          </cell>
          <cell r="W82">
            <v>0</v>
          </cell>
          <cell r="X82">
            <v>-1.3999999999999999E-2</v>
          </cell>
          <cell r="Y82">
            <v>-2.5000000000000001E-2</v>
          </cell>
          <cell r="Z82">
            <v>6.9999999999999951E-2</v>
          </cell>
          <cell r="AA82">
            <v>1.4999999999999999E-2</v>
          </cell>
          <cell r="AB82">
            <v>0.01</v>
          </cell>
          <cell r="AC82">
            <v>0.35615037593984966</v>
          </cell>
          <cell r="AD82">
            <v>0</v>
          </cell>
          <cell r="AE82">
            <v>-1.2475399999999999</v>
          </cell>
          <cell r="AF82">
            <v>-0.66449999999999998</v>
          </cell>
          <cell r="AG82">
            <v>10.695999999999993</v>
          </cell>
          <cell r="AH82">
            <v>2.164020304568528</v>
          </cell>
          <cell r="AI82">
            <v>1.4353939393939397</v>
          </cell>
          <cell r="AJ82">
            <v>12.73952461990231</v>
          </cell>
          <cell r="AK82">
            <v>154.84352461990233</v>
          </cell>
          <cell r="AL82" t="str">
            <v>1/13   KC</v>
          </cell>
          <cell r="AM82">
            <v>0</v>
          </cell>
          <cell r="AN82" t="str">
            <v>2/24  KC</v>
          </cell>
          <cell r="AO82" t="str">
            <v xml:space="preserve">1/16OE  </v>
          </cell>
          <cell r="AP82" t="str">
            <v>2/24  KC</v>
          </cell>
          <cell r="AQ82">
            <v>0</v>
          </cell>
          <cell r="AR82">
            <v>0</v>
          </cell>
          <cell r="AS82">
            <v>84.5</v>
          </cell>
          <cell r="AT82">
            <v>0</v>
          </cell>
          <cell r="AU82">
            <v>107.5</v>
          </cell>
          <cell r="AV82">
            <v>77.75</v>
          </cell>
          <cell r="AW82">
            <v>107.5</v>
          </cell>
          <cell r="AX82">
            <v>0</v>
          </cell>
          <cell r="AY82">
            <v>0</v>
          </cell>
          <cell r="AZ82">
            <v>7.529795</v>
          </cell>
          <cell r="BA82">
            <v>2.8573499999999998</v>
          </cell>
          <cell r="BB82">
            <v>1.5954300000000001</v>
          </cell>
          <cell r="BC82">
            <v>1.783425</v>
          </cell>
          <cell r="BD82">
            <v>0</v>
          </cell>
          <cell r="BE82">
            <v>3.2086165413533832E-2</v>
          </cell>
          <cell r="BF82">
            <v>0</v>
          </cell>
          <cell r="BI82">
            <v>0</v>
          </cell>
          <cell r="BJ82">
            <v>0.19496010152284263</v>
          </cell>
          <cell r="BK82">
            <v>0.12931696969696971</v>
          </cell>
          <cell r="BL82">
            <v>0.35636323663334618</v>
          </cell>
          <cell r="BM82">
            <v>-8.9037593984962419E-3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-5.41005076142132E-2</v>
          </cell>
          <cell r="BS82">
            <v>0</v>
          </cell>
          <cell r="BT82">
            <v>-6.3004267012709447E-2</v>
          </cell>
          <cell r="BU82">
            <v>92.423843171684197</v>
          </cell>
          <cell r="BV82">
            <v>-0.35406091370558379</v>
          </cell>
          <cell r="BW82">
            <v>92.069782257978616</v>
          </cell>
          <cell r="BX82">
            <v>99.380476528692682</v>
          </cell>
          <cell r="BY82">
            <v>-0.38071065989847719</v>
          </cell>
          <cell r="BZ82">
            <v>98.999765868794199</v>
          </cell>
          <cell r="CA82">
            <v>99.380476528692682</v>
          </cell>
          <cell r="CB82">
            <v>-0.44336730150248721</v>
          </cell>
          <cell r="CC82">
            <v>98.937109227190192</v>
          </cell>
          <cell r="CD82">
            <v>1.2475399999999999</v>
          </cell>
          <cell r="CE82">
            <v>200</v>
          </cell>
          <cell r="CF82">
            <v>1.7558126442605413</v>
          </cell>
          <cell r="CG82">
            <v>0.66449999999999998</v>
          </cell>
          <cell r="CH82">
            <v>140</v>
          </cell>
          <cell r="CI82">
            <v>0.65466137476777564</v>
          </cell>
          <cell r="CJ82">
            <v>2.4104740190283169</v>
          </cell>
          <cell r="CK82">
            <v>0.56436834994088825</v>
          </cell>
          <cell r="CL82">
            <v>0.16834149636885656</v>
          </cell>
          <cell r="CM82">
            <v>2.9032258064516125</v>
          </cell>
          <cell r="CN82">
            <v>3.6359356527613573</v>
          </cell>
          <cell r="CO82">
            <v>1.1726320159882902E-2</v>
          </cell>
          <cell r="CP82">
            <v>1.2795698924731185</v>
          </cell>
          <cell r="CQ82">
            <v>1.2912962126330014</v>
          </cell>
          <cell r="CR82">
            <v>14.66</v>
          </cell>
          <cell r="CS82">
            <v>9.98</v>
          </cell>
          <cell r="CT82">
            <v>9.61</v>
          </cell>
          <cell r="CU82">
            <v>0</v>
          </cell>
          <cell r="CV82">
            <v>140.52481511161287</v>
          </cell>
        </row>
        <row r="83">
          <cell r="K83" t="str">
            <v>ExportKohlsBig One SolidUSAWash30x30L</v>
          </cell>
          <cell r="L83">
            <v>0</v>
          </cell>
          <cell r="M83">
            <v>37.11</v>
          </cell>
          <cell r="N83">
            <v>0</v>
          </cell>
          <cell r="O83">
            <v>10.72</v>
          </cell>
          <cell r="P83">
            <v>7.774</v>
          </cell>
          <cell r="Q83">
            <v>4.5999999999999996</v>
          </cell>
          <cell r="R83">
            <v>0</v>
          </cell>
          <cell r="S83">
            <v>0</v>
          </cell>
          <cell r="T83">
            <v>60.204000000000001</v>
          </cell>
          <cell r="U83">
            <v>52.979520000000001</v>
          </cell>
          <cell r="V83">
            <v>2.5000000000000001E-3</v>
          </cell>
          <cell r="W83">
            <v>0</v>
          </cell>
          <cell r="X83">
            <v>-1.3999999999999999E-2</v>
          </cell>
          <cell r="Y83">
            <v>-2.5000000000000001E-2</v>
          </cell>
          <cell r="Z83">
            <v>0.12</v>
          </cell>
          <cell r="AA83">
            <v>1.4999999999999999E-2</v>
          </cell>
          <cell r="AB83">
            <v>0.01</v>
          </cell>
          <cell r="AC83">
            <v>0.13278075187969923</v>
          </cell>
          <cell r="AD83">
            <v>0</v>
          </cell>
          <cell r="AE83">
            <v>-0.51953999999999989</v>
          </cell>
          <cell r="AF83">
            <v>-0.26800000000000002</v>
          </cell>
          <cell r="AG83">
            <v>7.2244799999999998</v>
          </cell>
          <cell r="AH83">
            <v>0.80679472081218273</v>
          </cell>
          <cell r="AI83">
            <v>0.53514666666666677</v>
          </cell>
          <cell r="AJ83">
            <v>7.9116621393585485</v>
          </cell>
          <cell r="AK83">
            <v>60.891182139358548</v>
          </cell>
          <cell r="AL83" t="str">
            <v>1/13   KC</v>
          </cell>
          <cell r="AM83">
            <v>0</v>
          </cell>
          <cell r="AN83" t="str">
            <v>2/24  KC</v>
          </cell>
          <cell r="AO83" t="str">
            <v xml:space="preserve">1/16OE  </v>
          </cell>
          <cell r="AP83" t="str">
            <v>2/24  KC</v>
          </cell>
          <cell r="AQ83">
            <v>0</v>
          </cell>
          <cell r="AR83">
            <v>0</v>
          </cell>
          <cell r="AS83">
            <v>84.5</v>
          </cell>
          <cell r="AT83">
            <v>0</v>
          </cell>
          <cell r="AU83">
            <v>107.5</v>
          </cell>
          <cell r="AV83">
            <v>77.75</v>
          </cell>
          <cell r="AW83">
            <v>107.5</v>
          </cell>
          <cell r="AX83">
            <v>0</v>
          </cell>
          <cell r="AY83">
            <v>0</v>
          </cell>
          <cell r="AZ83">
            <v>3.1357949999999999</v>
          </cell>
          <cell r="BA83">
            <v>1.1524000000000001</v>
          </cell>
          <cell r="BB83">
            <v>0.60442850000000004</v>
          </cell>
          <cell r="BC83">
            <v>0.49449999999999994</v>
          </cell>
          <cell r="BD83">
            <v>0</v>
          </cell>
          <cell r="BE83">
            <v>1.1881375137844609E-2</v>
          </cell>
          <cell r="BF83">
            <v>0</v>
          </cell>
          <cell r="BI83">
            <v>0</v>
          </cell>
          <cell r="BJ83">
            <v>7.2192924060913696E-2</v>
          </cell>
          <cell r="BK83">
            <v>4.7885542222222223E-2</v>
          </cell>
          <cell r="BL83">
            <v>0.13195984142098052</v>
          </cell>
          <cell r="BM83">
            <v>-3.3195187969924807E-3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-2.0169868020304571E-2</v>
          </cell>
          <cell r="BS83">
            <v>0</v>
          </cell>
          <cell r="BT83">
            <v>-2.348938681729705E-2</v>
          </cell>
          <cell r="BU83">
            <v>91.673034041275983</v>
          </cell>
          <cell r="BV83">
            <v>-0.33502538071065996</v>
          </cell>
          <cell r="BW83">
            <v>91.338008660565322</v>
          </cell>
          <cell r="BX83">
            <v>104.17390231963181</v>
          </cell>
          <cell r="BY83">
            <v>-0.38071065989847719</v>
          </cell>
          <cell r="BZ83">
            <v>103.79319165973332</v>
          </cell>
          <cell r="CA83">
            <v>104.17390231963181</v>
          </cell>
          <cell r="CB83">
            <v>-0.44336730150248721</v>
          </cell>
          <cell r="CC83">
            <v>103.73053501812932</v>
          </cell>
          <cell r="CD83">
            <v>0.51953999999999989</v>
          </cell>
          <cell r="CE83">
            <v>200</v>
          </cell>
          <cell r="CF83">
            <v>1.9612861724681532</v>
          </cell>
          <cell r="CG83">
            <v>0.26800000000000002</v>
          </cell>
          <cell r="CH83">
            <v>140</v>
          </cell>
          <cell r="CI83">
            <v>0.70819818677103907</v>
          </cell>
          <cell r="CJ83">
            <v>2.6694843592391924</v>
          </cell>
          <cell r="CK83">
            <v>0.63041341257904926</v>
          </cell>
          <cell r="CL83">
            <v>0.18210810516969575</v>
          </cell>
          <cell r="CM83">
            <v>3.0681818181818179</v>
          </cell>
          <cell r="CN83">
            <v>3.8807033359305629</v>
          </cell>
          <cell r="CO83">
            <v>1.3098589794698027E-2</v>
          </cell>
          <cell r="CP83">
            <v>1.3522727272727275</v>
          </cell>
          <cell r="CQ83">
            <v>1.3653713170674255</v>
          </cell>
          <cell r="CR83">
            <v>1.21</v>
          </cell>
          <cell r="CS83">
            <v>9.81</v>
          </cell>
          <cell r="CT83">
            <v>32.75</v>
          </cell>
          <cell r="CU83">
            <v>0</v>
          </cell>
          <cell r="CV83">
            <v>155.41609403036648</v>
          </cell>
        </row>
        <row r="84">
          <cell r="K84" t="str">
            <v>ExportKohlsBig One SolidUSAWash30x30M</v>
          </cell>
          <cell r="L84">
            <v>0</v>
          </cell>
          <cell r="M84">
            <v>37.11</v>
          </cell>
          <cell r="N84">
            <v>0</v>
          </cell>
          <cell r="O84">
            <v>10.72</v>
          </cell>
          <cell r="P84">
            <v>7.774</v>
          </cell>
          <cell r="Q84">
            <v>4.5999999999999996</v>
          </cell>
          <cell r="R84">
            <v>0</v>
          </cell>
          <cell r="S84">
            <v>0</v>
          </cell>
          <cell r="T84">
            <v>60.204000000000001</v>
          </cell>
          <cell r="U84">
            <v>52.979520000000001</v>
          </cell>
          <cell r="V84">
            <v>2.5000000000000001E-3</v>
          </cell>
          <cell r="W84">
            <v>0</v>
          </cell>
          <cell r="X84">
            <v>-1.3999999999999999E-2</v>
          </cell>
          <cell r="Y84">
            <v>-2.5000000000000001E-2</v>
          </cell>
          <cell r="Z84">
            <v>0.12</v>
          </cell>
          <cell r="AA84">
            <v>1.4999999999999999E-2</v>
          </cell>
          <cell r="AB84">
            <v>0.01</v>
          </cell>
          <cell r="AC84">
            <v>0.13278075187969923</v>
          </cell>
          <cell r="AD84">
            <v>0</v>
          </cell>
          <cell r="AE84">
            <v>-0.51953999999999989</v>
          </cell>
          <cell r="AF84">
            <v>-0.26800000000000002</v>
          </cell>
          <cell r="AG84">
            <v>7.2244799999999998</v>
          </cell>
          <cell r="AH84">
            <v>0.80679472081218273</v>
          </cell>
          <cell r="AI84">
            <v>0.53514666666666677</v>
          </cell>
          <cell r="AJ84">
            <v>7.9116621393585485</v>
          </cell>
          <cell r="AK84">
            <v>60.891182139358548</v>
          </cell>
          <cell r="AL84" t="str">
            <v>1/13   KC</v>
          </cell>
          <cell r="AM84">
            <v>0</v>
          </cell>
          <cell r="AN84" t="str">
            <v>2/24  KC</v>
          </cell>
          <cell r="AO84" t="str">
            <v xml:space="preserve">1/16OE  </v>
          </cell>
          <cell r="AP84" t="str">
            <v>2/24  KC</v>
          </cell>
          <cell r="AQ84">
            <v>0</v>
          </cell>
          <cell r="AR84">
            <v>0</v>
          </cell>
          <cell r="AS84">
            <v>84.5</v>
          </cell>
          <cell r="AT84">
            <v>0</v>
          </cell>
          <cell r="AU84">
            <v>107.5</v>
          </cell>
          <cell r="AV84">
            <v>77.75</v>
          </cell>
          <cell r="AW84">
            <v>107.5</v>
          </cell>
          <cell r="AX84">
            <v>0</v>
          </cell>
          <cell r="AY84">
            <v>0</v>
          </cell>
          <cell r="AZ84">
            <v>3.1357949999999999</v>
          </cell>
          <cell r="BA84">
            <v>1.1524000000000001</v>
          </cell>
          <cell r="BB84">
            <v>0.60442850000000004</v>
          </cell>
          <cell r="BC84">
            <v>0.49449999999999994</v>
          </cell>
          <cell r="BD84">
            <v>0</v>
          </cell>
          <cell r="BE84">
            <v>1.1881375137844609E-2</v>
          </cell>
          <cell r="BF84">
            <v>0</v>
          </cell>
          <cell r="BI84">
            <v>0</v>
          </cell>
          <cell r="BJ84">
            <v>7.2192924060913696E-2</v>
          </cell>
          <cell r="BK84">
            <v>4.7885542222222223E-2</v>
          </cell>
          <cell r="BL84">
            <v>0.13195984142098052</v>
          </cell>
          <cell r="BM84">
            <v>-3.3195187969924807E-3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-2.0169868020304571E-2</v>
          </cell>
          <cell r="BS84">
            <v>0</v>
          </cell>
          <cell r="BT84">
            <v>-2.348938681729705E-2</v>
          </cell>
          <cell r="BU84">
            <v>91.673034041275983</v>
          </cell>
          <cell r="BV84">
            <v>-0.33502538071065996</v>
          </cell>
          <cell r="BW84">
            <v>91.338008660565322</v>
          </cell>
          <cell r="BX84">
            <v>104.17390231963181</v>
          </cell>
          <cell r="BY84">
            <v>-0.38071065989847719</v>
          </cell>
          <cell r="BZ84">
            <v>103.79319165973332</v>
          </cell>
          <cell r="CA84">
            <v>104.17390231963181</v>
          </cell>
          <cell r="CB84">
            <v>-0.44336730150248721</v>
          </cell>
          <cell r="CC84">
            <v>103.73053501812932</v>
          </cell>
          <cell r="CD84">
            <v>0.51953999999999989</v>
          </cell>
          <cell r="CE84">
            <v>200</v>
          </cell>
          <cell r="CF84">
            <v>1.9612861724681532</v>
          </cell>
          <cell r="CG84">
            <v>0.26800000000000002</v>
          </cell>
          <cell r="CH84">
            <v>140</v>
          </cell>
          <cell r="CI84">
            <v>0.70819818677103907</v>
          </cell>
          <cell r="CJ84">
            <v>2.6694843592391924</v>
          </cell>
          <cell r="CK84">
            <v>0.63041341257904926</v>
          </cell>
          <cell r="CL84">
            <v>0.18210810516969575</v>
          </cell>
          <cell r="CM84">
            <v>3.0681818181818179</v>
          </cell>
          <cell r="CN84">
            <v>3.8807033359305629</v>
          </cell>
          <cell r="CO84">
            <v>1.3098589794698027E-2</v>
          </cell>
          <cell r="CP84">
            <v>1.3522727272727275</v>
          </cell>
          <cell r="CQ84">
            <v>1.3653713170674255</v>
          </cell>
          <cell r="CR84">
            <v>4.22</v>
          </cell>
          <cell r="CS84">
            <v>9.7200000000000006</v>
          </cell>
          <cell r="CT84">
            <v>32.75</v>
          </cell>
          <cell r="CU84">
            <v>0</v>
          </cell>
          <cell r="CV84">
            <v>158.3360940303665</v>
          </cell>
        </row>
        <row r="85">
          <cell r="K85" t="str">
            <v>ExportKohlsBig One SolidUSAWash30x30D</v>
          </cell>
          <cell r="L85">
            <v>0</v>
          </cell>
          <cell r="M85">
            <v>37.11</v>
          </cell>
          <cell r="N85">
            <v>0</v>
          </cell>
          <cell r="O85">
            <v>10.72</v>
          </cell>
          <cell r="P85">
            <v>7.774</v>
          </cell>
          <cell r="Q85">
            <v>4.5999999999999996</v>
          </cell>
          <cell r="R85">
            <v>0</v>
          </cell>
          <cell r="S85">
            <v>0</v>
          </cell>
          <cell r="T85">
            <v>60.204000000000001</v>
          </cell>
          <cell r="U85">
            <v>52.979520000000001</v>
          </cell>
          <cell r="V85">
            <v>2.5000000000000001E-3</v>
          </cell>
          <cell r="W85">
            <v>0</v>
          </cell>
          <cell r="X85">
            <v>-1.3999999999999999E-2</v>
          </cell>
          <cell r="Y85">
            <v>-2.5000000000000001E-2</v>
          </cell>
          <cell r="Z85">
            <v>0.12</v>
          </cell>
          <cell r="AA85">
            <v>1.4999999999999999E-2</v>
          </cell>
          <cell r="AB85">
            <v>0.01</v>
          </cell>
          <cell r="AC85">
            <v>0.13278075187969923</v>
          </cell>
          <cell r="AD85">
            <v>0</v>
          </cell>
          <cell r="AE85">
            <v>-0.51953999999999989</v>
          </cell>
          <cell r="AF85">
            <v>-0.26800000000000002</v>
          </cell>
          <cell r="AG85">
            <v>7.2244799999999998</v>
          </cell>
          <cell r="AH85">
            <v>0.80679472081218273</v>
          </cell>
          <cell r="AI85">
            <v>0.53514666666666677</v>
          </cell>
          <cell r="AJ85">
            <v>7.9116621393585485</v>
          </cell>
          <cell r="AK85">
            <v>60.891182139358548</v>
          </cell>
          <cell r="AL85" t="str">
            <v>1/13   KC</v>
          </cell>
          <cell r="AM85">
            <v>0</v>
          </cell>
          <cell r="AN85" t="str">
            <v>2/24  KC</v>
          </cell>
          <cell r="AO85" t="str">
            <v xml:space="preserve">1/16OE  </v>
          </cell>
          <cell r="AP85" t="str">
            <v>2/24  KC</v>
          </cell>
          <cell r="AQ85">
            <v>0</v>
          </cell>
          <cell r="AR85">
            <v>0</v>
          </cell>
          <cell r="AS85">
            <v>84.5</v>
          </cell>
          <cell r="AT85">
            <v>0</v>
          </cell>
          <cell r="AU85">
            <v>107.5</v>
          </cell>
          <cell r="AV85">
            <v>77.75</v>
          </cell>
          <cell r="AW85">
            <v>107.5</v>
          </cell>
          <cell r="AX85">
            <v>0</v>
          </cell>
          <cell r="AY85">
            <v>0</v>
          </cell>
          <cell r="AZ85">
            <v>3.1357949999999999</v>
          </cell>
          <cell r="BA85">
            <v>1.1524000000000001</v>
          </cell>
          <cell r="BB85">
            <v>0.60442850000000004</v>
          </cell>
          <cell r="BC85">
            <v>0.49449999999999994</v>
          </cell>
          <cell r="BD85">
            <v>0</v>
          </cell>
          <cell r="BE85">
            <v>1.1881375137844609E-2</v>
          </cell>
          <cell r="BF85">
            <v>0</v>
          </cell>
          <cell r="BI85">
            <v>0</v>
          </cell>
          <cell r="BJ85">
            <v>7.2192924060913696E-2</v>
          </cell>
          <cell r="BK85">
            <v>4.7885542222222223E-2</v>
          </cell>
          <cell r="BL85">
            <v>0.13195984142098052</v>
          </cell>
          <cell r="BM85">
            <v>-3.3195187969924807E-3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-2.0169868020304571E-2</v>
          </cell>
          <cell r="BS85">
            <v>0</v>
          </cell>
          <cell r="BT85">
            <v>-2.348938681729705E-2</v>
          </cell>
          <cell r="BU85">
            <v>91.673034041275983</v>
          </cell>
          <cell r="BV85">
            <v>-0.33502538071065996</v>
          </cell>
          <cell r="BW85">
            <v>91.338008660565322</v>
          </cell>
          <cell r="BX85">
            <v>104.17390231963181</v>
          </cell>
          <cell r="BY85">
            <v>-0.38071065989847719</v>
          </cell>
          <cell r="BZ85">
            <v>103.79319165973332</v>
          </cell>
          <cell r="CA85">
            <v>104.17390231963181</v>
          </cell>
          <cell r="CB85">
            <v>-0.44336730150248721</v>
          </cell>
          <cell r="CC85">
            <v>103.73053501812932</v>
          </cell>
          <cell r="CD85">
            <v>0.51953999999999989</v>
          </cell>
          <cell r="CE85">
            <v>200</v>
          </cell>
          <cell r="CF85">
            <v>1.9612861724681532</v>
          </cell>
          <cell r="CG85">
            <v>0.26800000000000002</v>
          </cell>
          <cell r="CH85">
            <v>140</v>
          </cell>
          <cell r="CI85">
            <v>0.70819818677103907</v>
          </cell>
          <cell r="CJ85">
            <v>2.6694843592391924</v>
          </cell>
          <cell r="CK85">
            <v>0.63041341257904926</v>
          </cell>
          <cell r="CL85">
            <v>0.18210810516969575</v>
          </cell>
          <cell r="CM85">
            <v>3.0681818181818179</v>
          </cell>
          <cell r="CN85">
            <v>3.8807033359305629</v>
          </cell>
          <cell r="CO85">
            <v>1.3098589794698027E-2</v>
          </cell>
          <cell r="CP85">
            <v>1.3522727272727275</v>
          </cell>
          <cell r="CQ85">
            <v>1.3653713170674255</v>
          </cell>
          <cell r="CR85">
            <v>14.66</v>
          </cell>
          <cell r="CS85">
            <v>9.98</v>
          </cell>
          <cell r="CT85">
            <v>32.75</v>
          </cell>
          <cell r="CU85">
            <v>0</v>
          </cell>
          <cell r="CV85">
            <v>169.03609403036648</v>
          </cell>
        </row>
        <row r="86">
          <cell r="K86" t="str">
            <v>ExportIst New Buyer00Bath76x137L</v>
          </cell>
          <cell r="L86">
            <v>0</v>
          </cell>
          <cell r="M86">
            <v>415.87</v>
          </cell>
          <cell r="N86">
            <v>0</v>
          </cell>
          <cell r="O86">
            <v>71.28</v>
          </cell>
          <cell r="P86">
            <v>67.712000000000003</v>
          </cell>
          <cell r="Q86">
            <v>36.33</v>
          </cell>
          <cell r="R86">
            <v>0</v>
          </cell>
          <cell r="S86">
            <v>0</v>
          </cell>
          <cell r="T86">
            <v>591.19200000000001</v>
          </cell>
          <cell r="U86">
            <v>549.80855999999994</v>
          </cell>
          <cell r="V86">
            <v>2.5000000000000001E-3</v>
          </cell>
          <cell r="W86">
            <v>0</v>
          </cell>
          <cell r="X86">
            <v>-1.3999999999999999E-2</v>
          </cell>
          <cell r="Y86">
            <v>-2.5000000000000001E-2</v>
          </cell>
          <cell r="Z86">
            <v>7.0000000000000062E-2</v>
          </cell>
          <cell r="AA86">
            <v>1.4999999999999999E-2</v>
          </cell>
          <cell r="AB86">
            <v>0.01</v>
          </cell>
          <cell r="AC86">
            <v>1.3779663157894735</v>
          </cell>
          <cell r="AD86">
            <v>0</v>
          </cell>
          <cell r="AE86">
            <v>-5.8221799999999995</v>
          </cell>
          <cell r="AF86">
            <v>-1.782</v>
          </cell>
          <cell r="AG86">
            <v>41.383440000000036</v>
          </cell>
          <cell r="AH86">
            <v>8.3727191878172569</v>
          </cell>
          <cell r="AI86">
            <v>5.5536218181818171</v>
          </cell>
          <cell r="AJ86">
            <v>49.083567321788586</v>
          </cell>
          <cell r="AK86">
            <v>598.89212732178851</v>
          </cell>
          <cell r="AL86" t="str">
            <v>1/13  Comb</v>
          </cell>
          <cell r="AM86">
            <v>0</v>
          </cell>
          <cell r="AN86" t="str">
            <v>2/30  KC</v>
          </cell>
          <cell r="AO86" t="str">
            <v xml:space="preserve">1/16OE  </v>
          </cell>
          <cell r="AP86" t="str">
            <v>2/20  Gas Mer</v>
          </cell>
          <cell r="AQ86">
            <v>0</v>
          </cell>
          <cell r="AR86">
            <v>0</v>
          </cell>
          <cell r="AS86">
            <v>96.5</v>
          </cell>
          <cell r="AT86">
            <v>0</v>
          </cell>
          <cell r="AU86">
            <v>118.5</v>
          </cell>
          <cell r="AV86">
            <v>77.75</v>
          </cell>
          <cell r="AW86">
            <v>174</v>
          </cell>
          <cell r="AX86">
            <v>0</v>
          </cell>
          <cell r="AY86">
            <v>0</v>
          </cell>
          <cell r="AZ86">
            <v>40.131455000000003</v>
          </cell>
          <cell r="BA86">
            <v>8.4466800000000006</v>
          </cell>
          <cell r="BB86">
            <v>5.264608</v>
          </cell>
          <cell r="BC86">
            <v>6.3214199999999998</v>
          </cell>
          <cell r="BD86">
            <v>0</v>
          </cell>
          <cell r="BE86">
            <v>0.14023225962406013</v>
          </cell>
          <cell r="BF86">
            <v>0</v>
          </cell>
          <cell r="BI86">
            <v>0</v>
          </cell>
          <cell r="BJ86">
            <v>0.85207114096446679</v>
          </cell>
          <cell r="BK86">
            <v>0.56517850090909083</v>
          </cell>
          <cell r="BL86">
            <v>1.5574819014976178</v>
          </cell>
          <cell r="BM86">
            <v>-3.4449157894736834E-2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-0.20931797969543142</v>
          </cell>
          <cell r="BS86">
            <v>0</v>
          </cell>
          <cell r="BT86">
            <v>-0.24376713759016827</v>
          </cell>
          <cell r="BU86">
            <v>104.40202996910922</v>
          </cell>
          <cell r="BV86">
            <v>-0.35406091370558362</v>
          </cell>
          <cell r="BW86">
            <v>104.04796905540364</v>
          </cell>
          <cell r="BX86">
            <v>112.26024727861207</v>
          </cell>
          <cell r="BY86">
            <v>-0.38071065989847708</v>
          </cell>
          <cell r="BZ86">
            <v>111.87953661871359</v>
          </cell>
          <cell r="CA86">
            <v>112.26024727861207</v>
          </cell>
          <cell r="CB86">
            <v>-0.44336730150248715</v>
          </cell>
          <cell r="CC86">
            <v>111.81687997710958</v>
          </cell>
          <cell r="CD86">
            <v>5.8221799999999995</v>
          </cell>
          <cell r="CE86">
            <v>200</v>
          </cell>
          <cell r="CF86">
            <v>2.1178935446185125</v>
          </cell>
          <cell r="CG86">
            <v>1.782</v>
          </cell>
          <cell r="CH86">
            <v>140</v>
          </cell>
          <cell r="CI86">
            <v>0.45375794076396347</v>
          </cell>
          <cell r="CJ86">
            <v>2.5716514853824761</v>
          </cell>
          <cell r="CK86">
            <v>0.68075149648452182</v>
          </cell>
          <cell r="CL86">
            <v>0.11668061333930488</v>
          </cell>
          <cell r="CM86">
            <v>2.903225806451613</v>
          </cell>
          <cell r="CN86">
            <v>3.7006579162754396</v>
          </cell>
          <cell r="CO86">
            <v>1.4144503315845066E-2</v>
          </cell>
          <cell r="CP86">
            <v>1.2795698924731185</v>
          </cell>
          <cell r="CQ86">
            <v>1.2937143957889636</v>
          </cell>
          <cell r="CR86">
            <v>1.21</v>
          </cell>
          <cell r="CS86">
            <v>9.81</v>
          </cell>
          <cell r="CT86">
            <v>12.35</v>
          </cell>
          <cell r="CU86">
            <v>0</v>
          </cell>
          <cell r="CV86">
            <v>142.75290377455647</v>
          </cell>
        </row>
        <row r="87">
          <cell r="K87" t="str">
            <v>ExportIst New Buyer00Bath76x137M</v>
          </cell>
          <cell r="L87">
            <v>0</v>
          </cell>
          <cell r="M87">
            <v>415.87</v>
          </cell>
          <cell r="N87">
            <v>0</v>
          </cell>
          <cell r="O87">
            <v>71.28</v>
          </cell>
          <cell r="P87">
            <v>67.712000000000003</v>
          </cell>
          <cell r="Q87">
            <v>36.33</v>
          </cell>
          <cell r="R87">
            <v>0</v>
          </cell>
          <cell r="S87">
            <v>0</v>
          </cell>
          <cell r="T87">
            <v>591.19200000000001</v>
          </cell>
          <cell r="U87">
            <v>549.80855999999994</v>
          </cell>
          <cell r="V87">
            <v>2.5000000000000001E-3</v>
          </cell>
          <cell r="W87">
            <v>0</v>
          </cell>
          <cell r="X87">
            <v>-1.3999999999999999E-2</v>
          </cell>
          <cell r="Y87">
            <v>-2.5000000000000001E-2</v>
          </cell>
          <cell r="Z87">
            <v>7.0000000000000062E-2</v>
          </cell>
          <cell r="AA87">
            <v>1.4999999999999999E-2</v>
          </cell>
          <cell r="AB87">
            <v>0.01</v>
          </cell>
          <cell r="AC87">
            <v>1.3779663157894735</v>
          </cell>
          <cell r="AD87">
            <v>0</v>
          </cell>
          <cell r="AE87">
            <v>-5.8221799999999995</v>
          </cell>
          <cell r="AF87">
            <v>-1.782</v>
          </cell>
          <cell r="AG87">
            <v>41.383440000000036</v>
          </cell>
          <cell r="AH87">
            <v>8.3727191878172569</v>
          </cell>
          <cell r="AI87">
            <v>5.5536218181818171</v>
          </cell>
          <cell r="AJ87">
            <v>49.083567321788586</v>
          </cell>
          <cell r="AK87">
            <v>598.89212732178851</v>
          </cell>
          <cell r="AL87" t="str">
            <v>1/13  Comb</v>
          </cell>
          <cell r="AM87">
            <v>0</v>
          </cell>
          <cell r="AN87" t="str">
            <v>2/30  KC</v>
          </cell>
          <cell r="AO87" t="str">
            <v xml:space="preserve">1/16OE  </v>
          </cell>
          <cell r="AP87" t="str">
            <v>2/20  Gas Mer</v>
          </cell>
          <cell r="AQ87">
            <v>0</v>
          </cell>
          <cell r="AR87">
            <v>0</v>
          </cell>
          <cell r="AS87">
            <v>96.5</v>
          </cell>
          <cell r="AT87">
            <v>0</v>
          </cell>
          <cell r="AU87">
            <v>118.5</v>
          </cell>
          <cell r="AV87">
            <v>77.75</v>
          </cell>
          <cell r="AW87">
            <v>174</v>
          </cell>
          <cell r="AX87">
            <v>0</v>
          </cell>
          <cell r="AY87">
            <v>0</v>
          </cell>
          <cell r="AZ87">
            <v>40.131455000000003</v>
          </cell>
          <cell r="BA87">
            <v>8.4466800000000006</v>
          </cell>
          <cell r="BB87">
            <v>5.264608</v>
          </cell>
          <cell r="BC87">
            <v>6.3214199999999998</v>
          </cell>
          <cell r="BD87">
            <v>0</v>
          </cell>
          <cell r="BE87">
            <v>0.14023225962406013</v>
          </cell>
          <cell r="BF87">
            <v>0</v>
          </cell>
          <cell r="BI87">
            <v>0</v>
          </cell>
          <cell r="BJ87">
            <v>0.85207114096446679</v>
          </cell>
          <cell r="BK87">
            <v>0.56517850090909083</v>
          </cell>
          <cell r="BL87">
            <v>1.5574819014976178</v>
          </cell>
          <cell r="BM87">
            <v>-3.4449157894736834E-2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-0.20931797969543142</v>
          </cell>
          <cell r="BS87">
            <v>0</v>
          </cell>
          <cell r="BT87">
            <v>-0.24376713759016827</v>
          </cell>
          <cell r="BU87">
            <v>104.40202996910922</v>
          </cell>
          <cell r="BV87">
            <v>-0.35406091370558362</v>
          </cell>
          <cell r="BW87">
            <v>104.04796905540364</v>
          </cell>
          <cell r="BX87">
            <v>112.26024727861207</v>
          </cell>
          <cell r="BY87">
            <v>-0.38071065989847708</v>
          </cell>
          <cell r="BZ87">
            <v>111.87953661871359</v>
          </cell>
          <cell r="CA87">
            <v>112.26024727861207</v>
          </cell>
          <cell r="CB87">
            <v>-0.44336730150248715</v>
          </cell>
          <cell r="CC87">
            <v>111.81687997710958</v>
          </cell>
          <cell r="CD87">
            <v>5.8221799999999995</v>
          </cell>
          <cell r="CE87">
            <v>200</v>
          </cell>
          <cell r="CF87">
            <v>2.1178935446185125</v>
          </cell>
          <cell r="CG87">
            <v>1.782</v>
          </cell>
          <cell r="CH87">
            <v>140</v>
          </cell>
          <cell r="CI87">
            <v>0.45375794076396347</v>
          </cell>
          <cell r="CJ87">
            <v>2.5716514853824761</v>
          </cell>
          <cell r="CK87">
            <v>0.68075149648452182</v>
          </cell>
          <cell r="CL87">
            <v>0.11668061333930488</v>
          </cell>
          <cell r="CM87">
            <v>2.903225806451613</v>
          </cell>
          <cell r="CN87">
            <v>3.7006579162754396</v>
          </cell>
          <cell r="CO87">
            <v>1.4144503315845066E-2</v>
          </cell>
          <cell r="CP87">
            <v>1.2795698924731185</v>
          </cell>
          <cell r="CQ87">
            <v>1.2937143957889636</v>
          </cell>
          <cell r="CR87">
            <v>4.22</v>
          </cell>
          <cell r="CS87">
            <v>9.7200000000000006</v>
          </cell>
          <cell r="CT87">
            <v>12.35</v>
          </cell>
          <cell r="CU87">
            <v>0</v>
          </cell>
          <cell r="CV87">
            <v>145.67290377455646</v>
          </cell>
        </row>
        <row r="88">
          <cell r="K88" t="str">
            <v>ExportIst New Buyer00Bath76x137D</v>
          </cell>
          <cell r="L88">
            <v>0</v>
          </cell>
          <cell r="M88">
            <v>415.87</v>
          </cell>
          <cell r="N88">
            <v>0</v>
          </cell>
          <cell r="O88">
            <v>71.28</v>
          </cell>
          <cell r="P88">
            <v>67.712000000000003</v>
          </cell>
          <cell r="Q88">
            <v>36.33</v>
          </cell>
          <cell r="R88">
            <v>0</v>
          </cell>
          <cell r="S88">
            <v>0</v>
          </cell>
          <cell r="T88">
            <v>591.19200000000001</v>
          </cell>
          <cell r="U88">
            <v>549.80855999999994</v>
          </cell>
          <cell r="V88">
            <v>2.5000000000000001E-3</v>
          </cell>
          <cell r="W88">
            <v>0</v>
          </cell>
          <cell r="X88">
            <v>-1.3999999999999999E-2</v>
          </cell>
          <cell r="Y88">
            <v>-2.5000000000000001E-2</v>
          </cell>
          <cell r="Z88">
            <v>7.0000000000000062E-2</v>
          </cell>
          <cell r="AA88">
            <v>1.4999999999999999E-2</v>
          </cell>
          <cell r="AB88">
            <v>0.01</v>
          </cell>
          <cell r="AC88">
            <v>1.3779663157894735</v>
          </cell>
          <cell r="AD88">
            <v>0</v>
          </cell>
          <cell r="AE88">
            <v>-5.8221799999999995</v>
          </cell>
          <cell r="AF88">
            <v>-1.782</v>
          </cell>
          <cell r="AG88">
            <v>41.383440000000036</v>
          </cell>
          <cell r="AH88">
            <v>8.3727191878172569</v>
          </cell>
          <cell r="AI88">
            <v>5.5536218181818171</v>
          </cell>
          <cell r="AJ88">
            <v>49.083567321788586</v>
          </cell>
          <cell r="AK88">
            <v>598.89212732178851</v>
          </cell>
          <cell r="AL88" t="str">
            <v>1/13  Comb</v>
          </cell>
          <cell r="AM88">
            <v>0</v>
          </cell>
          <cell r="AN88" t="str">
            <v>2/30  KC</v>
          </cell>
          <cell r="AO88" t="str">
            <v xml:space="preserve">1/16OE  </v>
          </cell>
          <cell r="AP88" t="str">
            <v>2/20  Gas Mer</v>
          </cell>
          <cell r="AQ88">
            <v>0</v>
          </cell>
          <cell r="AR88">
            <v>0</v>
          </cell>
          <cell r="AS88">
            <v>96.5</v>
          </cell>
          <cell r="AT88">
            <v>0</v>
          </cell>
          <cell r="AU88">
            <v>118.5</v>
          </cell>
          <cell r="AV88">
            <v>77.75</v>
          </cell>
          <cell r="AW88">
            <v>174</v>
          </cell>
          <cell r="AX88">
            <v>0</v>
          </cell>
          <cell r="AY88">
            <v>0</v>
          </cell>
          <cell r="AZ88">
            <v>40.131455000000003</v>
          </cell>
          <cell r="BA88">
            <v>8.4466800000000006</v>
          </cell>
          <cell r="BB88">
            <v>5.264608</v>
          </cell>
          <cell r="BC88">
            <v>6.3214199999999998</v>
          </cell>
          <cell r="BD88">
            <v>0</v>
          </cell>
          <cell r="BE88">
            <v>0.14023225962406013</v>
          </cell>
          <cell r="BF88">
            <v>0</v>
          </cell>
          <cell r="BI88">
            <v>0</v>
          </cell>
          <cell r="BJ88">
            <v>0.85207114096446679</v>
          </cell>
          <cell r="BK88">
            <v>0.56517850090909083</v>
          </cell>
          <cell r="BL88">
            <v>1.5574819014976178</v>
          </cell>
          <cell r="BM88">
            <v>-3.4449157894736834E-2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-0.20931797969543142</v>
          </cell>
          <cell r="BS88">
            <v>0</v>
          </cell>
          <cell r="BT88">
            <v>-0.24376713759016827</v>
          </cell>
          <cell r="BU88">
            <v>104.40202996910922</v>
          </cell>
          <cell r="BV88">
            <v>-0.35406091370558362</v>
          </cell>
          <cell r="BW88">
            <v>104.04796905540364</v>
          </cell>
          <cell r="BX88">
            <v>112.26024727861207</v>
          </cell>
          <cell r="BY88">
            <v>-0.38071065989847708</v>
          </cell>
          <cell r="BZ88">
            <v>111.87953661871359</v>
          </cell>
          <cell r="CA88">
            <v>112.26024727861207</v>
          </cell>
          <cell r="CB88">
            <v>-0.44336730150248715</v>
          </cell>
          <cell r="CC88">
            <v>111.81687997710958</v>
          </cell>
          <cell r="CD88">
            <v>5.8221799999999995</v>
          </cell>
          <cell r="CE88">
            <v>200</v>
          </cell>
          <cell r="CF88">
            <v>2.1178935446185125</v>
          </cell>
          <cell r="CG88">
            <v>1.782</v>
          </cell>
          <cell r="CH88">
            <v>140</v>
          </cell>
          <cell r="CI88">
            <v>0.45375794076396347</v>
          </cell>
          <cell r="CJ88">
            <v>2.5716514853824761</v>
          </cell>
          <cell r="CK88">
            <v>0.68075149648452182</v>
          </cell>
          <cell r="CL88">
            <v>0.11668061333930488</v>
          </cell>
          <cell r="CM88">
            <v>2.903225806451613</v>
          </cell>
          <cell r="CN88">
            <v>3.7006579162754396</v>
          </cell>
          <cell r="CO88">
            <v>1.4144503315845066E-2</v>
          </cell>
          <cell r="CP88">
            <v>1.2795698924731185</v>
          </cell>
          <cell r="CQ88">
            <v>1.2937143957889636</v>
          </cell>
          <cell r="CR88">
            <v>14.66</v>
          </cell>
          <cell r="CS88">
            <v>9.98</v>
          </cell>
          <cell r="CT88">
            <v>12.35</v>
          </cell>
          <cell r="CU88">
            <v>0</v>
          </cell>
          <cell r="CV88">
            <v>156.37290377455648</v>
          </cell>
        </row>
        <row r="89">
          <cell r="K89" t="str">
            <v>ExportIst New Buyer00Hand41x76L</v>
          </cell>
          <cell r="L89">
            <v>0</v>
          </cell>
          <cell r="M89">
            <v>107.55</v>
          </cell>
          <cell r="N89">
            <v>0</v>
          </cell>
          <cell r="O89">
            <v>21.15</v>
          </cell>
          <cell r="P89">
            <v>21.649000000000001</v>
          </cell>
          <cell r="Q89">
            <v>13.05</v>
          </cell>
          <cell r="R89">
            <v>0</v>
          </cell>
          <cell r="S89">
            <v>0</v>
          </cell>
          <cell r="T89">
            <v>163.399</v>
          </cell>
          <cell r="U89">
            <v>151.96106999999998</v>
          </cell>
          <cell r="V89">
            <v>2.5000000000000001E-3</v>
          </cell>
          <cell r="W89">
            <v>0</v>
          </cell>
          <cell r="X89">
            <v>-1.3999999999999999E-2</v>
          </cell>
          <cell r="Y89">
            <v>-2.5000000000000001E-2</v>
          </cell>
          <cell r="Z89">
            <v>7.0000000000000173E-2</v>
          </cell>
          <cell r="AA89">
            <v>1.4999999999999999E-2</v>
          </cell>
          <cell r="AB89">
            <v>0.01</v>
          </cell>
          <cell r="AC89">
            <v>0.3808548120300751</v>
          </cell>
          <cell r="AD89">
            <v>0</v>
          </cell>
          <cell r="AE89">
            <v>-1.5056999999999998</v>
          </cell>
          <cell r="AF89">
            <v>-0.52874999999999994</v>
          </cell>
          <cell r="AG89">
            <v>11.437930000000028</v>
          </cell>
          <cell r="AH89">
            <v>2.3141279695431467</v>
          </cell>
          <cell r="AI89">
            <v>1.534960303030303</v>
          </cell>
          <cell r="AJ89">
            <v>13.633423084603553</v>
          </cell>
          <cell r="AK89">
            <v>165.59449308460353</v>
          </cell>
          <cell r="AL89" t="str">
            <v>1/13  Comb</v>
          </cell>
          <cell r="AM89">
            <v>0</v>
          </cell>
          <cell r="AN89" t="str">
            <v>2/30  KC</v>
          </cell>
          <cell r="AO89" t="str">
            <v xml:space="preserve">1/16OE  </v>
          </cell>
          <cell r="AP89" t="str">
            <v>2/20  Gas Mer</v>
          </cell>
          <cell r="AQ89">
            <v>0</v>
          </cell>
          <cell r="AR89">
            <v>0</v>
          </cell>
          <cell r="AS89">
            <v>96.5</v>
          </cell>
          <cell r="AT89">
            <v>0</v>
          </cell>
          <cell r="AU89">
            <v>118.5</v>
          </cell>
          <cell r="AV89">
            <v>77.75</v>
          </cell>
          <cell r="AW89">
            <v>174</v>
          </cell>
          <cell r="AX89">
            <v>0</v>
          </cell>
          <cell r="AY89">
            <v>0</v>
          </cell>
          <cell r="AZ89">
            <v>10.378575</v>
          </cell>
          <cell r="BA89">
            <v>2.5062749999999996</v>
          </cell>
          <cell r="BB89">
            <v>1.6832097500000001</v>
          </cell>
          <cell r="BC89">
            <v>2.2707000000000002</v>
          </cell>
          <cell r="BD89">
            <v>0</v>
          </cell>
          <cell r="BE89">
            <v>3.9248237011278192E-2</v>
          </cell>
          <cell r="BF89">
            <v>0</v>
          </cell>
          <cell r="BI89">
            <v>0</v>
          </cell>
          <cell r="BJ89">
            <v>0.23847786651015226</v>
          </cell>
          <cell r="BK89">
            <v>0.15818228856060607</v>
          </cell>
          <cell r="BL89">
            <v>0.43590839208203652</v>
          </cell>
          <cell r="BM89">
            <v>-9.5213703007518777E-3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-5.7853199238578665E-2</v>
          </cell>
          <cell r="BS89">
            <v>0</v>
          </cell>
          <cell r="BT89">
            <v>-6.7374569539330548E-2</v>
          </cell>
          <cell r="BU89">
            <v>105.72077027449396</v>
          </cell>
          <cell r="BV89">
            <v>-0.35406091370558368</v>
          </cell>
          <cell r="BW89">
            <v>105.36670936078838</v>
          </cell>
          <cell r="BX89">
            <v>113.67824760698277</v>
          </cell>
          <cell r="BY89">
            <v>-0.38071065989847713</v>
          </cell>
          <cell r="BZ89">
            <v>113.29753694708428</v>
          </cell>
          <cell r="CA89">
            <v>113.67824760698277</v>
          </cell>
          <cell r="CB89">
            <v>-0.44336730150248715</v>
          </cell>
          <cell r="CC89">
            <v>113.23488030548027</v>
          </cell>
          <cell r="CD89">
            <v>1.5056999999999998</v>
          </cell>
          <cell r="CE89">
            <v>200</v>
          </cell>
          <cell r="CF89">
            <v>1.9816917582904623</v>
          </cell>
          <cell r="CG89">
            <v>0.52874999999999994</v>
          </cell>
          <cell r="CH89">
            <v>140</v>
          </cell>
          <cell r="CI89">
            <v>0.48713134225759269</v>
          </cell>
          <cell r="CJ89">
            <v>2.4688231005480548</v>
          </cell>
          <cell r="CK89">
            <v>0.63697235087907711</v>
          </cell>
          <cell r="CL89">
            <v>0.12526234515195239</v>
          </cell>
          <cell r="CM89">
            <v>2.903225806451613</v>
          </cell>
          <cell r="CN89">
            <v>3.6654605024826425</v>
          </cell>
          <cell r="CO89">
            <v>1.3234869957154161E-2</v>
          </cell>
          <cell r="CP89">
            <v>1.2795698924731185</v>
          </cell>
          <cell r="CQ89">
            <v>1.2928047624302725</v>
          </cell>
          <cell r="CR89">
            <v>1.21</v>
          </cell>
          <cell r="CS89">
            <v>9.81</v>
          </cell>
          <cell r="CT89">
            <v>24.95</v>
          </cell>
          <cell r="CU89">
            <v>0</v>
          </cell>
          <cell r="CV89">
            <v>156.63196867094126</v>
          </cell>
        </row>
        <row r="90">
          <cell r="K90" t="str">
            <v>ExportIst New Buyer00Hand41x76M</v>
          </cell>
          <cell r="L90">
            <v>0</v>
          </cell>
          <cell r="M90">
            <v>107.55</v>
          </cell>
          <cell r="N90">
            <v>0</v>
          </cell>
          <cell r="O90">
            <v>21.15</v>
          </cell>
          <cell r="P90">
            <v>21.649000000000001</v>
          </cell>
          <cell r="Q90">
            <v>13.05</v>
          </cell>
          <cell r="R90">
            <v>0</v>
          </cell>
          <cell r="S90">
            <v>0</v>
          </cell>
          <cell r="T90">
            <v>163.399</v>
          </cell>
          <cell r="U90">
            <v>151.96106999999998</v>
          </cell>
          <cell r="V90">
            <v>2.5000000000000001E-3</v>
          </cell>
          <cell r="W90">
            <v>0</v>
          </cell>
          <cell r="X90">
            <v>-1.3999999999999999E-2</v>
          </cell>
          <cell r="Y90">
            <v>-2.5000000000000001E-2</v>
          </cell>
          <cell r="Z90">
            <v>7.0000000000000173E-2</v>
          </cell>
          <cell r="AA90">
            <v>1.4999999999999999E-2</v>
          </cell>
          <cell r="AB90">
            <v>0.01</v>
          </cell>
          <cell r="AC90">
            <v>0.3808548120300751</v>
          </cell>
          <cell r="AD90">
            <v>0</v>
          </cell>
          <cell r="AE90">
            <v>-1.5056999999999998</v>
          </cell>
          <cell r="AF90">
            <v>-0.52874999999999994</v>
          </cell>
          <cell r="AG90">
            <v>11.437930000000028</v>
          </cell>
          <cell r="AH90">
            <v>2.3141279695431467</v>
          </cell>
          <cell r="AI90">
            <v>1.534960303030303</v>
          </cell>
          <cell r="AJ90">
            <v>13.633423084603553</v>
          </cell>
          <cell r="AK90">
            <v>165.59449308460353</v>
          </cell>
          <cell r="AL90" t="str">
            <v>1/13  Comb</v>
          </cell>
          <cell r="AM90">
            <v>0</v>
          </cell>
          <cell r="AN90" t="str">
            <v>2/30  KC</v>
          </cell>
          <cell r="AO90" t="str">
            <v xml:space="preserve">1/16OE  </v>
          </cell>
          <cell r="AP90" t="str">
            <v>2/20  Gas Mer</v>
          </cell>
          <cell r="AQ90">
            <v>0</v>
          </cell>
          <cell r="AR90">
            <v>0</v>
          </cell>
          <cell r="AS90">
            <v>96.5</v>
          </cell>
          <cell r="AT90">
            <v>0</v>
          </cell>
          <cell r="AU90">
            <v>118.5</v>
          </cell>
          <cell r="AV90">
            <v>77.75</v>
          </cell>
          <cell r="AW90">
            <v>174</v>
          </cell>
          <cell r="AX90">
            <v>0</v>
          </cell>
          <cell r="AY90">
            <v>0</v>
          </cell>
          <cell r="AZ90">
            <v>10.378575</v>
          </cell>
          <cell r="BA90">
            <v>2.5062749999999996</v>
          </cell>
          <cell r="BB90">
            <v>1.6832097500000001</v>
          </cell>
          <cell r="BC90">
            <v>2.2707000000000002</v>
          </cell>
          <cell r="BD90">
            <v>0</v>
          </cell>
          <cell r="BE90">
            <v>3.9248237011278192E-2</v>
          </cell>
          <cell r="BF90">
            <v>0</v>
          </cell>
          <cell r="BI90">
            <v>0</v>
          </cell>
          <cell r="BJ90">
            <v>0.23847786651015226</v>
          </cell>
          <cell r="BK90">
            <v>0.15818228856060607</v>
          </cell>
          <cell r="BL90">
            <v>0.43590839208203652</v>
          </cell>
          <cell r="BM90">
            <v>-9.5213703007518777E-3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-5.7853199238578665E-2</v>
          </cell>
          <cell r="BS90">
            <v>0</v>
          </cell>
          <cell r="BT90">
            <v>-6.7374569539330548E-2</v>
          </cell>
          <cell r="BU90">
            <v>105.72077027449396</v>
          </cell>
          <cell r="BV90">
            <v>-0.35406091370558368</v>
          </cell>
          <cell r="BW90">
            <v>105.36670936078838</v>
          </cell>
          <cell r="BX90">
            <v>113.67824760698277</v>
          </cell>
          <cell r="BY90">
            <v>-0.38071065989847713</v>
          </cell>
          <cell r="BZ90">
            <v>113.29753694708428</v>
          </cell>
          <cell r="CA90">
            <v>113.67824760698277</v>
          </cell>
          <cell r="CB90">
            <v>-0.44336730150248715</v>
          </cell>
          <cell r="CC90">
            <v>113.23488030548027</v>
          </cell>
          <cell r="CD90">
            <v>1.5056999999999998</v>
          </cell>
          <cell r="CE90">
            <v>200</v>
          </cell>
          <cell r="CF90">
            <v>1.9816917582904623</v>
          </cell>
          <cell r="CG90">
            <v>0.52874999999999994</v>
          </cell>
          <cell r="CH90">
            <v>140</v>
          </cell>
          <cell r="CI90">
            <v>0.48713134225759269</v>
          </cell>
          <cell r="CJ90">
            <v>2.4688231005480548</v>
          </cell>
          <cell r="CK90">
            <v>0.63697235087907711</v>
          </cell>
          <cell r="CL90">
            <v>0.12526234515195239</v>
          </cell>
          <cell r="CM90">
            <v>2.903225806451613</v>
          </cell>
          <cell r="CN90">
            <v>3.6654605024826425</v>
          </cell>
          <cell r="CO90">
            <v>1.3234869957154161E-2</v>
          </cell>
          <cell r="CP90">
            <v>1.2795698924731185</v>
          </cell>
          <cell r="CQ90">
            <v>1.2928047624302725</v>
          </cell>
          <cell r="CR90">
            <v>4.22</v>
          </cell>
          <cell r="CS90">
            <v>9.7200000000000006</v>
          </cell>
          <cell r="CT90">
            <v>24.95</v>
          </cell>
          <cell r="CU90">
            <v>0</v>
          </cell>
          <cell r="CV90">
            <v>159.55196867094125</v>
          </cell>
        </row>
        <row r="91">
          <cell r="K91" t="str">
            <v>ExportIst New Buyer00Hand41x76D</v>
          </cell>
          <cell r="L91">
            <v>0</v>
          </cell>
          <cell r="M91">
            <v>107.55</v>
          </cell>
          <cell r="N91">
            <v>0</v>
          </cell>
          <cell r="O91">
            <v>21.15</v>
          </cell>
          <cell r="P91">
            <v>21.649000000000001</v>
          </cell>
          <cell r="Q91">
            <v>13.05</v>
          </cell>
          <cell r="R91">
            <v>0</v>
          </cell>
          <cell r="S91">
            <v>0</v>
          </cell>
          <cell r="T91">
            <v>163.399</v>
          </cell>
          <cell r="U91">
            <v>151.96106999999998</v>
          </cell>
          <cell r="V91">
            <v>2.5000000000000001E-3</v>
          </cell>
          <cell r="W91">
            <v>0</v>
          </cell>
          <cell r="X91">
            <v>-1.3999999999999999E-2</v>
          </cell>
          <cell r="Y91">
            <v>-2.5000000000000001E-2</v>
          </cell>
          <cell r="Z91">
            <v>7.0000000000000173E-2</v>
          </cell>
          <cell r="AA91">
            <v>1.4999999999999999E-2</v>
          </cell>
          <cell r="AB91">
            <v>0.01</v>
          </cell>
          <cell r="AC91">
            <v>0.3808548120300751</v>
          </cell>
          <cell r="AD91">
            <v>0</v>
          </cell>
          <cell r="AE91">
            <v>-1.5056999999999998</v>
          </cell>
          <cell r="AF91">
            <v>-0.52874999999999994</v>
          </cell>
          <cell r="AG91">
            <v>11.437930000000028</v>
          </cell>
          <cell r="AH91">
            <v>2.3141279695431467</v>
          </cell>
          <cell r="AI91">
            <v>1.534960303030303</v>
          </cell>
          <cell r="AJ91">
            <v>13.633423084603553</v>
          </cell>
          <cell r="AK91">
            <v>165.59449308460353</v>
          </cell>
          <cell r="AL91" t="str">
            <v>1/13  Comb</v>
          </cell>
          <cell r="AM91">
            <v>0</v>
          </cell>
          <cell r="AN91" t="str">
            <v>2/30  KC</v>
          </cell>
          <cell r="AO91" t="str">
            <v xml:space="preserve">1/16OE  </v>
          </cell>
          <cell r="AP91" t="str">
            <v>2/20  Gas Mer</v>
          </cell>
          <cell r="AQ91">
            <v>0</v>
          </cell>
          <cell r="AR91">
            <v>0</v>
          </cell>
          <cell r="AS91">
            <v>96.5</v>
          </cell>
          <cell r="AT91">
            <v>0</v>
          </cell>
          <cell r="AU91">
            <v>118.5</v>
          </cell>
          <cell r="AV91">
            <v>77.75</v>
          </cell>
          <cell r="AW91">
            <v>174</v>
          </cell>
          <cell r="AX91">
            <v>0</v>
          </cell>
          <cell r="AY91">
            <v>0</v>
          </cell>
          <cell r="AZ91">
            <v>10.378575</v>
          </cell>
          <cell r="BA91">
            <v>2.5062749999999996</v>
          </cell>
          <cell r="BB91">
            <v>1.6832097500000001</v>
          </cell>
          <cell r="BC91">
            <v>2.2707000000000002</v>
          </cell>
          <cell r="BD91">
            <v>0</v>
          </cell>
          <cell r="BE91">
            <v>3.9248237011278192E-2</v>
          </cell>
          <cell r="BF91">
            <v>0</v>
          </cell>
          <cell r="BI91">
            <v>0</v>
          </cell>
          <cell r="BJ91">
            <v>0.23847786651015226</v>
          </cell>
          <cell r="BK91">
            <v>0.15818228856060607</v>
          </cell>
          <cell r="BL91">
            <v>0.43590839208203652</v>
          </cell>
          <cell r="BM91">
            <v>-9.5213703007518777E-3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-5.7853199238578665E-2</v>
          </cell>
          <cell r="BS91">
            <v>0</v>
          </cell>
          <cell r="BT91">
            <v>-6.7374569539330548E-2</v>
          </cell>
          <cell r="BU91">
            <v>105.72077027449396</v>
          </cell>
          <cell r="BV91">
            <v>-0.35406091370558368</v>
          </cell>
          <cell r="BW91">
            <v>105.36670936078838</v>
          </cell>
          <cell r="BX91">
            <v>113.67824760698277</v>
          </cell>
          <cell r="BY91">
            <v>-0.38071065989847713</v>
          </cell>
          <cell r="BZ91">
            <v>113.29753694708428</v>
          </cell>
          <cell r="CA91">
            <v>113.67824760698277</v>
          </cell>
          <cell r="CB91">
            <v>-0.44336730150248715</v>
          </cell>
          <cell r="CC91">
            <v>113.23488030548027</v>
          </cell>
          <cell r="CD91">
            <v>1.5056999999999998</v>
          </cell>
          <cell r="CE91">
            <v>200</v>
          </cell>
          <cell r="CF91">
            <v>1.9816917582904623</v>
          </cell>
          <cell r="CG91">
            <v>0.52874999999999994</v>
          </cell>
          <cell r="CH91">
            <v>140</v>
          </cell>
          <cell r="CI91">
            <v>0.48713134225759269</v>
          </cell>
          <cell r="CJ91">
            <v>2.4688231005480548</v>
          </cell>
          <cell r="CK91">
            <v>0.63697235087907711</v>
          </cell>
          <cell r="CL91">
            <v>0.12526234515195239</v>
          </cell>
          <cell r="CM91">
            <v>2.903225806451613</v>
          </cell>
          <cell r="CN91">
            <v>3.6654605024826425</v>
          </cell>
          <cell r="CO91">
            <v>1.3234869957154161E-2</v>
          </cell>
          <cell r="CP91">
            <v>1.2795698924731185</v>
          </cell>
          <cell r="CQ91">
            <v>1.2928047624302725</v>
          </cell>
          <cell r="CR91">
            <v>14.66</v>
          </cell>
          <cell r="CS91">
            <v>9.98</v>
          </cell>
          <cell r="CT91">
            <v>24.95</v>
          </cell>
          <cell r="CU91">
            <v>0</v>
          </cell>
          <cell r="CV91">
            <v>170.25196867094127</v>
          </cell>
        </row>
        <row r="92">
          <cell r="K92" t="str">
            <v>ExportIst New Buyer00Wash33x33L</v>
          </cell>
          <cell r="L92">
            <v>0</v>
          </cell>
          <cell r="M92">
            <v>36.76</v>
          </cell>
          <cell r="N92">
            <v>0</v>
          </cell>
          <cell r="O92">
            <v>8.4499999999999993</v>
          </cell>
          <cell r="P92">
            <v>8.9339999999999993</v>
          </cell>
          <cell r="Q92">
            <v>7.2619999999999996</v>
          </cell>
          <cell r="R92">
            <v>0</v>
          </cell>
          <cell r="S92">
            <v>0</v>
          </cell>
          <cell r="T92">
            <v>61.405999999999992</v>
          </cell>
          <cell r="U92">
            <v>57.107579999999992</v>
          </cell>
          <cell r="V92">
            <v>2.5000000000000001E-3</v>
          </cell>
          <cell r="W92">
            <v>0</v>
          </cell>
          <cell r="X92">
            <v>-1.3999999999999999E-2</v>
          </cell>
          <cell r="Y92">
            <v>-2.5000000000000001E-2</v>
          </cell>
          <cell r="Z92">
            <v>7.0000000000000062E-2</v>
          </cell>
          <cell r="AA92">
            <v>1.4999999999999999E-2</v>
          </cell>
          <cell r="AB92">
            <v>0.01</v>
          </cell>
          <cell r="AC92">
            <v>0.1431267669172932</v>
          </cell>
          <cell r="AD92">
            <v>0</v>
          </cell>
          <cell r="AE92">
            <v>-0.51463999999999988</v>
          </cell>
          <cell r="AF92">
            <v>-0.21124999999999999</v>
          </cell>
          <cell r="AG92">
            <v>4.2984200000000028</v>
          </cell>
          <cell r="AH92">
            <v>0.86965857868020291</v>
          </cell>
          <cell r="AI92">
            <v>0.57684424242424237</v>
          </cell>
          <cell r="AJ92">
            <v>5.1621595880217406</v>
          </cell>
          <cell r="AK92">
            <v>62.269739588021736</v>
          </cell>
          <cell r="AL92" t="str">
            <v>1/13  Comb</v>
          </cell>
          <cell r="AM92">
            <v>0</v>
          </cell>
          <cell r="AN92" t="str">
            <v>2/30  KC</v>
          </cell>
          <cell r="AO92" t="str">
            <v xml:space="preserve">1/16OE  </v>
          </cell>
          <cell r="AP92" t="str">
            <v>2/20  Gas Mer</v>
          </cell>
          <cell r="AQ92">
            <v>0</v>
          </cell>
          <cell r="AR92">
            <v>0</v>
          </cell>
          <cell r="AS92">
            <v>96.5</v>
          </cell>
          <cell r="AT92">
            <v>0</v>
          </cell>
          <cell r="AU92">
            <v>118.5</v>
          </cell>
          <cell r="AV92">
            <v>77.75</v>
          </cell>
          <cell r="AW92">
            <v>174</v>
          </cell>
          <cell r="AX92">
            <v>0</v>
          </cell>
          <cell r="AY92">
            <v>0</v>
          </cell>
          <cell r="AZ92">
            <v>3.5473399999999997</v>
          </cell>
          <cell r="BA92">
            <v>1.001325</v>
          </cell>
          <cell r="BB92">
            <v>0.69461849999999992</v>
          </cell>
          <cell r="BC92">
            <v>1.2635879999999999</v>
          </cell>
          <cell r="BD92">
            <v>0</v>
          </cell>
          <cell r="BE92">
            <v>1.5166392218045111E-2</v>
          </cell>
          <cell r="BF92">
            <v>0</v>
          </cell>
          <cell r="BI92">
            <v>0</v>
          </cell>
          <cell r="BJ92">
            <v>9.2153154746192886E-2</v>
          </cell>
          <cell r="BK92">
            <v>6.1125156515151512E-2</v>
          </cell>
          <cell r="BL92">
            <v>0.1684447034793895</v>
          </cell>
          <cell r="BM92">
            <v>-3.5781691729323303E-3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-2.1741464467005072E-2</v>
          </cell>
          <cell r="BS92">
            <v>0</v>
          </cell>
          <cell r="BT92">
            <v>-2.5319633639937403E-2</v>
          </cell>
          <cell r="BU92">
            <v>108.70788202259371</v>
          </cell>
          <cell r="BV92">
            <v>-0.35406091370558374</v>
          </cell>
          <cell r="BW92">
            <v>108.35382110888813</v>
          </cell>
          <cell r="BX92">
            <v>116.89019572321904</v>
          </cell>
          <cell r="BY92">
            <v>-0.38071065989847713</v>
          </cell>
          <cell r="BZ92">
            <v>116.50948506332055</v>
          </cell>
          <cell r="CA92">
            <v>116.89019572321904</v>
          </cell>
          <cell r="CB92">
            <v>-0.44336730150248715</v>
          </cell>
          <cell r="CC92">
            <v>116.44682842171655</v>
          </cell>
          <cell r="CD92">
            <v>0.51463999999999988</v>
          </cell>
          <cell r="CE92">
            <v>200</v>
          </cell>
          <cell r="CF92">
            <v>1.802352682428497</v>
          </cell>
          <cell r="CG92">
            <v>0.21124999999999999</v>
          </cell>
          <cell r="CH92">
            <v>140</v>
          </cell>
          <cell r="CI92">
            <v>0.51788221458517425</v>
          </cell>
          <cell r="CJ92">
            <v>2.3202348970136715</v>
          </cell>
          <cell r="CK92">
            <v>0.5793276479234456</v>
          </cell>
          <cell r="CL92">
            <v>0.13316971232190192</v>
          </cell>
          <cell r="CM92">
            <v>2.903225806451613</v>
          </cell>
          <cell r="CN92">
            <v>3.6157231666969603</v>
          </cell>
          <cell r="CO92">
            <v>1.2037141129076038E-2</v>
          </cell>
          <cell r="CP92">
            <v>1.2795698924731185</v>
          </cell>
          <cell r="CQ92">
            <v>1.2916070336021945</v>
          </cell>
          <cell r="CR92">
            <v>1.21</v>
          </cell>
          <cell r="CS92">
            <v>9.81</v>
          </cell>
          <cell r="CT92">
            <v>47.86</v>
          </cell>
          <cell r="CU92">
            <v>0</v>
          </cell>
          <cell r="CV92">
            <v>182.55439351902936</v>
          </cell>
        </row>
        <row r="93">
          <cell r="K93" t="str">
            <v>ExportIst New Buyer00Wash33x33M</v>
          </cell>
          <cell r="L93">
            <v>0</v>
          </cell>
          <cell r="M93">
            <v>36.76</v>
          </cell>
          <cell r="N93">
            <v>0</v>
          </cell>
          <cell r="O93">
            <v>8.4499999999999993</v>
          </cell>
          <cell r="P93">
            <v>8.9339999999999993</v>
          </cell>
          <cell r="Q93">
            <v>7.2619999999999996</v>
          </cell>
          <cell r="R93">
            <v>0</v>
          </cell>
          <cell r="S93">
            <v>0</v>
          </cell>
          <cell r="T93">
            <v>61.405999999999992</v>
          </cell>
          <cell r="U93">
            <v>57.107579999999992</v>
          </cell>
          <cell r="V93">
            <v>2.5000000000000001E-3</v>
          </cell>
          <cell r="W93">
            <v>0</v>
          </cell>
          <cell r="X93">
            <v>-1.3999999999999999E-2</v>
          </cell>
          <cell r="Y93">
            <v>-2.5000000000000001E-2</v>
          </cell>
          <cell r="Z93">
            <v>7.0000000000000062E-2</v>
          </cell>
          <cell r="AA93">
            <v>1.4999999999999999E-2</v>
          </cell>
          <cell r="AB93">
            <v>0.01</v>
          </cell>
          <cell r="AC93">
            <v>0.1431267669172932</v>
          </cell>
          <cell r="AD93">
            <v>0</v>
          </cell>
          <cell r="AE93">
            <v>-0.51463999999999988</v>
          </cell>
          <cell r="AF93">
            <v>-0.21124999999999999</v>
          </cell>
          <cell r="AG93">
            <v>4.2984200000000028</v>
          </cell>
          <cell r="AH93">
            <v>0.86965857868020291</v>
          </cell>
          <cell r="AI93">
            <v>0.57684424242424237</v>
          </cell>
          <cell r="AJ93">
            <v>5.1621595880217406</v>
          </cell>
          <cell r="AK93">
            <v>62.269739588021736</v>
          </cell>
          <cell r="AL93" t="str">
            <v>1/13  Comb</v>
          </cell>
          <cell r="AM93">
            <v>0</v>
          </cell>
          <cell r="AN93" t="str">
            <v>2/30  KC</v>
          </cell>
          <cell r="AO93" t="str">
            <v xml:space="preserve">1/16OE  </v>
          </cell>
          <cell r="AP93" t="str">
            <v>2/20  Gas Mer</v>
          </cell>
          <cell r="AQ93">
            <v>0</v>
          </cell>
          <cell r="AR93">
            <v>0</v>
          </cell>
          <cell r="AS93">
            <v>96.5</v>
          </cell>
          <cell r="AT93">
            <v>0</v>
          </cell>
          <cell r="AU93">
            <v>118.5</v>
          </cell>
          <cell r="AV93">
            <v>77.75</v>
          </cell>
          <cell r="AW93">
            <v>174</v>
          </cell>
          <cell r="AX93">
            <v>0</v>
          </cell>
          <cell r="AY93">
            <v>0</v>
          </cell>
          <cell r="AZ93">
            <v>3.5473399999999997</v>
          </cell>
          <cell r="BA93">
            <v>1.001325</v>
          </cell>
          <cell r="BB93">
            <v>0.69461849999999992</v>
          </cell>
          <cell r="BC93">
            <v>1.2635879999999999</v>
          </cell>
          <cell r="BD93">
            <v>0</v>
          </cell>
          <cell r="BE93">
            <v>1.5166392218045111E-2</v>
          </cell>
          <cell r="BF93">
            <v>0</v>
          </cell>
          <cell r="BI93">
            <v>0</v>
          </cell>
          <cell r="BJ93">
            <v>9.2153154746192886E-2</v>
          </cell>
          <cell r="BK93">
            <v>6.1125156515151512E-2</v>
          </cell>
          <cell r="BL93">
            <v>0.1684447034793895</v>
          </cell>
          <cell r="BM93">
            <v>-3.5781691729323303E-3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-2.1741464467005072E-2</v>
          </cell>
          <cell r="BS93">
            <v>0</v>
          </cell>
          <cell r="BT93">
            <v>-2.5319633639937403E-2</v>
          </cell>
          <cell r="BU93">
            <v>108.70788202259371</v>
          </cell>
          <cell r="BV93">
            <v>-0.35406091370558374</v>
          </cell>
          <cell r="BW93">
            <v>108.35382110888813</v>
          </cell>
          <cell r="BX93">
            <v>116.89019572321904</v>
          </cell>
          <cell r="BY93">
            <v>-0.38071065989847713</v>
          </cell>
          <cell r="BZ93">
            <v>116.50948506332055</v>
          </cell>
          <cell r="CA93">
            <v>116.89019572321904</v>
          </cell>
          <cell r="CB93">
            <v>-0.44336730150248715</v>
          </cell>
          <cell r="CC93">
            <v>116.44682842171655</v>
          </cell>
          <cell r="CD93">
            <v>0.51463999999999988</v>
          </cell>
          <cell r="CE93">
            <v>200</v>
          </cell>
          <cell r="CF93">
            <v>1.802352682428497</v>
          </cell>
          <cell r="CG93">
            <v>0.21124999999999999</v>
          </cell>
          <cell r="CH93">
            <v>140</v>
          </cell>
          <cell r="CI93">
            <v>0.51788221458517425</v>
          </cell>
          <cell r="CJ93">
            <v>2.3202348970136715</v>
          </cell>
          <cell r="CK93">
            <v>0.5793276479234456</v>
          </cell>
          <cell r="CL93">
            <v>0.13316971232190192</v>
          </cell>
          <cell r="CM93">
            <v>2.903225806451613</v>
          </cell>
          <cell r="CN93">
            <v>3.6157231666969603</v>
          </cell>
          <cell r="CO93">
            <v>1.2037141129076038E-2</v>
          </cell>
          <cell r="CP93">
            <v>1.2795698924731185</v>
          </cell>
          <cell r="CQ93">
            <v>1.2916070336021945</v>
          </cell>
          <cell r="CR93">
            <v>4.22</v>
          </cell>
          <cell r="CS93">
            <v>9.7200000000000006</v>
          </cell>
          <cell r="CT93">
            <v>47.86</v>
          </cell>
          <cell r="CU93">
            <v>0</v>
          </cell>
          <cell r="CV93">
            <v>185.47439351902938</v>
          </cell>
        </row>
        <row r="94">
          <cell r="K94" t="str">
            <v>ExportIst New Buyer00Wash33x33D</v>
          </cell>
          <cell r="L94">
            <v>0</v>
          </cell>
          <cell r="M94">
            <v>36.76</v>
          </cell>
          <cell r="N94">
            <v>0</v>
          </cell>
          <cell r="O94">
            <v>8.4499999999999993</v>
          </cell>
          <cell r="P94">
            <v>8.9339999999999993</v>
          </cell>
          <cell r="Q94">
            <v>7.2619999999999996</v>
          </cell>
          <cell r="R94">
            <v>0</v>
          </cell>
          <cell r="S94">
            <v>0</v>
          </cell>
          <cell r="T94">
            <v>61.405999999999992</v>
          </cell>
          <cell r="U94">
            <v>57.107579999999992</v>
          </cell>
          <cell r="V94">
            <v>2.5000000000000001E-3</v>
          </cell>
          <cell r="W94">
            <v>0</v>
          </cell>
          <cell r="X94">
            <v>-1.3999999999999999E-2</v>
          </cell>
          <cell r="Y94">
            <v>-2.5000000000000001E-2</v>
          </cell>
          <cell r="Z94">
            <v>7.0000000000000062E-2</v>
          </cell>
          <cell r="AA94">
            <v>1.4999999999999999E-2</v>
          </cell>
          <cell r="AB94">
            <v>0.01</v>
          </cell>
          <cell r="AC94">
            <v>0.1431267669172932</v>
          </cell>
          <cell r="AD94">
            <v>0</v>
          </cell>
          <cell r="AE94">
            <v>-0.51463999999999988</v>
          </cell>
          <cell r="AF94">
            <v>-0.21124999999999999</v>
          </cell>
          <cell r="AG94">
            <v>4.2984200000000028</v>
          </cell>
          <cell r="AH94">
            <v>0.86965857868020291</v>
          </cell>
          <cell r="AI94">
            <v>0.57684424242424237</v>
          </cell>
          <cell r="AJ94">
            <v>5.1621595880217406</v>
          </cell>
          <cell r="AK94">
            <v>62.269739588021736</v>
          </cell>
          <cell r="AL94" t="str">
            <v>1/13  Comb</v>
          </cell>
          <cell r="AM94">
            <v>0</v>
          </cell>
          <cell r="AN94" t="str">
            <v>2/30  KC</v>
          </cell>
          <cell r="AO94" t="str">
            <v xml:space="preserve">1/16OE  </v>
          </cell>
          <cell r="AP94" t="str">
            <v>2/20  Gas Mer</v>
          </cell>
          <cell r="AQ94">
            <v>0</v>
          </cell>
          <cell r="AR94">
            <v>0</v>
          </cell>
          <cell r="AS94">
            <v>96.5</v>
          </cell>
          <cell r="AT94">
            <v>0</v>
          </cell>
          <cell r="AU94">
            <v>118.5</v>
          </cell>
          <cell r="AV94">
            <v>77.75</v>
          </cell>
          <cell r="AW94">
            <v>174</v>
          </cell>
          <cell r="AX94">
            <v>0</v>
          </cell>
          <cell r="AY94">
            <v>0</v>
          </cell>
          <cell r="AZ94">
            <v>3.5473399999999997</v>
          </cell>
          <cell r="BA94">
            <v>1.001325</v>
          </cell>
          <cell r="BB94">
            <v>0.69461849999999992</v>
          </cell>
          <cell r="BC94">
            <v>1.2635879999999999</v>
          </cell>
          <cell r="BD94">
            <v>0</v>
          </cell>
          <cell r="BE94">
            <v>1.5166392218045111E-2</v>
          </cell>
          <cell r="BF94">
            <v>0</v>
          </cell>
          <cell r="BI94">
            <v>0</v>
          </cell>
          <cell r="BJ94">
            <v>9.2153154746192886E-2</v>
          </cell>
          <cell r="BK94">
            <v>6.1125156515151512E-2</v>
          </cell>
          <cell r="BL94">
            <v>0.1684447034793895</v>
          </cell>
          <cell r="BM94">
            <v>-3.5781691729323303E-3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-2.1741464467005072E-2</v>
          </cell>
          <cell r="BS94">
            <v>0</v>
          </cell>
          <cell r="BT94">
            <v>-2.5319633639937403E-2</v>
          </cell>
          <cell r="BU94">
            <v>108.70788202259371</v>
          </cell>
          <cell r="BV94">
            <v>-0.35406091370558374</v>
          </cell>
          <cell r="BW94">
            <v>108.35382110888813</v>
          </cell>
          <cell r="BX94">
            <v>116.89019572321904</v>
          </cell>
          <cell r="BY94">
            <v>-0.38071065989847713</v>
          </cell>
          <cell r="BZ94">
            <v>116.50948506332055</v>
          </cell>
          <cell r="CA94">
            <v>116.89019572321904</v>
          </cell>
          <cell r="CB94">
            <v>-0.44336730150248715</v>
          </cell>
          <cell r="CC94">
            <v>116.44682842171655</v>
          </cell>
          <cell r="CD94">
            <v>0.51463999999999988</v>
          </cell>
          <cell r="CE94">
            <v>200</v>
          </cell>
          <cell r="CF94">
            <v>1.802352682428497</v>
          </cell>
          <cell r="CG94">
            <v>0.21124999999999999</v>
          </cell>
          <cell r="CH94">
            <v>140</v>
          </cell>
          <cell r="CI94">
            <v>0.51788221458517425</v>
          </cell>
          <cell r="CJ94">
            <v>2.3202348970136715</v>
          </cell>
          <cell r="CK94">
            <v>0.5793276479234456</v>
          </cell>
          <cell r="CL94">
            <v>0.13316971232190192</v>
          </cell>
          <cell r="CM94">
            <v>2.903225806451613</v>
          </cell>
          <cell r="CN94">
            <v>3.6157231666969603</v>
          </cell>
          <cell r="CO94">
            <v>1.2037141129076038E-2</v>
          </cell>
          <cell r="CP94">
            <v>1.2795698924731185</v>
          </cell>
          <cell r="CQ94">
            <v>1.2916070336021945</v>
          </cell>
          <cell r="CR94">
            <v>14.66</v>
          </cell>
          <cell r="CS94">
            <v>9.98</v>
          </cell>
          <cell r="CT94">
            <v>47.86</v>
          </cell>
          <cell r="CU94">
            <v>0</v>
          </cell>
          <cell r="CV94">
            <v>196.17439351902937</v>
          </cell>
        </row>
        <row r="95">
          <cell r="K95" t="str">
            <v>Export2nd New Buyer00Bath76x137L</v>
          </cell>
          <cell r="L95">
            <v>0</v>
          </cell>
          <cell r="M95">
            <v>415.87</v>
          </cell>
          <cell r="N95">
            <v>0</v>
          </cell>
          <cell r="O95">
            <v>71.28</v>
          </cell>
          <cell r="P95">
            <v>67.712000000000003</v>
          </cell>
          <cell r="Q95">
            <v>36.33</v>
          </cell>
          <cell r="R95">
            <v>0</v>
          </cell>
          <cell r="S95">
            <v>0</v>
          </cell>
          <cell r="T95">
            <v>591.19200000000001</v>
          </cell>
          <cell r="U95">
            <v>549.80855999999994</v>
          </cell>
          <cell r="V95">
            <v>2.5000000000000001E-3</v>
          </cell>
          <cell r="W95">
            <v>0</v>
          </cell>
          <cell r="X95">
            <v>-1.3999999999999999E-2</v>
          </cell>
          <cell r="Y95">
            <v>-2.5000000000000001E-2</v>
          </cell>
          <cell r="Z95">
            <v>7.0000000000000062E-2</v>
          </cell>
          <cell r="AA95">
            <v>1.4999999999999999E-2</v>
          </cell>
          <cell r="AB95">
            <v>0.01</v>
          </cell>
          <cell r="AC95">
            <v>1.3779663157894735</v>
          </cell>
          <cell r="AD95">
            <v>0</v>
          </cell>
          <cell r="AE95">
            <v>-5.8221799999999995</v>
          </cell>
          <cell r="AF95">
            <v>-1.782</v>
          </cell>
          <cell r="AG95">
            <v>41.383440000000036</v>
          </cell>
          <cell r="AH95">
            <v>8.3727191878172569</v>
          </cell>
          <cell r="AI95">
            <v>5.5536218181818171</v>
          </cell>
          <cell r="AJ95">
            <v>49.083567321788586</v>
          </cell>
          <cell r="AK95">
            <v>598.89212732178851</v>
          </cell>
          <cell r="AL95" t="str">
            <v>1/13  Comb</v>
          </cell>
          <cell r="AM95">
            <v>0</v>
          </cell>
          <cell r="AN95" t="str">
            <v>2/30  KC</v>
          </cell>
          <cell r="AO95" t="str">
            <v xml:space="preserve">1/16OE  </v>
          </cell>
          <cell r="AP95" t="str">
            <v>2/20  Gas Mer</v>
          </cell>
          <cell r="AQ95">
            <v>0</v>
          </cell>
          <cell r="AR95">
            <v>0</v>
          </cell>
          <cell r="AS95">
            <v>96.5</v>
          </cell>
          <cell r="AT95">
            <v>0</v>
          </cell>
          <cell r="AU95">
            <v>118.5</v>
          </cell>
          <cell r="AV95">
            <v>77.75</v>
          </cell>
          <cell r="AW95">
            <v>174</v>
          </cell>
          <cell r="AX95">
            <v>0</v>
          </cell>
          <cell r="AY95">
            <v>0</v>
          </cell>
          <cell r="AZ95">
            <v>40.131455000000003</v>
          </cell>
          <cell r="BA95">
            <v>8.4466800000000006</v>
          </cell>
          <cell r="BB95">
            <v>5.264608</v>
          </cell>
          <cell r="BC95">
            <v>6.3214199999999998</v>
          </cell>
          <cell r="BD95">
            <v>0</v>
          </cell>
          <cell r="BE95">
            <v>0.14023225962406013</v>
          </cell>
          <cell r="BF95">
            <v>0</v>
          </cell>
          <cell r="BI95">
            <v>0</v>
          </cell>
          <cell r="BJ95">
            <v>0.85207114096446679</v>
          </cell>
          <cell r="BK95">
            <v>0.56517850090909083</v>
          </cell>
          <cell r="BL95">
            <v>1.5574819014976178</v>
          </cell>
          <cell r="BM95">
            <v>-3.4449157894736834E-2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-0.20931797969543142</v>
          </cell>
          <cell r="BS95">
            <v>0</v>
          </cell>
          <cell r="BT95">
            <v>-0.24376713759016827</v>
          </cell>
          <cell r="BU95">
            <v>104.40202996910922</v>
          </cell>
          <cell r="BV95">
            <v>-0.35406091370558362</v>
          </cell>
          <cell r="BW95">
            <v>104.04796905540364</v>
          </cell>
          <cell r="BX95">
            <v>112.26024727861207</v>
          </cell>
          <cell r="BY95">
            <v>-0.38071065989847708</v>
          </cell>
          <cell r="BZ95">
            <v>111.87953661871359</v>
          </cell>
          <cell r="CA95">
            <v>112.26024727861207</v>
          </cell>
          <cell r="CB95">
            <v>-0.44336730150248715</v>
          </cell>
          <cell r="CC95">
            <v>111.81687997710958</v>
          </cell>
          <cell r="CD95">
            <v>5.8221799999999995</v>
          </cell>
          <cell r="CE95">
            <v>200</v>
          </cell>
          <cell r="CF95">
            <v>2.1178935446185125</v>
          </cell>
          <cell r="CG95">
            <v>1.782</v>
          </cell>
          <cell r="CH95">
            <v>140</v>
          </cell>
          <cell r="CI95">
            <v>0.45375794076396347</v>
          </cell>
          <cell r="CJ95">
            <v>2.5716514853824761</v>
          </cell>
          <cell r="CK95">
            <v>0.68075149648452182</v>
          </cell>
          <cell r="CL95">
            <v>0.11668061333930488</v>
          </cell>
          <cell r="CM95">
            <v>2.903225806451613</v>
          </cell>
          <cell r="CN95">
            <v>3.7006579162754396</v>
          </cell>
          <cell r="CO95">
            <v>1.4144503315845066E-2</v>
          </cell>
          <cell r="CP95">
            <v>1.2795698924731185</v>
          </cell>
          <cell r="CQ95">
            <v>1.2937143957889636</v>
          </cell>
          <cell r="CR95">
            <v>1.21</v>
          </cell>
          <cell r="CS95">
            <v>9.81</v>
          </cell>
          <cell r="CT95">
            <v>12.35</v>
          </cell>
          <cell r="CU95">
            <v>0</v>
          </cell>
          <cell r="CV95">
            <v>142.75290377455647</v>
          </cell>
        </row>
        <row r="96">
          <cell r="K96" t="str">
            <v>Export2nd New Buyer00Bath76x137M</v>
          </cell>
          <cell r="L96">
            <v>0</v>
          </cell>
          <cell r="M96">
            <v>415.87</v>
          </cell>
          <cell r="N96">
            <v>0</v>
          </cell>
          <cell r="O96">
            <v>71.28</v>
          </cell>
          <cell r="P96">
            <v>67.712000000000003</v>
          </cell>
          <cell r="Q96">
            <v>36.33</v>
          </cell>
          <cell r="R96">
            <v>0</v>
          </cell>
          <cell r="S96">
            <v>0</v>
          </cell>
          <cell r="T96">
            <v>591.19200000000001</v>
          </cell>
          <cell r="U96">
            <v>549.80855999999994</v>
          </cell>
          <cell r="V96">
            <v>2.5000000000000001E-3</v>
          </cell>
          <cell r="W96">
            <v>0</v>
          </cell>
          <cell r="X96">
            <v>-1.3999999999999999E-2</v>
          </cell>
          <cell r="Y96">
            <v>-2.5000000000000001E-2</v>
          </cell>
          <cell r="Z96">
            <v>7.0000000000000062E-2</v>
          </cell>
          <cell r="AA96">
            <v>1.4999999999999999E-2</v>
          </cell>
          <cell r="AB96">
            <v>0.01</v>
          </cell>
          <cell r="AC96">
            <v>1.3779663157894735</v>
          </cell>
          <cell r="AD96">
            <v>0</v>
          </cell>
          <cell r="AE96">
            <v>-5.8221799999999995</v>
          </cell>
          <cell r="AF96">
            <v>-1.782</v>
          </cell>
          <cell r="AG96">
            <v>41.383440000000036</v>
          </cell>
          <cell r="AH96">
            <v>8.3727191878172569</v>
          </cell>
          <cell r="AI96">
            <v>5.5536218181818171</v>
          </cell>
          <cell r="AJ96">
            <v>49.083567321788586</v>
          </cell>
          <cell r="AK96">
            <v>598.89212732178851</v>
          </cell>
          <cell r="AL96" t="str">
            <v>1/13  Comb</v>
          </cell>
          <cell r="AM96">
            <v>0</v>
          </cell>
          <cell r="AN96" t="str">
            <v>2/30  KC</v>
          </cell>
          <cell r="AO96" t="str">
            <v xml:space="preserve">1/16OE  </v>
          </cell>
          <cell r="AP96" t="str">
            <v>2/20  Gas Mer</v>
          </cell>
          <cell r="AQ96">
            <v>0</v>
          </cell>
          <cell r="AR96">
            <v>0</v>
          </cell>
          <cell r="AS96">
            <v>96.5</v>
          </cell>
          <cell r="AT96">
            <v>0</v>
          </cell>
          <cell r="AU96">
            <v>118.5</v>
          </cell>
          <cell r="AV96">
            <v>77.75</v>
          </cell>
          <cell r="AW96">
            <v>174</v>
          </cell>
          <cell r="AX96">
            <v>0</v>
          </cell>
          <cell r="AY96">
            <v>0</v>
          </cell>
          <cell r="AZ96">
            <v>40.131455000000003</v>
          </cell>
          <cell r="BA96">
            <v>8.4466800000000006</v>
          </cell>
          <cell r="BB96">
            <v>5.264608</v>
          </cell>
          <cell r="BC96">
            <v>6.3214199999999998</v>
          </cell>
          <cell r="BD96">
            <v>0</v>
          </cell>
          <cell r="BE96">
            <v>0.14023225962406013</v>
          </cell>
          <cell r="BF96">
            <v>0</v>
          </cell>
          <cell r="BI96">
            <v>0</v>
          </cell>
          <cell r="BJ96">
            <v>0.85207114096446679</v>
          </cell>
          <cell r="BK96">
            <v>0.56517850090909083</v>
          </cell>
          <cell r="BL96">
            <v>1.5574819014976178</v>
          </cell>
          <cell r="BM96">
            <v>-3.4449157894736834E-2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-0.20931797969543142</v>
          </cell>
          <cell r="BS96">
            <v>0</v>
          </cell>
          <cell r="BT96">
            <v>-0.24376713759016827</v>
          </cell>
          <cell r="BU96">
            <v>104.40202996910922</v>
          </cell>
          <cell r="BV96">
            <v>-0.35406091370558362</v>
          </cell>
          <cell r="BW96">
            <v>104.04796905540364</v>
          </cell>
          <cell r="BX96">
            <v>112.26024727861207</v>
          </cell>
          <cell r="BY96">
            <v>-0.38071065989847708</v>
          </cell>
          <cell r="BZ96">
            <v>111.87953661871359</v>
          </cell>
          <cell r="CA96">
            <v>112.26024727861207</v>
          </cell>
          <cell r="CB96">
            <v>-0.44336730150248715</v>
          </cell>
          <cell r="CC96">
            <v>111.81687997710958</v>
          </cell>
          <cell r="CD96">
            <v>5.8221799999999995</v>
          </cell>
          <cell r="CE96">
            <v>200</v>
          </cell>
          <cell r="CF96">
            <v>2.1178935446185125</v>
          </cell>
          <cell r="CG96">
            <v>1.782</v>
          </cell>
          <cell r="CH96">
            <v>140</v>
          </cell>
          <cell r="CI96">
            <v>0.45375794076396347</v>
          </cell>
          <cell r="CJ96">
            <v>2.5716514853824761</v>
          </cell>
          <cell r="CK96">
            <v>0.68075149648452182</v>
          </cell>
          <cell r="CL96">
            <v>0.11668061333930488</v>
          </cell>
          <cell r="CM96">
            <v>2.903225806451613</v>
          </cell>
          <cell r="CN96">
            <v>3.7006579162754396</v>
          </cell>
          <cell r="CO96">
            <v>1.4144503315845066E-2</v>
          </cell>
          <cell r="CP96">
            <v>1.2795698924731185</v>
          </cell>
          <cell r="CQ96">
            <v>1.2937143957889636</v>
          </cell>
          <cell r="CR96">
            <v>4.22</v>
          </cell>
          <cell r="CS96">
            <v>9.7200000000000006</v>
          </cell>
          <cell r="CT96">
            <v>12.35</v>
          </cell>
          <cell r="CU96">
            <v>0</v>
          </cell>
          <cell r="CV96">
            <v>145.67290377455646</v>
          </cell>
        </row>
        <row r="97">
          <cell r="K97" t="str">
            <v>Export2nd New Buyer00Bath76x137D</v>
          </cell>
          <cell r="L97">
            <v>0</v>
          </cell>
          <cell r="M97">
            <v>415.87</v>
          </cell>
          <cell r="N97">
            <v>0</v>
          </cell>
          <cell r="O97">
            <v>71.28</v>
          </cell>
          <cell r="P97">
            <v>67.712000000000003</v>
          </cell>
          <cell r="Q97">
            <v>36.33</v>
          </cell>
          <cell r="R97">
            <v>0</v>
          </cell>
          <cell r="S97">
            <v>0</v>
          </cell>
          <cell r="T97">
            <v>591.19200000000001</v>
          </cell>
          <cell r="U97">
            <v>549.80855999999994</v>
          </cell>
          <cell r="V97">
            <v>2.5000000000000001E-3</v>
          </cell>
          <cell r="W97">
            <v>0</v>
          </cell>
          <cell r="X97">
            <v>-1.3999999999999999E-2</v>
          </cell>
          <cell r="Y97">
            <v>-2.5000000000000001E-2</v>
          </cell>
          <cell r="Z97">
            <v>7.0000000000000062E-2</v>
          </cell>
          <cell r="AA97">
            <v>1.4999999999999999E-2</v>
          </cell>
          <cell r="AB97">
            <v>0.01</v>
          </cell>
          <cell r="AC97">
            <v>1.3779663157894735</v>
          </cell>
          <cell r="AD97">
            <v>0</v>
          </cell>
          <cell r="AE97">
            <v>-5.8221799999999995</v>
          </cell>
          <cell r="AF97">
            <v>-1.782</v>
          </cell>
          <cell r="AG97">
            <v>41.383440000000036</v>
          </cell>
          <cell r="AH97">
            <v>8.3727191878172569</v>
          </cell>
          <cell r="AI97">
            <v>5.5536218181818171</v>
          </cell>
          <cell r="AJ97">
            <v>49.083567321788586</v>
          </cell>
          <cell r="AK97">
            <v>598.89212732178851</v>
          </cell>
          <cell r="AL97" t="str">
            <v>1/13  Comb</v>
          </cell>
          <cell r="AM97">
            <v>0</v>
          </cell>
          <cell r="AN97" t="str">
            <v>2/30  KC</v>
          </cell>
          <cell r="AO97" t="str">
            <v xml:space="preserve">1/16OE  </v>
          </cell>
          <cell r="AP97" t="str">
            <v>2/20  Gas Mer</v>
          </cell>
          <cell r="AQ97">
            <v>0</v>
          </cell>
          <cell r="AR97">
            <v>0</v>
          </cell>
          <cell r="AS97">
            <v>96.5</v>
          </cell>
          <cell r="AT97">
            <v>0</v>
          </cell>
          <cell r="AU97">
            <v>118.5</v>
          </cell>
          <cell r="AV97">
            <v>77.75</v>
          </cell>
          <cell r="AW97">
            <v>174</v>
          </cell>
          <cell r="AX97">
            <v>0</v>
          </cell>
          <cell r="AY97">
            <v>0</v>
          </cell>
          <cell r="AZ97">
            <v>40.131455000000003</v>
          </cell>
          <cell r="BA97">
            <v>8.4466800000000006</v>
          </cell>
          <cell r="BB97">
            <v>5.264608</v>
          </cell>
          <cell r="BC97">
            <v>6.3214199999999998</v>
          </cell>
          <cell r="BD97">
            <v>0</v>
          </cell>
          <cell r="BE97">
            <v>0.14023225962406013</v>
          </cell>
          <cell r="BF97">
            <v>0</v>
          </cell>
          <cell r="BI97">
            <v>0</v>
          </cell>
          <cell r="BJ97">
            <v>0.85207114096446679</v>
          </cell>
          <cell r="BK97">
            <v>0.56517850090909083</v>
          </cell>
          <cell r="BL97">
            <v>1.5574819014976178</v>
          </cell>
          <cell r="BM97">
            <v>-3.4449157894736834E-2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-0.20931797969543142</v>
          </cell>
          <cell r="BS97">
            <v>0</v>
          </cell>
          <cell r="BT97">
            <v>-0.24376713759016827</v>
          </cell>
          <cell r="BU97">
            <v>104.40202996910922</v>
          </cell>
          <cell r="BV97">
            <v>-0.35406091370558362</v>
          </cell>
          <cell r="BW97">
            <v>104.04796905540364</v>
          </cell>
          <cell r="BX97">
            <v>112.26024727861207</v>
          </cell>
          <cell r="BY97">
            <v>-0.38071065989847708</v>
          </cell>
          <cell r="BZ97">
            <v>111.87953661871359</v>
          </cell>
          <cell r="CA97">
            <v>112.26024727861207</v>
          </cell>
          <cell r="CB97">
            <v>-0.44336730150248715</v>
          </cell>
          <cell r="CC97">
            <v>111.81687997710958</v>
          </cell>
          <cell r="CD97">
            <v>5.8221799999999995</v>
          </cell>
          <cell r="CE97">
            <v>200</v>
          </cell>
          <cell r="CF97">
            <v>2.1178935446185125</v>
          </cell>
          <cell r="CG97">
            <v>1.782</v>
          </cell>
          <cell r="CH97">
            <v>140</v>
          </cell>
          <cell r="CI97">
            <v>0.45375794076396347</v>
          </cell>
          <cell r="CJ97">
            <v>2.5716514853824761</v>
          </cell>
          <cell r="CK97">
            <v>0.68075149648452182</v>
          </cell>
          <cell r="CL97">
            <v>0.11668061333930488</v>
          </cell>
          <cell r="CM97">
            <v>2.903225806451613</v>
          </cell>
          <cell r="CN97">
            <v>3.7006579162754396</v>
          </cell>
          <cell r="CO97">
            <v>1.4144503315845066E-2</v>
          </cell>
          <cell r="CP97">
            <v>1.2795698924731185</v>
          </cell>
          <cell r="CQ97">
            <v>1.2937143957889636</v>
          </cell>
          <cell r="CR97">
            <v>14.66</v>
          </cell>
          <cell r="CS97">
            <v>9.98</v>
          </cell>
          <cell r="CT97">
            <v>12.35</v>
          </cell>
          <cell r="CU97">
            <v>0</v>
          </cell>
          <cell r="CV97">
            <v>156.37290377455648</v>
          </cell>
        </row>
        <row r="98">
          <cell r="K98" t="str">
            <v>Export2nd New Buyer00Hand41x76L</v>
          </cell>
          <cell r="L98">
            <v>0</v>
          </cell>
          <cell r="M98">
            <v>107.55</v>
          </cell>
          <cell r="N98">
            <v>0</v>
          </cell>
          <cell r="O98">
            <v>21.15</v>
          </cell>
          <cell r="P98">
            <v>21.649000000000001</v>
          </cell>
          <cell r="Q98">
            <v>13.05</v>
          </cell>
          <cell r="R98">
            <v>0</v>
          </cell>
          <cell r="S98">
            <v>0</v>
          </cell>
          <cell r="T98">
            <v>163.399</v>
          </cell>
          <cell r="U98">
            <v>151.96106999999998</v>
          </cell>
          <cell r="V98">
            <v>2.5000000000000001E-3</v>
          </cell>
          <cell r="W98">
            <v>0</v>
          </cell>
          <cell r="X98">
            <v>-1.3999999999999999E-2</v>
          </cell>
          <cell r="Y98">
            <v>-2.5000000000000001E-2</v>
          </cell>
          <cell r="Z98">
            <v>7.0000000000000173E-2</v>
          </cell>
          <cell r="AA98">
            <v>1.4999999999999999E-2</v>
          </cell>
          <cell r="AB98">
            <v>0.01</v>
          </cell>
          <cell r="AC98">
            <v>0.3808548120300751</v>
          </cell>
          <cell r="AD98">
            <v>0</v>
          </cell>
          <cell r="AE98">
            <v>-1.5056999999999998</v>
          </cell>
          <cell r="AF98">
            <v>-0.52874999999999994</v>
          </cell>
          <cell r="AG98">
            <v>11.437930000000028</v>
          </cell>
          <cell r="AH98">
            <v>2.3141279695431467</v>
          </cell>
          <cell r="AI98">
            <v>1.534960303030303</v>
          </cell>
          <cell r="AJ98">
            <v>13.633423084603553</v>
          </cell>
          <cell r="AK98">
            <v>165.59449308460353</v>
          </cell>
          <cell r="AL98" t="str">
            <v>1/13  Comb</v>
          </cell>
          <cell r="AM98">
            <v>0</v>
          </cell>
          <cell r="AN98" t="str">
            <v>2/30  KC</v>
          </cell>
          <cell r="AO98" t="str">
            <v xml:space="preserve">1/16OE  </v>
          </cell>
          <cell r="AP98" t="str">
            <v>2/20  Gas Mer</v>
          </cell>
          <cell r="AQ98">
            <v>0</v>
          </cell>
          <cell r="AR98">
            <v>0</v>
          </cell>
          <cell r="AS98">
            <v>96.5</v>
          </cell>
          <cell r="AT98">
            <v>0</v>
          </cell>
          <cell r="AU98">
            <v>118.5</v>
          </cell>
          <cell r="AV98">
            <v>77.75</v>
          </cell>
          <cell r="AW98">
            <v>174</v>
          </cell>
          <cell r="AX98">
            <v>0</v>
          </cell>
          <cell r="AY98">
            <v>0</v>
          </cell>
          <cell r="AZ98">
            <v>10.378575</v>
          </cell>
          <cell r="BA98">
            <v>2.5062749999999996</v>
          </cell>
          <cell r="BB98">
            <v>1.6832097500000001</v>
          </cell>
          <cell r="BC98">
            <v>2.2707000000000002</v>
          </cell>
          <cell r="BD98">
            <v>0</v>
          </cell>
          <cell r="BE98">
            <v>3.9248237011278192E-2</v>
          </cell>
          <cell r="BF98">
            <v>0</v>
          </cell>
          <cell r="BI98">
            <v>0</v>
          </cell>
          <cell r="BJ98">
            <v>0.23847786651015226</v>
          </cell>
          <cell r="BK98">
            <v>0.15818228856060607</v>
          </cell>
          <cell r="BL98">
            <v>0.43590839208203652</v>
          </cell>
          <cell r="BM98">
            <v>-9.5213703007518777E-3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-5.7853199238578665E-2</v>
          </cell>
          <cell r="BS98">
            <v>0</v>
          </cell>
          <cell r="BT98">
            <v>-6.7374569539330548E-2</v>
          </cell>
          <cell r="BU98">
            <v>105.72077027449396</v>
          </cell>
          <cell r="BV98">
            <v>-0.35406091370558368</v>
          </cell>
          <cell r="BW98">
            <v>105.36670936078838</v>
          </cell>
          <cell r="BX98">
            <v>113.67824760698277</v>
          </cell>
          <cell r="BY98">
            <v>-0.38071065989847713</v>
          </cell>
          <cell r="BZ98">
            <v>113.29753694708428</v>
          </cell>
          <cell r="CA98">
            <v>113.67824760698277</v>
          </cell>
          <cell r="CB98">
            <v>-0.44336730150248715</v>
          </cell>
          <cell r="CC98">
            <v>113.23488030548027</v>
          </cell>
          <cell r="CD98">
            <v>1.5056999999999998</v>
          </cell>
          <cell r="CE98">
            <v>200</v>
          </cell>
          <cell r="CF98">
            <v>1.9816917582904623</v>
          </cell>
          <cell r="CG98">
            <v>0.52874999999999994</v>
          </cell>
          <cell r="CH98">
            <v>140</v>
          </cell>
          <cell r="CI98">
            <v>0.48713134225759269</v>
          </cell>
          <cell r="CJ98">
            <v>2.4688231005480548</v>
          </cell>
          <cell r="CK98">
            <v>0.63697235087907711</v>
          </cell>
          <cell r="CL98">
            <v>0.12526234515195239</v>
          </cell>
          <cell r="CM98">
            <v>2.903225806451613</v>
          </cell>
          <cell r="CN98">
            <v>3.6654605024826425</v>
          </cell>
          <cell r="CO98">
            <v>1.3234869957154161E-2</v>
          </cell>
          <cell r="CP98">
            <v>1.2795698924731185</v>
          </cell>
          <cell r="CQ98">
            <v>1.2928047624302725</v>
          </cell>
          <cell r="CR98">
            <v>1.21</v>
          </cell>
          <cell r="CS98">
            <v>9.81</v>
          </cell>
          <cell r="CT98">
            <v>24.95</v>
          </cell>
          <cell r="CU98">
            <v>0</v>
          </cell>
          <cell r="CV98">
            <v>156.63196867094126</v>
          </cell>
        </row>
        <row r="99">
          <cell r="K99" t="str">
            <v>Export2nd New Buyer00Hand41x76M</v>
          </cell>
          <cell r="L99">
            <v>0</v>
          </cell>
          <cell r="M99">
            <v>107.55</v>
          </cell>
          <cell r="N99">
            <v>0</v>
          </cell>
          <cell r="O99">
            <v>21.15</v>
          </cell>
          <cell r="P99">
            <v>21.649000000000001</v>
          </cell>
          <cell r="Q99">
            <v>13.05</v>
          </cell>
          <cell r="R99">
            <v>0</v>
          </cell>
          <cell r="S99">
            <v>0</v>
          </cell>
          <cell r="T99">
            <v>163.399</v>
          </cell>
          <cell r="U99">
            <v>151.96106999999998</v>
          </cell>
          <cell r="V99">
            <v>2.5000000000000001E-3</v>
          </cell>
          <cell r="W99">
            <v>0</v>
          </cell>
          <cell r="X99">
            <v>-1.3999999999999999E-2</v>
          </cell>
          <cell r="Y99">
            <v>-2.5000000000000001E-2</v>
          </cell>
          <cell r="Z99">
            <v>7.0000000000000173E-2</v>
          </cell>
          <cell r="AA99">
            <v>1.4999999999999999E-2</v>
          </cell>
          <cell r="AB99">
            <v>0.01</v>
          </cell>
          <cell r="AC99">
            <v>0.3808548120300751</v>
          </cell>
          <cell r="AD99">
            <v>0</v>
          </cell>
          <cell r="AE99">
            <v>-1.5056999999999998</v>
          </cell>
          <cell r="AF99">
            <v>-0.52874999999999994</v>
          </cell>
          <cell r="AG99">
            <v>11.437930000000028</v>
          </cell>
          <cell r="AH99">
            <v>2.3141279695431467</v>
          </cell>
          <cell r="AI99">
            <v>1.534960303030303</v>
          </cell>
          <cell r="AJ99">
            <v>13.633423084603553</v>
          </cell>
          <cell r="AK99">
            <v>165.59449308460353</v>
          </cell>
          <cell r="AL99" t="str">
            <v>1/13  Comb</v>
          </cell>
          <cell r="AM99">
            <v>0</v>
          </cell>
          <cell r="AN99" t="str">
            <v>2/30  KC</v>
          </cell>
          <cell r="AO99" t="str">
            <v xml:space="preserve">1/16OE  </v>
          </cell>
          <cell r="AP99" t="str">
            <v>2/20  Gas Mer</v>
          </cell>
          <cell r="AQ99">
            <v>0</v>
          </cell>
          <cell r="AR99">
            <v>0</v>
          </cell>
          <cell r="AS99">
            <v>96.5</v>
          </cell>
          <cell r="AT99">
            <v>0</v>
          </cell>
          <cell r="AU99">
            <v>118.5</v>
          </cell>
          <cell r="AV99">
            <v>77.75</v>
          </cell>
          <cell r="AW99">
            <v>174</v>
          </cell>
          <cell r="AX99">
            <v>0</v>
          </cell>
          <cell r="AY99">
            <v>0</v>
          </cell>
          <cell r="AZ99">
            <v>10.378575</v>
          </cell>
          <cell r="BA99">
            <v>2.5062749999999996</v>
          </cell>
          <cell r="BB99">
            <v>1.6832097500000001</v>
          </cell>
          <cell r="BC99">
            <v>2.2707000000000002</v>
          </cell>
          <cell r="BD99">
            <v>0</v>
          </cell>
          <cell r="BE99">
            <v>3.9248237011278192E-2</v>
          </cell>
          <cell r="BF99">
            <v>0</v>
          </cell>
          <cell r="BI99">
            <v>0</v>
          </cell>
          <cell r="BJ99">
            <v>0.23847786651015226</v>
          </cell>
          <cell r="BK99">
            <v>0.15818228856060607</v>
          </cell>
          <cell r="BL99">
            <v>0.43590839208203652</v>
          </cell>
          <cell r="BM99">
            <v>-9.5213703007518777E-3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-5.7853199238578665E-2</v>
          </cell>
          <cell r="BS99">
            <v>0</v>
          </cell>
          <cell r="BT99">
            <v>-6.7374569539330548E-2</v>
          </cell>
          <cell r="BU99">
            <v>105.72077027449396</v>
          </cell>
          <cell r="BV99">
            <v>-0.35406091370558368</v>
          </cell>
          <cell r="BW99">
            <v>105.36670936078838</v>
          </cell>
          <cell r="BX99">
            <v>113.67824760698277</v>
          </cell>
          <cell r="BY99">
            <v>-0.38071065989847713</v>
          </cell>
          <cell r="BZ99">
            <v>113.29753694708428</v>
          </cell>
          <cell r="CA99">
            <v>113.67824760698277</v>
          </cell>
          <cell r="CB99">
            <v>-0.44336730150248715</v>
          </cell>
          <cell r="CC99">
            <v>113.23488030548027</v>
          </cell>
          <cell r="CD99">
            <v>1.5056999999999998</v>
          </cell>
          <cell r="CE99">
            <v>200</v>
          </cell>
          <cell r="CF99">
            <v>1.9816917582904623</v>
          </cell>
          <cell r="CG99">
            <v>0.52874999999999994</v>
          </cell>
          <cell r="CH99">
            <v>140</v>
          </cell>
          <cell r="CI99">
            <v>0.48713134225759269</v>
          </cell>
          <cell r="CJ99">
            <v>2.4688231005480548</v>
          </cell>
          <cell r="CK99">
            <v>0.63697235087907711</v>
          </cell>
          <cell r="CL99">
            <v>0.12526234515195239</v>
          </cell>
          <cell r="CM99">
            <v>2.903225806451613</v>
          </cell>
          <cell r="CN99">
            <v>3.6654605024826425</v>
          </cell>
          <cell r="CO99">
            <v>1.3234869957154161E-2</v>
          </cell>
          <cell r="CP99">
            <v>1.2795698924731185</v>
          </cell>
          <cell r="CQ99">
            <v>1.2928047624302725</v>
          </cell>
          <cell r="CR99">
            <v>4.22</v>
          </cell>
          <cell r="CS99">
            <v>9.7200000000000006</v>
          </cell>
          <cell r="CT99">
            <v>24.95</v>
          </cell>
          <cell r="CU99">
            <v>0</v>
          </cell>
          <cell r="CV99">
            <v>159.55196867094125</v>
          </cell>
        </row>
        <row r="100">
          <cell r="K100" t="str">
            <v>Export2nd New Buyer00Hand41x76D</v>
          </cell>
          <cell r="L100">
            <v>0</v>
          </cell>
          <cell r="M100">
            <v>107.55</v>
          </cell>
          <cell r="N100">
            <v>0</v>
          </cell>
          <cell r="O100">
            <v>21.15</v>
          </cell>
          <cell r="P100">
            <v>21.649000000000001</v>
          </cell>
          <cell r="Q100">
            <v>13.05</v>
          </cell>
          <cell r="R100">
            <v>0</v>
          </cell>
          <cell r="S100">
            <v>0</v>
          </cell>
          <cell r="T100">
            <v>163.399</v>
          </cell>
          <cell r="U100">
            <v>151.96106999999998</v>
          </cell>
          <cell r="V100">
            <v>2.5000000000000001E-3</v>
          </cell>
          <cell r="W100">
            <v>0</v>
          </cell>
          <cell r="X100">
            <v>-1.3999999999999999E-2</v>
          </cell>
          <cell r="Y100">
            <v>-2.5000000000000001E-2</v>
          </cell>
          <cell r="Z100">
            <v>7.0000000000000173E-2</v>
          </cell>
          <cell r="AA100">
            <v>1.4999999999999999E-2</v>
          </cell>
          <cell r="AB100">
            <v>0.01</v>
          </cell>
          <cell r="AC100">
            <v>0.3808548120300751</v>
          </cell>
          <cell r="AD100">
            <v>0</v>
          </cell>
          <cell r="AE100">
            <v>-1.5056999999999998</v>
          </cell>
          <cell r="AF100">
            <v>-0.52874999999999994</v>
          </cell>
          <cell r="AG100">
            <v>11.437930000000028</v>
          </cell>
          <cell r="AH100">
            <v>2.3141279695431467</v>
          </cell>
          <cell r="AI100">
            <v>1.534960303030303</v>
          </cell>
          <cell r="AJ100">
            <v>13.633423084603553</v>
          </cell>
          <cell r="AK100">
            <v>165.59449308460353</v>
          </cell>
          <cell r="AL100" t="str">
            <v>1/13  Comb</v>
          </cell>
          <cell r="AM100">
            <v>0</v>
          </cell>
          <cell r="AN100" t="str">
            <v>2/30  KC</v>
          </cell>
          <cell r="AO100" t="str">
            <v xml:space="preserve">1/16OE  </v>
          </cell>
          <cell r="AP100" t="str">
            <v>2/20  Gas Mer</v>
          </cell>
          <cell r="AQ100">
            <v>0</v>
          </cell>
          <cell r="AR100">
            <v>0</v>
          </cell>
          <cell r="AS100">
            <v>96.5</v>
          </cell>
          <cell r="AT100">
            <v>0</v>
          </cell>
          <cell r="AU100">
            <v>118.5</v>
          </cell>
          <cell r="AV100">
            <v>77.75</v>
          </cell>
          <cell r="AW100">
            <v>174</v>
          </cell>
          <cell r="AX100">
            <v>0</v>
          </cell>
          <cell r="AY100">
            <v>0</v>
          </cell>
          <cell r="AZ100">
            <v>10.378575</v>
          </cell>
          <cell r="BA100">
            <v>2.5062749999999996</v>
          </cell>
          <cell r="BB100">
            <v>1.6832097500000001</v>
          </cell>
          <cell r="BC100">
            <v>2.2707000000000002</v>
          </cell>
          <cell r="BD100">
            <v>0</v>
          </cell>
          <cell r="BE100">
            <v>3.9248237011278192E-2</v>
          </cell>
          <cell r="BF100">
            <v>0</v>
          </cell>
          <cell r="BI100">
            <v>0</v>
          </cell>
          <cell r="BJ100">
            <v>0.23847786651015226</v>
          </cell>
          <cell r="BK100">
            <v>0.15818228856060607</v>
          </cell>
          <cell r="BL100">
            <v>0.43590839208203652</v>
          </cell>
          <cell r="BM100">
            <v>-9.5213703007518777E-3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-5.7853199238578665E-2</v>
          </cell>
          <cell r="BS100">
            <v>0</v>
          </cell>
          <cell r="BT100">
            <v>-6.7374569539330548E-2</v>
          </cell>
          <cell r="BU100">
            <v>105.72077027449396</v>
          </cell>
          <cell r="BV100">
            <v>-0.35406091370558368</v>
          </cell>
          <cell r="BW100">
            <v>105.36670936078838</v>
          </cell>
          <cell r="BX100">
            <v>113.67824760698277</v>
          </cell>
          <cell r="BY100">
            <v>-0.38071065989847713</v>
          </cell>
          <cell r="BZ100">
            <v>113.29753694708428</v>
          </cell>
          <cell r="CA100">
            <v>113.67824760698277</v>
          </cell>
          <cell r="CB100">
            <v>-0.44336730150248715</v>
          </cell>
          <cell r="CC100">
            <v>113.23488030548027</v>
          </cell>
          <cell r="CD100">
            <v>1.5056999999999998</v>
          </cell>
          <cell r="CE100">
            <v>200</v>
          </cell>
          <cell r="CF100">
            <v>1.9816917582904623</v>
          </cell>
          <cell r="CG100">
            <v>0.52874999999999994</v>
          </cell>
          <cell r="CH100">
            <v>140</v>
          </cell>
          <cell r="CI100">
            <v>0.48713134225759269</v>
          </cell>
          <cell r="CJ100">
            <v>2.4688231005480548</v>
          </cell>
          <cell r="CK100">
            <v>0.63697235087907711</v>
          </cell>
          <cell r="CL100">
            <v>0.12526234515195239</v>
          </cell>
          <cell r="CM100">
            <v>2.903225806451613</v>
          </cell>
          <cell r="CN100">
            <v>3.6654605024826425</v>
          </cell>
          <cell r="CO100">
            <v>1.3234869957154161E-2</v>
          </cell>
          <cell r="CP100">
            <v>1.2795698924731185</v>
          </cell>
          <cell r="CQ100">
            <v>1.2928047624302725</v>
          </cell>
          <cell r="CR100">
            <v>14.66</v>
          </cell>
          <cell r="CS100">
            <v>9.98</v>
          </cell>
          <cell r="CT100">
            <v>24.95</v>
          </cell>
          <cell r="CU100">
            <v>0</v>
          </cell>
          <cell r="CV100">
            <v>170.25196867094127</v>
          </cell>
        </row>
        <row r="101">
          <cell r="K101" t="str">
            <v>Export2nd New Buyer00Wash33x33L</v>
          </cell>
          <cell r="L101">
            <v>0</v>
          </cell>
          <cell r="M101">
            <v>36.76</v>
          </cell>
          <cell r="N101">
            <v>0</v>
          </cell>
          <cell r="O101">
            <v>8.4499999999999993</v>
          </cell>
          <cell r="P101">
            <v>8.9339999999999993</v>
          </cell>
          <cell r="Q101">
            <v>7.2619999999999996</v>
          </cell>
          <cell r="R101">
            <v>0</v>
          </cell>
          <cell r="S101">
            <v>0</v>
          </cell>
          <cell r="T101">
            <v>61.405999999999992</v>
          </cell>
          <cell r="U101">
            <v>57.107579999999992</v>
          </cell>
          <cell r="V101">
            <v>2.5000000000000001E-3</v>
          </cell>
          <cell r="W101">
            <v>0</v>
          </cell>
          <cell r="X101">
            <v>-1.3999999999999999E-2</v>
          </cell>
          <cell r="Y101">
            <v>-2.5000000000000001E-2</v>
          </cell>
          <cell r="Z101">
            <v>7.0000000000000062E-2</v>
          </cell>
          <cell r="AA101">
            <v>1.4999999999999999E-2</v>
          </cell>
          <cell r="AB101">
            <v>0.01</v>
          </cell>
          <cell r="AC101">
            <v>0.1431267669172932</v>
          </cell>
          <cell r="AD101">
            <v>0</v>
          </cell>
          <cell r="AE101">
            <v>-0.51463999999999988</v>
          </cell>
          <cell r="AF101">
            <v>-0.21124999999999999</v>
          </cell>
          <cell r="AG101">
            <v>4.2984200000000028</v>
          </cell>
          <cell r="AH101">
            <v>0.86965857868020291</v>
          </cell>
          <cell r="AI101">
            <v>0.57684424242424237</v>
          </cell>
          <cell r="AJ101">
            <v>5.1621595880217406</v>
          </cell>
          <cell r="AK101">
            <v>62.269739588021736</v>
          </cell>
          <cell r="AL101" t="str">
            <v>1/13  Comb</v>
          </cell>
          <cell r="AM101">
            <v>0</v>
          </cell>
          <cell r="AN101" t="str">
            <v>2/30  KC</v>
          </cell>
          <cell r="AO101" t="str">
            <v xml:space="preserve">1/16OE  </v>
          </cell>
          <cell r="AP101" t="str">
            <v>2/20  Gas Mer</v>
          </cell>
          <cell r="AQ101">
            <v>0</v>
          </cell>
          <cell r="AR101">
            <v>0</v>
          </cell>
          <cell r="AS101">
            <v>96.5</v>
          </cell>
          <cell r="AT101">
            <v>0</v>
          </cell>
          <cell r="AU101">
            <v>118.5</v>
          </cell>
          <cell r="AV101">
            <v>77.75</v>
          </cell>
          <cell r="AW101">
            <v>174</v>
          </cell>
          <cell r="AX101">
            <v>0</v>
          </cell>
          <cell r="AY101">
            <v>0</v>
          </cell>
          <cell r="AZ101">
            <v>3.5473399999999997</v>
          </cell>
          <cell r="BA101">
            <v>1.001325</v>
          </cell>
          <cell r="BB101">
            <v>0.69461849999999992</v>
          </cell>
          <cell r="BC101">
            <v>1.2635879999999999</v>
          </cell>
          <cell r="BD101">
            <v>0</v>
          </cell>
          <cell r="BE101">
            <v>1.5166392218045111E-2</v>
          </cell>
          <cell r="BF101">
            <v>0</v>
          </cell>
          <cell r="BI101">
            <v>0</v>
          </cell>
          <cell r="BJ101">
            <v>9.2153154746192886E-2</v>
          </cell>
          <cell r="BK101">
            <v>6.1125156515151512E-2</v>
          </cell>
          <cell r="BL101">
            <v>0.1684447034793895</v>
          </cell>
          <cell r="BM101">
            <v>-3.5781691729323303E-3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-2.1741464467005072E-2</v>
          </cell>
          <cell r="BS101">
            <v>0</v>
          </cell>
          <cell r="BT101">
            <v>-2.5319633639937403E-2</v>
          </cell>
          <cell r="BU101">
            <v>108.70788202259371</v>
          </cell>
          <cell r="BV101">
            <v>-0.35406091370558374</v>
          </cell>
          <cell r="BW101">
            <v>108.35382110888813</v>
          </cell>
          <cell r="BX101">
            <v>116.89019572321904</v>
          </cell>
          <cell r="BY101">
            <v>-0.38071065989847713</v>
          </cell>
          <cell r="BZ101">
            <v>116.50948506332055</v>
          </cell>
          <cell r="CA101">
            <v>116.89019572321904</v>
          </cell>
          <cell r="CB101">
            <v>-0.44336730150248715</v>
          </cell>
          <cell r="CC101">
            <v>116.44682842171655</v>
          </cell>
          <cell r="CD101">
            <v>0.51463999999999988</v>
          </cell>
          <cell r="CE101">
            <v>200</v>
          </cell>
          <cell r="CF101">
            <v>1.802352682428497</v>
          </cell>
          <cell r="CG101">
            <v>0.21124999999999999</v>
          </cell>
          <cell r="CH101">
            <v>140</v>
          </cell>
          <cell r="CI101">
            <v>0.51788221458517425</v>
          </cell>
          <cell r="CJ101">
            <v>2.3202348970136715</v>
          </cell>
          <cell r="CK101">
            <v>0.5793276479234456</v>
          </cell>
          <cell r="CL101">
            <v>0.13316971232190192</v>
          </cell>
          <cell r="CM101">
            <v>2.903225806451613</v>
          </cell>
          <cell r="CN101">
            <v>3.6157231666969603</v>
          </cell>
          <cell r="CO101">
            <v>1.2037141129076038E-2</v>
          </cell>
          <cell r="CP101">
            <v>1.2795698924731185</v>
          </cell>
          <cell r="CQ101">
            <v>1.2916070336021945</v>
          </cell>
          <cell r="CR101">
            <v>1.21</v>
          </cell>
          <cell r="CS101">
            <v>9.81</v>
          </cell>
          <cell r="CT101">
            <v>47.86</v>
          </cell>
          <cell r="CU101">
            <v>0</v>
          </cell>
          <cell r="CV101">
            <v>182.55439351902936</v>
          </cell>
        </row>
        <row r="102">
          <cell r="K102" t="str">
            <v>Export2nd New Buyer00Wash33x33M</v>
          </cell>
          <cell r="L102">
            <v>0</v>
          </cell>
          <cell r="M102">
            <v>36.76</v>
          </cell>
          <cell r="N102">
            <v>0</v>
          </cell>
          <cell r="O102">
            <v>8.4499999999999993</v>
          </cell>
          <cell r="P102">
            <v>8.9339999999999993</v>
          </cell>
          <cell r="Q102">
            <v>7.2619999999999996</v>
          </cell>
          <cell r="R102">
            <v>0</v>
          </cell>
          <cell r="S102">
            <v>0</v>
          </cell>
          <cell r="T102">
            <v>61.405999999999992</v>
          </cell>
          <cell r="U102">
            <v>57.107579999999992</v>
          </cell>
          <cell r="V102">
            <v>2.5000000000000001E-3</v>
          </cell>
          <cell r="W102">
            <v>0</v>
          </cell>
          <cell r="X102">
            <v>-1.3999999999999999E-2</v>
          </cell>
          <cell r="Y102">
            <v>-2.5000000000000001E-2</v>
          </cell>
          <cell r="Z102">
            <v>7.0000000000000062E-2</v>
          </cell>
          <cell r="AA102">
            <v>1.4999999999999999E-2</v>
          </cell>
          <cell r="AB102">
            <v>0.01</v>
          </cell>
          <cell r="AC102">
            <v>0.1431267669172932</v>
          </cell>
          <cell r="AD102">
            <v>0</v>
          </cell>
          <cell r="AE102">
            <v>-0.51463999999999988</v>
          </cell>
          <cell r="AF102">
            <v>-0.21124999999999999</v>
          </cell>
          <cell r="AG102">
            <v>4.2984200000000028</v>
          </cell>
          <cell r="AH102">
            <v>0.86965857868020291</v>
          </cell>
          <cell r="AI102">
            <v>0.57684424242424237</v>
          </cell>
          <cell r="AJ102">
            <v>5.1621595880217406</v>
          </cell>
          <cell r="AK102">
            <v>62.269739588021736</v>
          </cell>
          <cell r="AL102" t="str">
            <v>1/13  Comb</v>
          </cell>
          <cell r="AM102">
            <v>0</v>
          </cell>
          <cell r="AN102" t="str">
            <v>2/30  KC</v>
          </cell>
          <cell r="AO102" t="str">
            <v xml:space="preserve">1/16OE  </v>
          </cell>
          <cell r="AP102" t="str">
            <v>2/20  Gas Mer</v>
          </cell>
          <cell r="AQ102">
            <v>0</v>
          </cell>
          <cell r="AR102">
            <v>0</v>
          </cell>
          <cell r="AS102">
            <v>96.5</v>
          </cell>
          <cell r="AT102">
            <v>0</v>
          </cell>
          <cell r="AU102">
            <v>118.5</v>
          </cell>
          <cell r="AV102">
            <v>77.75</v>
          </cell>
          <cell r="AW102">
            <v>174</v>
          </cell>
          <cell r="AX102">
            <v>0</v>
          </cell>
          <cell r="AY102">
            <v>0</v>
          </cell>
          <cell r="AZ102">
            <v>3.5473399999999997</v>
          </cell>
          <cell r="BA102">
            <v>1.001325</v>
          </cell>
          <cell r="BB102">
            <v>0.69461849999999992</v>
          </cell>
          <cell r="BC102">
            <v>1.2635879999999999</v>
          </cell>
          <cell r="BD102">
            <v>0</v>
          </cell>
          <cell r="BE102">
            <v>1.5166392218045111E-2</v>
          </cell>
          <cell r="BF102">
            <v>0</v>
          </cell>
          <cell r="BI102">
            <v>0</v>
          </cell>
          <cell r="BJ102">
            <v>9.2153154746192886E-2</v>
          </cell>
          <cell r="BK102">
            <v>6.1125156515151512E-2</v>
          </cell>
          <cell r="BL102">
            <v>0.1684447034793895</v>
          </cell>
          <cell r="BM102">
            <v>-3.5781691729323303E-3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-2.1741464467005072E-2</v>
          </cell>
          <cell r="BS102">
            <v>0</v>
          </cell>
          <cell r="BT102">
            <v>-2.5319633639937403E-2</v>
          </cell>
          <cell r="BU102">
            <v>108.70788202259371</v>
          </cell>
          <cell r="BV102">
            <v>-0.35406091370558374</v>
          </cell>
          <cell r="BW102">
            <v>108.35382110888813</v>
          </cell>
          <cell r="BX102">
            <v>116.89019572321904</v>
          </cell>
          <cell r="BY102">
            <v>-0.38071065989847713</v>
          </cell>
          <cell r="BZ102">
            <v>116.50948506332055</v>
          </cell>
          <cell r="CA102">
            <v>116.89019572321904</v>
          </cell>
          <cell r="CB102">
            <v>-0.44336730150248715</v>
          </cell>
          <cell r="CC102">
            <v>116.44682842171655</v>
          </cell>
          <cell r="CD102">
            <v>0.51463999999999988</v>
          </cell>
          <cell r="CE102">
            <v>200</v>
          </cell>
          <cell r="CF102">
            <v>1.802352682428497</v>
          </cell>
          <cell r="CG102">
            <v>0.21124999999999999</v>
          </cell>
          <cell r="CH102">
            <v>140</v>
          </cell>
          <cell r="CI102">
            <v>0.51788221458517425</v>
          </cell>
          <cell r="CJ102">
            <v>2.3202348970136715</v>
          </cell>
          <cell r="CK102">
            <v>0.5793276479234456</v>
          </cell>
          <cell r="CL102">
            <v>0.13316971232190192</v>
          </cell>
          <cell r="CM102">
            <v>2.903225806451613</v>
          </cell>
          <cell r="CN102">
            <v>3.6157231666969603</v>
          </cell>
          <cell r="CO102">
            <v>1.2037141129076038E-2</v>
          </cell>
          <cell r="CP102">
            <v>1.2795698924731185</v>
          </cell>
          <cell r="CQ102">
            <v>1.2916070336021945</v>
          </cell>
          <cell r="CR102">
            <v>4.22</v>
          </cell>
          <cell r="CS102">
            <v>9.7200000000000006</v>
          </cell>
          <cell r="CT102">
            <v>47.86</v>
          </cell>
          <cell r="CU102">
            <v>0</v>
          </cell>
          <cell r="CV102">
            <v>185.47439351902938</v>
          </cell>
        </row>
        <row r="103">
          <cell r="K103" t="str">
            <v>Export2nd New Buyer00Wash33x33D</v>
          </cell>
          <cell r="L103">
            <v>0</v>
          </cell>
          <cell r="M103">
            <v>36.76</v>
          </cell>
          <cell r="N103">
            <v>0</v>
          </cell>
          <cell r="O103">
            <v>8.4499999999999993</v>
          </cell>
          <cell r="P103">
            <v>8.9339999999999993</v>
          </cell>
          <cell r="Q103">
            <v>7.2619999999999996</v>
          </cell>
          <cell r="R103">
            <v>0</v>
          </cell>
          <cell r="S103">
            <v>0</v>
          </cell>
          <cell r="T103">
            <v>61.405999999999992</v>
          </cell>
          <cell r="U103">
            <v>57.107579999999992</v>
          </cell>
          <cell r="V103">
            <v>2.5000000000000001E-3</v>
          </cell>
          <cell r="W103">
            <v>0</v>
          </cell>
          <cell r="X103">
            <v>-1.3999999999999999E-2</v>
          </cell>
          <cell r="Y103">
            <v>-2.5000000000000001E-2</v>
          </cell>
          <cell r="Z103">
            <v>7.0000000000000062E-2</v>
          </cell>
          <cell r="AA103">
            <v>1.4999999999999999E-2</v>
          </cell>
          <cell r="AB103">
            <v>0.01</v>
          </cell>
          <cell r="AC103">
            <v>0.1431267669172932</v>
          </cell>
          <cell r="AD103">
            <v>0</v>
          </cell>
          <cell r="AE103">
            <v>-0.51463999999999988</v>
          </cell>
          <cell r="AF103">
            <v>-0.21124999999999999</v>
          </cell>
          <cell r="AG103">
            <v>4.2984200000000028</v>
          </cell>
          <cell r="AH103">
            <v>0.86965857868020291</v>
          </cell>
          <cell r="AI103">
            <v>0.57684424242424237</v>
          </cell>
          <cell r="AJ103">
            <v>5.1621595880217406</v>
          </cell>
          <cell r="AK103">
            <v>62.269739588021736</v>
          </cell>
          <cell r="AL103" t="str">
            <v>1/13  Comb</v>
          </cell>
          <cell r="AM103">
            <v>0</v>
          </cell>
          <cell r="AN103" t="str">
            <v>2/30  KC</v>
          </cell>
          <cell r="AO103" t="str">
            <v xml:space="preserve">1/16OE  </v>
          </cell>
          <cell r="AP103" t="str">
            <v>2/20  Gas Mer</v>
          </cell>
          <cell r="AQ103">
            <v>0</v>
          </cell>
          <cell r="AR103">
            <v>0</v>
          </cell>
          <cell r="AS103">
            <v>96.5</v>
          </cell>
          <cell r="AT103">
            <v>0</v>
          </cell>
          <cell r="AU103">
            <v>118.5</v>
          </cell>
          <cell r="AV103">
            <v>77.75</v>
          </cell>
          <cell r="AW103">
            <v>174</v>
          </cell>
          <cell r="AX103">
            <v>0</v>
          </cell>
          <cell r="AY103">
            <v>0</v>
          </cell>
          <cell r="AZ103">
            <v>3.5473399999999997</v>
          </cell>
          <cell r="BA103">
            <v>1.001325</v>
          </cell>
          <cell r="BB103">
            <v>0.69461849999999992</v>
          </cell>
          <cell r="BC103">
            <v>1.2635879999999999</v>
          </cell>
          <cell r="BD103">
            <v>0</v>
          </cell>
          <cell r="BE103">
            <v>1.5166392218045111E-2</v>
          </cell>
          <cell r="BF103">
            <v>0</v>
          </cell>
          <cell r="BI103">
            <v>0</v>
          </cell>
          <cell r="BJ103">
            <v>9.2153154746192886E-2</v>
          </cell>
          <cell r="BK103">
            <v>6.1125156515151512E-2</v>
          </cell>
          <cell r="BL103">
            <v>0.1684447034793895</v>
          </cell>
          <cell r="BM103">
            <v>-3.5781691729323303E-3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-2.1741464467005072E-2</v>
          </cell>
          <cell r="BS103">
            <v>0</v>
          </cell>
          <cell r="BT103">
            <v>-2.5319633639937403E-2</v>
          </cell>
          <cell r="BU103">
            <v>108.70788202259371</v>
          </cell>
          <cell r="BV103">
            <v>-0.35406091370558374</v>
          </cell>
          <cell r="BW103">
            <v>108.35382110888813</v>
          </cell>
          <cell r="BX103">
            <v>116.89019572321904</v>
          </cell>
          <cell r="BY103">
            <v>-0.38071065989847713</v>
          </cell>
          <cell r="BZ103">
            <v>116.50948506332055</v>
          </cell>
          <cell r="CA103">
            <v>116.89019572321904</v>
          </cell>
          <cell r="CB103">
            <v>-0.44336730150248715</v>
          </cell>
          <cell r="CC103">
            <v>116.44682842171655</v>
          </cell>
          <cell r="CD103">
            <v>0.51463999999999988</v>
          </cell>
          <cell r="CE103">
            <v>200</v>
          </cell>
          <cell r="CF103">
            <v>1.802352682428497</v>
          </cell>
          <cell r="CG103">
            <v>0.21124999999999999</v>
          </cell>
          <cell r="CH103">
            <v>140</v>
          </cell>
          <cell r="CI103">
            <v>0.51788221458517425</v>
          </cell>
          <cell r="CJ103">
            <v>2.3202348970136715</v>
          </cell>
          <cell r="CK103">
            <v>0.5793276479234456</v>
          </cell>
          <cell r="CL103">
            <v>0.13316971232190192</v>
          </cell>
          <cell r="CM103">
            <v>2.903225806451613</v>
          </cell>
          <cell r="CN103">
            <v>3.6157231666969603</v>
          </cell>
          <cell r="CO103">
            <v>1.2037141129076038E-2</v>
          </cell>
          <cell r="CP103">
            <v>1.2795698924731185</v>
          </cell>
          <cell r="CQ103">
            <v>1.2916070336021945</v>
          </cell>
          <cell r="CR103">
            <v>14.66</v>
          </cell>
          <cell r="CS103">
            <v>9.98</v>
          </cell>
          <cell r="CT103">
            <v>47.86</v>
          </cell>
          <cell r="CU103">
            <v>0</v>
          </cell>
          <cell r="CV103">
            <v>196.17439351902937</v>
          </cell>
        </row>
        <row r="104">
          <cell r="K104" t="str">
            <v>Export3rd New Buyer00Bath0x0L</v>
          </cell>
          <cell r="L104">
            <v>0</v>
          </cell>
          <cell r="M104">
            <v>415.87</v>
          </cell>
          <cell r="N104">
            <v>0</v>
          </cell>
          <cell r="O104">
            <v>71.28</v>
          </cell>
          <cell r="P104">
            <v>67.712000000000003</v>
          </cell>
          <cell r="Q104">
            <v>36.33</v>
          </cell>
          <cell r="R104">
            <v>0</v>
          </cell>
          <cell r="S104">
            <v>0</v>
          </cell>
          <cell r="T104">
            <v>591.19200000000001</v>
          </cell>
          <cell r="U104">
            <v>591.19200000000001</v>
          </cell>
          <cell r="V104">
            <v>0</v>
          </cell>
          <cell r="W104">
            <v>0</v>
          </cell>
          <cell r="X104">
            <v>-1.3999999999999999E-2</v>
          </cell>
          <cell r="Y104">
            <v>-2.5000000000000001E-2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-5.8221799999999995</v>
          </cell>
          <cell r="AF104">
            <v>-1.782</v>
          </cell>
          <cell r="AG104">
            <v>0</v>
          </cell>
          <cell r="AH104">
            <v>0</v>
          </cell>
          <cell r="AI104">
            <v>0</v>
          </cell>
          <cell r="AJ104">
            <v>-7.6041799999999995</v>
          </cell>
          <cell r="AK104">
            <v>583.58781999999997</v>
          </cell>
          <cell r="AL104" t="str">
            <v>1/13  Comb</v>
          </cell>
          <cell r="AM104">
            <v>0</v>
          </cell>
          <cell r="AN104" t="str">
            <v>2/30  KC</v>
          </cell>
          <cell r="AO104" t="str">
            <v xml:space="preserve">1/16OE  </v>
          </cell>
          <cell r="AP104" t="str">
            <v>2/20  Gas Mer</v>
          </cell>
          <cell r="AQ104">
            <v>0</v>
          </cell>
          <cell r="AR104">
            <v>0</v>
          </cell>
          <cell r="AS104">
            <v>96.5</v>
          </cell>
          <cell r="AT104">
            <v>0</v>
          </cell>
          <cell r="AU104">
            <v>118.5</v>
          </cell>
          <cell r="AV104">
            <v>77.75</v>
          </cell>
          <cell r="AW104">
            <v>174</v>
          </cell>
          <cell r="AX104">
            <v>0</v>
          </cell>
          <cell r="AY104">
            <v>0</v>
          </cell>
          <cell r="AZ104">
            <v>40.131455000000003</v>
          </cell>
          <cell r="BA104">
            <v>8.4466800000000006</v>
          </cell>
          <cell r="BB104">
            <v>5.264608</v>
          </cell>
          <cell r="BC104">
            <v>6.3214199999999998</v>
          </cell>
          <cell r="BD104">
            <v>0</v>
          </cell>
          <cell r="BE104">
            <v>0</v>
          </cell>
          <cell r="BF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101.7675526732432</v>
          </cell>
          <cell r="BV104">
            <v>0</v>
          </cell>
          <cell r="BW104">
            <v>101.7675526732432</v>
          </cell>
          <cell r="BX104">
            <v>101.7675526732432</v>
          </cell>
          <cell r="BY104">
            <v>0</v>
          </cell>
          <cell r="BZ104">
            <v>101.7675526732432</v>
          </cell>
          <cell r="CA104">
            <v>101.7675526732432</v>
          </cell>
          <cell r="CB104">
            <v>0</v>
          </cell>
          <cell r="CC104">
            <v>101.7675526732432</v>
          </cell>
          <cell r="CD104">
            <v>5.8221799999999995</v>
          </cell>
          <cell r="CE104">
            <v>200</v>
          </cell>
          <cell r="CF104">
            <v>1.9696409964952162</v>
          </cell>
          <cell r="CG104">
            <v>1.782</v>
          </cell>
          <cell r="CH104">
            <v>140</v>
          </cell>
          <cell r="CI104">
            <v>0.42199488491048598</v>
          </cell>
          <cell r="CJ104">
            <v>2.3916358814057022</v>
          </cell>
          <cell r="CK104">
            <v>0.63309889173060518</v>
          </cell>
          <cell r="CL104">
            <v>0.10851297040555352</v>
          </cell>
          <cell r="CM104">
            <v>2.6999999999999997</v>
          </cell>
          <cell r="CN104">
            <v>3.4416118621361584</v>
          </cell>
          <cell r="CO104">
            <v>1.315438808373591E-2</v>
          </cell>
          <cell r="CP104">
            <v>1.1900000000000002</v>
          </cell>
          <cell r="CQ104">
            <v>1.2031543880837361</v>
          </cell>
          <cell r="CR104">
            <v>1.21</v>
          </cell>
          <cell r="CS104">
            <v>9.81</v>
          </cell>
          <cell r="CT104">
            <v>0</v>
          </cell>
          <cell r="CU104">
            <v>0</v>
          </cell>
          <cell r="CV104">
            <v>119.82395480486879</v>
          </cell>
        </row>
        <row r="105">
          <cell r="K105" t="str">
            <v>Export3rd New Buyer00Bath0x0M</v>
          </cell>
          <cell r="L105">
            <v>0</v>
          </cell>
          <cell r="M105">
            <v>415.87</v>
          </cell>
          <cell r="N105">
            <v>0</v>
          </cell>
          <cell r="O105">
            <v>71.28</v>
          </cell>
          <cell r="P105">
            <v>67.712000000000003</v>
          </cell>
          <cell r="Q105">
            <v>36.33</v>
          </cell>
          <cell r="R105">
            <v>0</v>
          </cell>
          <cell r="S105">
            <v>0</v>
          </cell>
          <cell r="T105">
            <v>591.19200000000001</v>
          </cell>
          <cell r="U105">
            <v>591.19200000000001</v>
          </cell>
          <cell r="V105">
            <v>0</v>
          </cell>
          <cell r="W105">
            <v>0</v>
          </cell>
          <cell r="X105">
            <v>-1.3999999999999999E-2</v>
          </cell>
          <cell r="Y105">
            <v>-2.5000000000000001E-2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-5.8221799999999995</v>
          </cell>
          <cell r="AF105">
            <v>-1.782</v>
          </cell>
          <cell r="AG105">
            <v>0</v>
          </cell>
          <cell r="AH105">
            <v>0</v>
          </cell>
          <cell r="AI105">
            <v>0</v>
          </cell>
          <cell r="AJ105">
            <v>-7.6041799999999995</v>
          </cell>
          <cell r="AK105">
            <v>583.58781999999997</v>
          </cell>
          <cell r="AL105" t="str">
            <v>1/13  Comb</v>
          </cell>
          <cell r="AM105">
            <v>0</v>
          </cell>
          <cell r="AN105" t="str">
            <v>2/30  KC</v>
          </cell>
          <cell r="AO105" t="str">
            <v xml:space="preserve">1/16OE  </v>
          </cell>
          <cell r="AP105" t="str">
            <v>2/20  Gas Mer</v>
          </cell>
          <cell r="AQ105">
            <v>0</v>
          </cell>
          <cell r="AR105">
            <v>0</v>
          </cell>
          <cell r="AS105">
            <v>96.5</v>
          </cell>
          <cell r="AT105">
            <v>0</v>
          </cell>
          <cell r="AU105">
            <v>118.5</v>
          </cell>
          <cell r="AV105">
            <v>77.75</v>
          </cell>
          <cell r="AW105">
            <v>174</v>
          </cell>
          <cell r="AX105">
            <v>0</v>
          </cell>
          <cell r="AY105">
            <v>0</v>
          </cell>
          <cell r="AZ105">
            <v>40.131455000000003</v>
          </cell>
          <cell r="BA105">
            <v>8.4466800000000006</v>
          </cell>
          <cell r="BB105">
            <v>5.264608</v>
          </cell>
          <cell r="BC105">
            <v>6.3214199999999998</v>
          </cell>
          <cell r="BD105">
            <v>0</v>
          </cell>
          <cell r="BE105">
            <v>0</v>
          </cell>
          <cell r="BF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101.7675526732432</v>
          </cell>
          <cell r="BV105">
            <v>0</v>
          </cell>
          <cell r="BW105">
            <v>101.7675526732432</v>
          </cell>
          <cell r="BX105">
            <v>101.7675526732432</v>
          </cell>
          <cell r="BY105">
            <v>0</v>
          </cell>
          <cell r="BZ105">
            <v>101.7675526732432</v>
          </cell>
          <cell r="CA105">
            <v>101.7675526732432</v>
          </cell>
          <cell r="CB105">
            <v>0</v>
          </cell>
          <cell r="CC105">
            <v>101.7675526732432</v>
          </cell>
          <cell r="CD105">
            <v>5.8221799999999995</v>
          </cell>
          <cell r="CE105">
            <v>200</v>
          </cell>
          <cell r="CF105">
            <v>1.9696409964952162</v>
          </cell>
          <cell r="CG105">
            <v>1.782</v>
          </cell>
          <cell r="CH105">
            <v>140</v>
          </cell>
          <cell r="CI105">
            <v>0.42199488491048598</v>
          </cell>
          <cell r="CJ105">
            <v>2.3916358814057022</v>
          </cell>
          <cell r="CK105">
            <v>0.63309889173060518</v>
          </cell>
          <cell r="CL105">
            <v>0.10851297040555352</v>
          </cell>
          <cell r="CM105">
            <v>2.6999999999999997</v>
          </cell>
          <cell r="CN105">
            <v>3.4416118621361584</v>
          </cell>
          <cell r="CO105">
            <v>1.315438808373591E-2</v>
          </cell>
          <cell r="CP105">
            <v>1.1900000000000002</v>
          </cell>
          <cell r="CQ105">
            <v>1.2031543880837361</v>
          </cell>
          <cell r="CR105">
            <v>4.22</v>
          </cell>
          <cell r="CS105">
            <v>9.7200000000000006</v>
          </cell>
          <cell r="CT105">
            <v>0</v>
          </cell>
          <cell r="CU105">
            <v>0</v>
          </cell>
          <cell r="CV105">
            <v>122.74395480486879</v>
          </cell>
        </row>
        <row r="106">
          <cell r="K106" t="str">
            <v>Export3rd New Buyer00Bath0x0D</v>
          </cell>
          <cell r="L106">
            <v>0</v>
          </cell>
          <cell r="M106">
            <v>415.87</v>
          </cell>
          <cell r="N106">
            <v>0</v>
          </cell>
          <cell r="O106">
            <v>71.28</v>
          </cell>
          <cell r="P106">
            <v>67.712000000000003</v>
          </cell>
          <cell r="Q106">
            <v>36.33</v>
          </cell>
          <cell r="R106">
            <v>0</v>
          </cell>
          <cell r="S106">
            <v>0</v>
          </cell>
          <cell r="T106">
            <v>591.19200000000001</v>
          </cell>
          <cell r="U106">
            <v>591.19200000000001</v>
          </cell>
          <cell r="V106">
            <v>0</v>
          </cell>
          <cell r="W106">
            <v>0</v>
          </cell>
          <cell r="X106">
            <v>-1.3999999999999999E-2</v>
          </cell>
          <cell r="Y106">
            <v>-2.5000000000000001E-2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-5.8221799999999995</v>
          </cell>
          <cell r="AF106">
            <v>-1.782</v>
          </cell>
          <cell r="AG106">
            <v>0</v>
          </cell>
          <cell r="AH106">
            <v>0</v>
          </cell>
          <cell r="AI106">
            <v>0</v>
          </cell>
          <cell r="AJ106">
            <v>-7.6041799999999995</v>
          </cell>
          <cell r="AK106">
            <v>583.58781999999997</v>
          </cell>
          <cell r="AL106" t="str">
            <v>1/13  Comb</v>
          </cell>
          <cell r="AM106">
            <v>0</v>
          </cell>
          <cell r="AN106" t="str">
            <v>2/30  KC</v>
          </cell>
          <cell r="AO106" t="str">
            <v xml:space="preserve">1/16OE  </v>
          </cell>
          <cell r="AP106" t="str">
            <v>2/20  Gas Mer</v>
          </cell>
          <cell r="AQ106">
            <v>0</v>
          </cell>
          <cell r="AR106">
            <v>0</v>
          </cell>
          <cell r="AS106">
            <v>96.5</v>
          </cell>
          <cell r="AT106">
            <v>0</v>
          </cell>
          <cell r="AU106">
            <v>118.5</v>
          </cell>
          <cell r="AV106">
            <v>77.75</v>
          </cell>
          <cell r="AW106">
            <v>174</v>
          </cell>
          <cell r="AX106">
            <v>0</v>
          </cell>
          <cell r="AY106">
            <v>0</v>
          </cell>
          <cell r="AZ106">
            <v>40.131455000000003</v>
          </cell>
          <cell r="BA106">
            <v>8.4466800000000006</v>
          </cell>
          <cell r="BB106">
            <v>5.264608</v>
          </cell>
          <cell r="BC106">
            <v>6.3214199999999998</v>
          </cell>
          <cell r="BD106">
            <v>0</v>
          </cell>
          <cell r="BE106">
            <v>0</v>
          </cell>
          <cell r="BF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101.7675526732432</v>
          </cell>
          <cell r="BV106">
            <v>0</v>
          </cell>
          <cell r="BW106">
            <v>101.7675526732432</v>
          </cell>
          <cell r="BX106">
            <v>101.7675526732432</v>
          </cell>
          <cell r="BY106">
            <v>0</v>
          </cell>
          <cell r="BZ106">
            <v>101.7675526732432</v>
          </cell>
          <cell r="CA106">
            <v>101.7675526732432</v>
          </cell>
          <cell r="CB106">
            <v>0</v>
          </cell>
          <cell r="CC106">
            <v>101.7675526732432</v>
          </cell>
          <cell r="CD106">
            <v>5.8221799999999995</v>
          </cell>
          <cell r="CE106">
            <v>200</v>
          </cell>
          <cell r="CF106">
            <v>1.9696409964952162</v>
          </cell>
          <cell r="CG106">
            <v>1.782</v>
          </cell>
          <cell r="CH106">
            <v>140</v>
          </cell>
          <cell r="CI106">
            <v>0.42199488491048598</v>
          </cell>
          <cell r="CJ106">
            <v>2.3916358814057022</v>
          </cell>
          <cell r="CK106">
            <v>0.63309889173060518</v>
          </cell>
          <cell r="CL106">
            <v>0.10851297040555352</v>
          </cell>
          <cell r="CM106">
            <v>2.6999999999999997</v>
          </cell>
          <cell r="CN106">
            <v>3.4416118621361584</v>
          </cell>
          <cell r="CO106">
            <v>1.315438808373591E-2</v>
          </cell>
          <cell r="CP106">
            <v>1.1900000000000002</v>
          </cell>
          <cell r="CQ106">
            <v>1.2031543880837361</v>
          </cell>
          <cell r="CR106">
            <v>14.66</v>
          </cell>
          <cell r="CS106">
            <v>9.98</v>
          </cell>
          <cell r="CT106">
            <v>0</v>
          </cell>
          <cell r="CU106">
            <v>0</v>
          </cell>
          <cell r="CV106">
            <v>133.44395480486878</v>
          </cell>
        </row>
        <row r="107">
          <cell r="CN107">
            <v>0</v>
          </cell>
          <cell r="CQ107">
            <v>0</v>
          </cell>
          <cell r="CV107">
            <v>0</v>
          </cell>
        </row>
        <row r="108">
          <cell r="CN108">
            <v>0</v>
          </cell>
          <cell r="CQ108">
            <v>0</v>
          </cell>
          <cell r="CV108">
            <v>0</v>
          </cell>
        </row>
        <row r="109">
          <cell r="K109" t="str">
            <v>DomesticWIL-VapiField Crest0Bath76x147L</v>
          </cell>
          <cell r="M109">
            <v>584.72</v>
          </cell>
          <cell r="N109">
            <v>0</v>
          </cell>
          <cell r="O109">
            <v>94.18</v>
          </cell>
          <cell r="P109">
            <v>93.66</v>
          </cell>
          <cell r="Q109">
            <v>51.9</v>
          </cell>
          <cell r="R109">
            <v>0</v>
          </cell>
          <cell r="S109">
            <v>0</v>
          </cell>
          <cell r="T109">
            <v>824.46</v>
          </cell>
          <cell r="U109">
            <v>824.46</v>
          </cell>
          <cell r="AA109">
            <v>1.4999999999999999E-2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12.555228426395939</v>
          </cell>
          <cell r="AI109">
            <v>0</v>
          </cell>
          <cell r="AJ109">
            <v>12.555228426395939</v>
          </cell>
          <cell r="AK109">
            <v>837.01522842639599</v>
          </cell>
          <cell r="AL109" t="str">
            <v>2/20  Combpima</v>
          </cell>
          <cell r="AM109">
            <v>0</v>
          </cell>
          <cell r="AN109" t="str">
            <v>2/24  KC</v>
          </cell>
          <cell r="AO109" t="str">
            <v xml:space="preserve">1/16OE  </v>
          </cell>
          <cell r="AP109" t="str">
            <v>2/16  KC</v>
          </cell>
          <cell r="AQ109">
            <v>0</v>
          </cell>
          <cell r="AR109">
            <v>0</v>
          </cell>
          <cell r="AS109">
            <v>143.07</v>
          </cell>
          <cell r="AT109">
            <v>0</v>
          </cell>
          <cell r="AU109">
            <v>107.5</v>
          </cell>
          <cell r="AV109">
            <v>77.75</v>
          </cell>
          <cell r="AW109">
            <v>97.5</v>
          </cell>
          <cell r="AX109">
            <v>0</v>
          </cell>
          <cell r="AY109">
            <v>0</v>
          </cell>
          <cell r="AZ109">
            <v>83.655890400000004</v>
          </cell>
          <cell r="BA109">
            <v>10.12435</v>
          </cell>
          <cell r="BB109">
            <v>7.2820649999999993</v>
          </cell>
          <cell r="BC109">
            <v>5.0602499999999999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I109">
            <v>0</v>
          </cell>
          <cell r="BJ109">
            <v>1.6160795238578678</v>
          </cell>
          <cell r="BK109">
            <v>0</v>
          </cell>
          <cell r="BL109">
            <v>1.6160795238578678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-0.31388071065989848</v>
          </cell>
          <cell r="BS109">
            <v>0</v>
          </cell>
          <cell r="BT109">
            <v>-0.31388071065989848</v>
          </cell>
          <cell r="BU109">
            <v>130.67781932884296</v>
          </cell>
          <cell r="BV109">
            <v>-0.38071065989847713</v>
          </cell>
          <cell r="BW109">
            <v>130.29710866894447</v>
          </cell>
          <cell r="BX109">
            <v>130.67781932884296</v>
          </cell>
          <cell r="BY109">
            <v>-0.38071065989847713</v>
          </cell>
          <cell r="BZ109">
            <v>130.29710866894447</v>
          </cell>
          <cell r="CA109">
            <v>130.67781932884296</v>
          </cell>
          <cell r="CB109">
            <v>-0.38071065989847713</v>
          </cell>
          <cell r="CC109">
            <v>130.29710866894447</v>
          </cell>
          <cell r="CD109">
            <v>0</v>
          </cell>
          <cell r="CE109">
            <v>200</v>
          </cell>
          <cell r="CF109">
            <v>0</v>
          </cell>
          <cell r="CG109">
            <v>0</v>
          </cell>
          <cell r="CH109">
            <v>140</v>
          </cell>
          <cell r="CI109">
            <v>0</v>
          </cell>
          <cell r="CJ109">
            <v>0</v>
          </cell>
          <cell r="CK109">
            <v>0.63829415617495078</v>
          </cell>
          <cell r="CL109">
            <v>0.10280911141838293</v>
          </cell>
          <cell r="CM109">
            <v>2.6999999999999997</v>
          </cell>
          <cell r="CN109">
            <v>3.4411032675933333</v>
          </cell>
          <cell r="CO109">
            <v>1.3262334133857313E-2</v>
          </cell>
          <cell r="CP109">
            <v>1.1900000000000002</v>
          </cell>
          <cell r="CQ109">
            <v>1.2032623341338575</v>
          </cell>
          <cell r="CT109">
            <v>0.5</v>
          </cell>
          <cell r="CV109">
            <v>135.44147427067165</v>
          </cell>
        </row>
        <row r="110">
          <cell r="K110" t="str">
            <v>DomesticWIL-VapiField Crest0Hand41x76M</v>
          </cell>
          <cell r="M110">
            <v>144.19</v>
          </cell>
          <cell r="N110">
            <v>0</v>
          </cell>
          <cell r="O110">
            <v>27.1</v>
          </cell>
          <cell r="P110">
            <v>30.62</v>
          </cell>
          <cell r="Q110">
            <v>20.71</v>
          </cell>
          <cell r="R110">
            <v>0</v>
          </cell>
          <cell r="S110">
            <v>0</v>
          </cell>
          <cell r="T110">
            <v>222.62</v>
          </cell>
          <cell r="U110">
            <v>222.62</v>
          </cell>
          <cell r="AA110">
            <v>1.4999999999999999E-2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3.3901522842639595</v>
          </cell>
          <cell r="AI110">
            <v>0</v>
          </cell>
          <cell r="AJ110">
            <v>3.3901522842639595</v>
          </cell>
          <cell r="AK110">
            <v>226.01015228426397</v>
          </cell>
          <cell r="AL110" t="str">
            <v>2/20  Combpima</v>
          </cell>
          <cell r="AM110">
            <v>0</v>
          </cell>
          <cell r="AN110" t="str">
            <v>2/24  KC</v>
          </cell>
          <cell r="AO110" t="str">
            <v xml:space="preserve">1/16OE  </v>
          </cell>
          <cell r="AP110" t="str">
            <v>2/16  KC</v>
          </cell>
          <cell r="AQ110">
            <v>0</v>
          </cell>
          <cell r="AR110">
            <v>0</v>
          </cell>
          <cell r="AS110">
            <v>143.07</v>
          </cell>
          <cell r="AT110">
            <v>0</v>
          </cell>
          <cell r="AU110">
            <v>107.5</v>
          </cell>
          <cell r="AV110">
            <v>77.75</v>
          </cell>
          <cell r="AW110">
            <v>97.5</v>
          </cell>
          <cell r="AX110">
            <v>0</v>
          </cell>
          <cell r="AY110">
            <v>0</v>
          </cell>
          <cell r="AZ110">
            <v>20.629263299999998</v>
          </cell>
          <cell r="BA110">
            <v>2.9132500000000001</v>
          </cell>
          <cell r="BB110">
            <v>2.3807049999999998</v>
          </cell>
          <cell r="BC110">
            <v>2.019225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I110">
            <v>0</v>
          </cell>
          <cell r="BJ110">
            <v>0.42551944111675127</v>
          </cell>
          <cell r="BK110">
            <v>0</v>
          </cell>
          <cell r="BL110">
            <v>0.42551944111675127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-8.475380710659898E-2</v>
          </cell>
          <cell r="BS110">
            <v>0</v>
          </cell>
          <cell r="BT110">
            <v>-8.475380710659898E-2</v>
          </cell>
          <cell r="BU110">
            <v>127.42773668635679</v>
          </cell>
          <cell r="BV110">
            <v>-0.38071065989847713</v>
          </cell>
          <cell r="BW110">
            <v>127.04702602645831</v>
          </cell>
          <cell r="BX110">
            <v>127.42773668635679</v>
          </cell>
          <cell r="BY110">
            <v>-0.38071065989847713</v>
          </cell>
          <cell r="BZ110">
            <v>127.04702602645831</v>
          </cell>
          <cell r="CA110">
            <v>127.42773668635679</v>
          </cell>
          <cell r="CB110">
            <v>-0.38071065989847713</v>
          </cell>
          <cell r="CC110">
            <v>127.04702602645831</v>
          </cell>
          <cell r="CD110">
            <v>0</v>
          </cell>
          <cell r="CE110">
            <v>200</v>
          </cell>
          <cell r="CF110">
            <v>0</v>
          </cell>
          <cell r="CG110">
            <v>0</v>
          </cell>
          <cell r="CH110">
            <v>140</v>
          </cell>
          <cell r="CI110">
            <v>0</v>
          </cell>
          <cell r="CJ110">
            <v>0</v>
          </cell>
          <cell r="CK110">
            <v>0.58292606234839628</v>
          </cell>
          <cell r="CL110">
            <v>0.10955888958763813</v>
          </cell>
          <cell r="CM110">
            <v>2.6999999999999997</v>
          </cell>
          <cell r="CN110">
            <v>3.3924849519360341</v>
          </cell>
          <cell r="CO110">
            <v>1.2111908184350014E-2</v>
          </cell>
          <cell r="CP110">
            <v>1.1900000000000002</v>
          </cell>
          <cell r="CQ110">
            <v>1.2021119081843501</v>
          </cell>
          <cell r="CT110">
            <v>0.5</v>
          </cell>
          <cell r="CV110">
            <v>132.14162288657869</v>
          </cell>
        </row>
        <row r="111">
          <cell r="K111" t="str">
            <v>DomesticWIL-VapiField Crest0Wash33x33D</v>
          </cell>
          <cell r="M111">
            <v>47.66</v>
          </cell>
          <cell r="N111">
            <v>0</v>
          </cell>
          <cell r="O111">
            <v>11.09</v>
          </cell>
          <cell r="P111">
            <v>11.13</v>
          </cell>
          <cell r="Q111">
            <v>8.86</v>
          </cell>
          <cell r="R111">
            <v>0</v>
          </cell>
          <cell r="S111">
            <v>0</v>
          </cell>
          <cell r="T111">
            <v>78.739999999999995</v>
          </cell>
          <cell r="U111">
            <v>78.739999999999995</v>
          </cell>
          <cell r="AA111">
            <v>1.4999999999999999E-2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1.1990862944162435</v>
          </cell>
          <cell r="AI111">
            <v>0</v>
          </cell>
          <cell r="AJ111">
            <v>1.1990862944162435</v>
          </cell>
          <cell r="AK111">
            <v>79.939086294416242</v>
          </cell>
          <cell r="AL111" t="str">
            <v>2/20  Combpima</v>
          </cell>
          <cell r="AM111">
            <v>0</v>
          </cell>
          <cell r="AN111" t="str">
            <v>2/24  KC</v>
          </cell>
          <cell r="AO111" t="str">
            <v xml:space="preserve">1/16OE  </v>
          </cell>
          <cell r="AP111" t="str">
            <v>2/16  KC</v>
          </cell>
          <cell r="AQ111">
            <v>0</v>
          </cell>
          <cell r="AR111">
            <v>0</v>
          </cell>
          <cell r="AS111">
            <v>143.07</v>
          </cell>
          <cell r="AT111">
            <v>0</v>
          </cell>
          <cell r="AU111">
            <v>107.5</v>
          </cell>
          <cell r="AV111">
            <v>77.75</v>
          </cell>
          <cell r="AW111">
            <v>97.5</v>
          </cell>
          <cell r="AX111">
            <v>0</v>
          </cell>
          <cell r="AY111">
            <v>0</v>
          </cell>
          <cell r="AZ111">
            <v>6.818716199999999</v>
          </cell>
          <cell r="BA111">
            <v>1.192175</v>
          </cell>
          <cell r="BB111">
            <v>0.86535750000000011</v>
          </cell>
          <cell r="BC111">
            <v>0.8638499999999999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I111">
            <v>0</v>
          </cell>
          <cell r="BJ111">
            <v>0.14832637614213195</v>
          </cell>
          <cell r="BK111">
            <v>0</v>
          </cell>
          <cell r="BL111">
            <v>0.14832637614213195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-2.9977157360406084E-2</v>
          </cell>
          <cell r="BS111">
            <v>0</v>
          </cell>
          <cell r="BT111">
            <v>-2.9977157360406084E-2</v>
          </cell>
          <cell r="BU111">
            <v>125.58324963350434</v>
          </cell>
          <cell r="BV111">
            <v>-0.38071065989847708</v>
          </cell>
          <cell r="BW111">
            <v>125.20253897360585</v>
          </cell>
          <cell r="BX111">
            <v>125.58324963350434</v>
          </cell>
          <cell r="BY111">
            <v>-0.38071065989847708</v>
          </cell>
          <cell r="BZ111">
            <v>125.20253897360585</v>
          </cell>
          <cell r="CA111">
            <v>125.58324963350434</v>
          </cell>
          <cell r="CB111">
            <v>-0.38071065989847708</v>
          </cell>
          <cell r="CC111">
            <v>125.20253897360585</v>
          </cell>
          <cell r="CD111">
            <v>0</v>
          </cell>
          <cell r="CE111">
            <v>200</v>
          </cell>
          <cell r="CF111">
            <v>0</v>
          </cell>
          <cell r="CG111">
            <v>0</v>
          </cell>
          <cell r="CH111">
            <v>140</v>
          </cell>
          <cell r="CI111">
            <v>0</v>
          </cell>
          <cell r="CJ111">
            <v>0</v>
          </cell>
          <cell r="CK111">
            <v>0.54475488950977891</v>
          </cell>
          <cell r="CL111">
            <v>0.12675895351790703</v>
          </cell>
          <cell r="CM111">
            <v>2.6999999999999997</v>
          </cell>
          <cell r="CN111">
            <v>3.3715138430276856</v>
          </cell>
          <cell r="CO111">
            <v>1.1318796037592076E-2</v>
          </cell>
          <cell r="CP111">
            <v>1.1900000000000002</v>
          </cell>
          <cell r="CQ111">
            <v>1.2013187960375922</v>
          </cell>
          <cell r="CT111">
            <v>0.5</v>
          </cell>
          <cell r="CV111">
            <v>130.27537161267114</v>
          </cell>
        </row>
        <row r="112">
          <cell r="K112" t="str">
            <v>DomesticZucchiBathrobe0Bathrobe285x100M</v>
          </cell>
          <cell r="M112">
            <v>801.34</v>
          </cell>
          <cell r="N112">
            <v>0</v>
          </cell>
          <cell r="O112">
            <v>264.73</v>
          </cell>
          <cell r="P112">
            <v>249.28</v>
          </cell>
          <cell r="Q112">
            <v>0</v>
          </cell>
          <cell r="R112">
            <v>0</v>
          </cell>
          <cell r="S112">
            <v>0</v>
          </cell>
          <cell r="T112">
            <v>1315.3500000000001</v>
          </cell>
          <cell r="U112">
            <v>1315.3500000000001</v>
          </cell>
          <cell r="AA112">
            <v>1.4999999999999999E-2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20.030710659898478</v>
          </cell>
          <cell r="AI112">
            <v>0</v>
          </cell>
          <cell r="AJ112">
            <v>20.030710659898478</v>
          </cell>
          <cell r="AK112">
            <v>1335.3807106598986</v>
          </cell>
          <cell r="AL112" t="str">
            <v>1/16  KC</v>
          </cell>
          <cell r="AM112">
            <v>0</v>
          </cell>
          <cell r="AN112" t="str">
            <v>2/20  KC</v>
          </cell>
          <cell r="AO112" t="str">
            <v xml:space="preserve">1/16OE  </v>
          </cell>
          <cell r="AP112">
            <v>0</v>
          </cell>
          <cell r="AQ112">
            <v>0</v>
          </cell>
          <cell r="AR112">
            <v>0</v>
          </cell>
          <cell r="AS112">
            <v>88.5</v>
          </cell>
          <cell r="AT112">
            <v>0</v>
          </cell>
          <cell r="AU112">
            <v>107.5</v>
          </cell>
          <cell r="AV112">
            <v>77.75</v>
          </cell>
          <cell r="AW112">
            <v>0</v>
          </cell>
          <cell r="AX112">
            <v>0</v>
          </cell>
          <cell r="AY112">
            <v>0</v>
          </cell>
          <cell r="AZ112">
            <v>70.918589999999995</v>
          </cell>
          <cell r="BA112">
            <v>28.458475000000004</v>
          </cell>
          <cell r="BB112">
            <v>19.381520000000002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I112">
            <v>0</v>
          </cell>
          <cell r="BJ112">
            <v>1.8085063705583757</v>
          </cell>
          <cell r="BK112">
            <v>0</v>
          </cell>
          <cell r="BL112">
            <v>1.8085063705583757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-0.50076776649746191</v>
          </cell>
          <cell r="BS112">
            <v>0</v>
          </cell>
          <cell r="BT112">
            <v>-0.50076776649746191</v>
          </cell>
          <cell r="BU112">
            <v>91.661604417499802</v>
          </cell>
          <cell r="BV112">
            <v>-0.38071065989847708</v>
          </cell>
          <cell r="BW112">
            <v>91.280893757601319</v>
          </cell>
          <cell r="BX112">
            <v>91.661604417499802</v>
          </cell>
          <cell r="BY112">
            <v>-0.38071065989847708</v>
          </cell>
          <cell r="BZ112">
            <v>91.280893757601319</v>
          </cell>
          <cell r="CA112">
            <v>91.661604417499802</v>
          </cell>
          <cell r="CB112">
            <v>-0.38071065989847708</v>
          </cell>
          <cell r="CC112">
            <v>91.280893757601319</v>
          </cell>
          <cell r="CD112">
            <v>0</v>
          </cell>
          <cell r="CE112">
            <v>200</v>
          </cell>
          <cell r="CF112">
            <v>0</v>
          </cell>
          <cell r="CG112">
            <v>0</v>
          </cell>
          <cell r="CH112">
            <v>140</v>
          </cell>
          <cell r="CI112">
            <v>0</v>
          </cell>
          <cell r="CJ112">
            <v>0</v>
          </cell>
          <cell r="CK112">
            <v>0.54829969209716034</v>
          </cell>
          <cell r="CL112">
            <v>0.18113581936366746</v>
          </cell>
          <cell r="CM112">
            <v>2.6999999999999997</v>
          </cell>
          <cell r="CN112">
            <v>3.4294355114608273</v>
          </cell>
          <cell r="CO112">
            <v>1.1392449158018779E-2</v>
          </cell>
          <cell r="CP112">
            <v>1.1900000000000002</v>
          </cell>
          <cell r="CQ112">
            <v>1.201392449158019</v>
          </cell>
          <cell r="CR112">
            <v>4.72</v>
          </cell>
          <cell r="CS112">
            <v>10.220000000000001</v>
          </cell>
          <cell r="CT112">
            <v>0.5</v>
          </cell>
          <cell r="CU112">
            <v>0</v>
          </cell>
          <cell r="CV112">
            <v>111.35172171822016</v>
          </cell>
        </row>
        <row r="113">
          <cell r="K113" t="str">
            <v>DomesticWIL-VapiKohls Sonama0Bath76x147L</v>
          </cell>
          <cell r="M113">
            <v>584.72</v>
          </cell>
          <cell r="N113">
            <v>0</v>
          </cell>
          <cell r="O113">
            <v>94.18</v>
          </cell>
          <cell r="P113">
            <v>93.66</v>
          </cell>
          <cell r="Q113">
            <v>51.9</v>
          </cell>
          <cell r="R113">
            <v>0</v>
          </cell>
          <cell r="S113">
            <v>0</v>
          </cell>
          <cell r="T113">
            <v>824.46</v>
          </cell>
          <cell r="U113">
            <v>824.46</v>
          </cell>
          <cell r="AA113">
            <v>1.4999999999999999E-2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12.555228426395939</v>
          </cell>
          <cell r="AI113">
            <v>0</v>
          </cell>
          <cell r="AJ113">
            <v>12.555228426395939</v>
          </cell>
          <cell r="AK113">
            <v>837.01522842639599</v>
          </cell>
          <cell r="AL113" t="str">
            <v>2/20  Combpima</v>
          </cell>
          <cell r="AM113">
            <v>0</v>
          </cell>
          <cell r="AN113" t="str">
            <v>2/24  KC</v>
          </cell>
          <cell r="AO113" t="str">
            <v xml:space="preserve">1/16OE  </v>
          </cell>
          <cell r="AP113" t="str">
            <v>2/16  KC</v>
          </cell>
          <cell r="AQ113">
            <v>0</v>
          </cell>
          <cell r="AR113">
            <v>0</v>
          </cell>
          <cell r="AS113">
            <v>143.07</v>
          </cell>
          <cell r="AT113">
            <v>0</v>
          </cell>
          <cell r="AU113">
            <v>107.5</v>
          </cell>
          <cell r="AV113">
            <v>77.75</v>
          </cell>
          <cell r="AW113">
            <v>97.5</v>
          </cell>
          <cell r="AX113">
            <v>0</v>
          </cell>
          <cell r="AY113">
            <v>0</v>
          </cell>
          <cell r="AZ113">
            <v>83.655890400000004</v>
          </cell>
          <cell r="BA113">
            <v>10.12435</v>
          </cell>
          <cell r="BB113">
            <v>7.2820649999999993</v>
          </cell>
          <cell r="BC113">
            <v>5.0602499999999999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I113">
            <v>0</v>
          </cell>
          <cell r="BJ113">
            <v>1.6160795238578678</v>
          </cell>
          <cell r="BK113">
            <v>0</v>
          </cell>
          <cell r="BL113">
            <v>1.6160795238578678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-0.31388071065989848</v>
          </cell>
          <cell r="BS113">
            <v>0</v>
          </cell>
          <cell r="BT113">
            <v>-0.31388071065989848</v>
          </cell>
          <cell r="BU113">
            <v>130.67781932884296</v>
          </cell>
          <cell r="BV113">
            <v>-0.38071065989847713</v>
          </cell>
          <cell r="BW113">
            <v>130.29710866894447</v>
          </cell>
          <cell r="BX113">
            <v>130.67781932884296</v>
          </cell>
          <cell r="BY113">
            <v>-0.38071065989847713</v>
          </cell>
          <cell r="BZ113">
            <v>130.29710866894447</v>
          </cell>
          <cell r="CA113">
            <v>130.67781932884296</v>
          </cell>
          <cell r="CB113">
            <v>-0.38071065989847713</v>
          </cell>
          <cell r="CC113">
            <v>130.29710866894447</v>
          </cell>
          <cell r="CD113">
            <v>0</v>
          </cell>
          <cell r="CE113">
            <v>200</v>
          </cell>
          <cell r="CF113">
            <v>0</v>
          </cell>
          <cell r="CG113">
            <v>0</v>
          </cell>
          <cell r="CH113">
            <v>140</v>
          </cell>
          <cell r="CI113">
            <v>0</v>
          </cell>
          <cell r="CJ113">
            <v>0</v>
          </cell>
          <cell r="CK113">
            <v>0.63829415617495078</v>
          </cell>
          <cell r="CL113">
            <v>0.10280911141838293</v>
          </cell>
          <cell r="CM113">
            <v>2.6999999999999997</v>
          </cell>
          <cell r="CN113">
            <v>3.4411032675933333</v>
          </cell>
          <cell r="CO113">
            <v>1.3262334133857313E-2</v>
          </cell>
          <cell r="CP113">
            <v>1.1900000000000002</v>
          </cell>
          <cell r="CQ113">
            <v>1.2032623341338575</v>
          </cell>
          <cell r="CT113">
            <v>0.5</v>
          </cell>
          <cell r="CV113">
            <v>135.44147427067165</v>
          </cell>
        </row>
        <row r="114">
          <cell r="K114" t="str">
            <v>DomesticWIL-VapiKohls Sonama0Hand41x76M</v>
          </cell>
          <cell r="M114">
            <v>144.19</v>
          </cell>
          <cell r="N114">
            <v>0</v>
          </cell>
          <cell r="O114">
            <v>27.1</v>
          </cell>
          <cell r="P114">
            <v>30.62</v>
          </cell>
          <cell r="Q114">
            <v>20.71</v>
          </cell>
          <cell r="R114">
            <v>0</v>
          </cell>
          <cell r="S114">
            <v>0</v>
          </cell>
          <cell r="T114">
            <v>222.62</v>
          </cell>
          <cell r="U114">
            <v>222.62</v>
          </cell>
          <cell r="AA114">
            <v>1.4999999999999999E-2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3.3901522842639595</v>
          </cell>
          <cell r="AI114">
            <v>0</v>
          </cell>
          <cell r="AJ114">
            <v>3.3901522842639595</v>
          </cell>
          <cell r="AK114">
            <v>226.01015228426397</v>
          </cell>
          <cell r="AL114" t="str">
            <v>2/20  Combpima</v>
          </cell>
          <cell r="AM114">
            <v>0</v>
          </cell>
          <cell r="AN114" t="str">
            <v>2/24  KC</v>
          </cell>
          <cell r="AO114" t="str">
            <v xml:space="preserve">1/16OE  </v>
          </cell>
          <cell r="AP114" t="str">
            <v>2/16  KC</v>
          </cell>
          <cell r="AQ114">
            <v>0</v>
          </cell>
          <cell r="AR114">
            <v>0</v>
          </cell>
          <cell r="AS114">
            <v>143.07</v>
          </cell>
          <cell r="AT114">
            <v>0</v>
          </cell>
          <cell r="AU114">
            <v>107.5</v>
          </cell>
          <cell r="AV114">
            <v>77.75</v>
          </cell>
          <cell r="AW114">
            <v>97.5</v>
          </cell>
          <cell r="AX114">
            <v>0</v>
          </cell>
          <cell r="AY114">
            <v>0</v>
          </cell>
          <cell r="AZ114">
            <v>20.629263299999998</v>
          </cell>
          <cell r="BA114">
            <v>2.9132500000000001</v>
          </cell>
          <cell r="BB114">
            <v>2.3807049999999998</v>
          </cell>
          <cell r="BC114">
            <v>2.019225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I114">
            <v>0</v>
          </cell>
          <cell r="BJ114">
            <v>0.42551944111675127</v>
          </cell>
          <cell r="BK114">
            <v>0</v>
          </cell>
          <cell r="BL114">
            <v>0.42551944111675127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-8.475380710659898E-2</v>
          </cell>
          <cell r="BS114">
            <v>0</v>
          </cell>
          <cell r="BT114">
            <v>-8.475380710659898E-2</v>
          </cell>
          <cell r="BU114">
            <v>127.42773668635679</v>
          </cell>
          <cell r="BV114">
            <v>-0.38071065989847713</v>
          </cell>
          <cell r="BW114">
            <v>127.04702602645831</v>
          </cell>
          <cell r="BX114">
            <v>127.42773668635679</v>
          </cell>
          <cell r="BY114">
            <v>-0.38071065989847713</v>
          </cell>
          <cell r="BZ114">
            <v>127.04702602645831</v>
          </cell>
          <cell r="CA114">
            <v>127.42773668635679</v>
          </cell>
          <cell r="CB114">
            <v>-0.38071065989847713</v>
          </cell>
          <cell r="CC114">
            <v>127.04702602645831</v>
          </cell>
          <cell r="CD114">
            <v>0</v>
          </cell>
          <cell r="CE114">
            <v>200</v>
          </cell>
          <cell r="CF114">
            <v>0</v>
          </cell>
          <cell r="CG114">
            <v>0</v>
          </cell>
          <cell r="CH114">
            <v>140</v>
          </cell>
          <cell r="CI114">
            <v>0</v>
          </cell>
          <cell r="CJ114">
            <v>0</v>
          </cell>
          <cell r="CK114">
            <v>0.58292606234839628</v>
          </cell>
          <cell r="CL114">
            <v>0.10955888958763813</v>
          </cell>
          <cell r="CM114">
            <v>2.6999999999999997</v>
          </cell>
          <cell r="CN114">
            <v>3.3924849519360341</v>
          </cell>
          <cell r="CO114">
            <v>1.2111908184350014E-2</v>
          </cell>
          <cell r="CP114">
            <v>1.1900000000000002</v>
          </cell>
          <cell r="CQ114">
            <v>1.2021119081843501</v>
          </cell>
          <cell r="CT114">
            <v>0.5</v>
          </cell>
          <cell r="CV114">
            <v>132.14162288657869</v>
          </cell>
        </row>
        <row r="115">
          <cell r="K115" t="str">
            <v>DomesticWIL-VapiKohls Sonama0Wash33x33D</v>
          </cell>
          <cell r="M115">
            <v>47.66</v>
          </cell>
          <cell r="N115">
            <v>0</v>
          </cell>
          <cell r="O115">
            <v>11.09</v>
          </cell>
          <cell r="P115">
            <v>11.13</v>
          </cell>
          <cell r="Q115">
            <v>8.86</v>
          </cell>
          <cell r="R115">
            <v>0</v>
          </cell>
          <cell r="S115">
            <v>0</v>
          </cell>
          <cell r="T115">
            <v>78.739999999999995</v>
          </cell>
          <cell r="U115">
            <v>78.739999999999995</v>
          </cell>
          <cell r="AA115">
            <v>1.4999999999999999E-2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1.1990862944162435</v>
          </cell>
          <cell r="AI115">
            <v>0</v>
          </cell>
          <cell r="AJ115">
            <v>1.1990862944162435</v>
          </cell>
          <cell r="AK115">
            <v>79.939086294416242</v>
          </cell>
          <cell r="AL115" t="str">
            <v>2/20  Combpima</v>
          </cell>
          <cell r="AM115">
            <v>0</v>
          </cell>
          <cell r="AN115" t="str">
            <v>2/24  KC</v>
          </cell>
          <cell r="AO115" t="str">
            <v xml:space="preserve">1/16OE  </v>
          </cell>
          <cell r="AP115" t="str">
            <v>2/16  KC</v>
          </cell>
          <cell r="AQ115">
            <v>0</v>
          </cell>
          <cell r="AR115">
            <v>0</v>
          </cell>
          <cell r="AS115">
            <v>143.07</v>
          </cell>
          <cell r="AT115">
            <v>0</v>
          </cell>
          <cell r="AU115">
            <v>107.5</v>
          </cell>
          <cell r="AV115">
            <v>77.75</v>
          </cell>
          <cell r="AW115">
            <v>97.5</v>
          </cell>
          <cell r="AX115">
            <v>0</v>
          </cell>
          <cell r="AY115">
            <v>0</v>
          </cell>
          <cell r="AZ115">
            <v>6.818716199999999</v>
          </cell>
          <cell r="BA115">
            <v>1.192175</v>
          </cell>
          <cell r="BB115">
            <v>0.86535750000000011</v>
          </cell>
          <cell r="BC115">
            <v>0.8638499999999999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I115">
            <v>0</v>
          </cell>
          <cell r="BJ115">
            <v>0.14832637614213195</v>
          </cell>
          <cell r="BK115">
            <v>0</v>
          </cell>
          <cell r="BL115">
            <v>0.14832637614213195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-2.9977157360406084E-2</v>
          </cell>
          <cell r="BS115">
            <v>0</v>
          </cell>
          <cell r="BT115">
            <v>-2.9977157360406084E-2</v>
          </cell>
          <cell r="BU115">
            <v>125.58324963350434</v>
          </cell>
          <cell r="BV115">
            <v>-0.38071065989847708</v>
          </cell>
          <cell r="BW115">
            <v>125.20253897360585</v>
          </cell>
          <cell r="BX115">
            <v>125.58324963350434</v>
          </cell>
          <cell r="BY115">
            <v>-0.38071065989847708</v>
          </cell>
          <cell r="BZ115">
            <v>125.20253897360585</v>
          </cell>
          <cell r="CA115">
            <v>125.58324963350434</v>
          </cell>
          <cell r="CB115">
            <v>-0.38071065989847708</v>
          </cell>
          <cell r="CC115">
            <v>125.20253897360585</v>
          </cell>
          <cell r="CD115">
            <v>0</v>
          </cell>
          <cell r="CE115">
            <v>200</v>
          </cell>
          <cell r="CF115">
            <v>0</v>
          </cell>
          <cell r="CG115">
            <v>0</v>
          </cell>
          <cell r="CH115">
            <v>140</v>
          </cell>
          <cell r="CI115">
            <v>0</v>
          </cell>
          <cell r="CJ115">
            <v>0</v>
          </cell>
          <cell r="CK115">
            <v>0.54475488950977891</v>
          </cell>
          <cell r="CL115">
            <v>0.12675895351790703</v>
          </cell>
          <cell r="CM115">
            <v>2.6999999999999997</v>
          </cell>
          <cell r="CN115">
            <v>3.3715138430276856</v>
          </cell>
          <cell r="CO115">
            <v>1.1318796037592076E-2</v>
          </cell>
          <cell r="CP115">
            <v>1.1900000000000002</v>
          </cell>
          <cell r="CQ115">
            <v>1.2013187960375922</v>
          </cell>
          <cell r="CT115">
            <v>0.5</v>
          </cell>
          <cell r="CV115">
            <v>130.27537161267114</v>
          </cell>
        </row>
        <row r="116">
          <cell r="K116" t="str">
            <v>DomesticWIL-VapiTarget Solid0Bath76x147M</v>
          </cell>
          <cell r="M116">
            <v>584.72</v>
          </cell>
          <cell r="N116">
            <v>0</v>
          </cell>
          <cell r="O116">
            <v>94.18</v>
          </cell>
          <cell r="P116">
            <v>93.66</v>
          </cell>
          <cell r="Q116">
            <v>51.9</v>
          </cell>
          <cell r="R116">
            <v>0</v>
          </cell>
          <cell r="S116">
            <v>0</v>
          </cell>
          <cell r="T116">
            <v>824.46</v>
          </cell>
          <cell r="U116">
            <v>824.46</v>
          </cell>
          <cell r="AA116">
            <v>1.4999999999999999E-2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12.555228426395939</v>
          </cell>
          <cell r="AI116">
            <v>0</v>
          </cell>
          <cell r="AJ116">
            <v>12.555228426395939</v>
          </cell>
          <cell r="AK116">
            <v>837.01522842639599</v>
          </cell>
          <cell r="AL116" t="str">
            <v>2/20  Combpima</v>
          </cell>
          <cell r="AM116">
            <v>0</v>
          </cell>
          <cell r="AN116" t="str">
            <v>2/24  KC</v>
          </cell>
          <cell r="AO116" t="str">
            <v xml:space="preserve">1/16OE  </v>
          </cell>
          <cell r="AP116" t="str">
            <v>2/16  KC</v>
          </cell>
          <cell r="AQ116">
            <v>0</v>
          </cell>
          <cell r="AR116">
            <v>0</v>
          </cell>
          <cell r="AS116">
            <v>143.07</v>
          </cell>
          <cell r="AT116">
            <v>0</v>
          </cell>
          <cell r="AU116">
            <v>107.5</v>
          </cell>
          <cell r="AV116">
            <v>77.75</v>
          </cell>
          <cell r="AW116">
            <v>97.5</v>
          </cell>
          <cell r="AX116">
            <v>0</v>
          </cell>
          <cell r="AY116">
            <v>0</v>
          </cell>
          <cell r="AZ116">
            <v>83.655890400000004</v>
          </cell>
          <cell r="BA116">
            <v>10.12435</v>
          </cell>
          <cell r="BB116">
            <v>7.2820649999999993</v>
          </cell>
          <cell r="BC116">
            <v>5.0602499999999999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I116">
            <v>0</v>
          </cell>
          <cell r="BJ116">
            <v>1.6160795238578678</v>
          </cell>
          <cell r="BK116">
            <v>0</v>
          </cell>
          <cell r="BL116">
            <v>1.6160795238578678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-0.31388071065989848</v>
          </cell>
          <cell r="BS116">
            <v>0</v>
          </cell>
          <cell r="BT116">
            <v>-0.31388071065989848</v>
          </cell>
          <cell r="BU116">
            <v>130.67781932884296</v>
          </cell>
          <cell r="BV116">
            <v>-0.38071065989847713</v>
          </cell>
          <cell r="BW116">
            <v>130.29710866894447</v>
          </cell>
          <cell r="BX116">
            <v>130.67781932884296</v>
          </cell>
          <cell r="BY116">
            <v>-0.38071065989847713</v>
          </cell>
          <cell r="BZ116">
            <v>130.29710866894447</v>
          </cell>
          <cell r="CA116">
            <v>130.67781932884296</v>
          </cell>
          <cell r="CB116">
            <v>-0.38071065989847713</v>
          </cell>
          <cell r="CC116">
            <v>130.29710866894447</v>
          </cell>
          <cell r="CD116">
            <v>0</v>
          </cell>
          <cell r="CE116">
            <v>200</v>
          </cell>
          <cell r="CF116">
            <v>0</v>
          </cell>
          <cell r="CG116">
            <v>0</v>
          </cell>
          <cell r="CH116">
            <v>140</v>
          </cell>
          <cell r="CI116">
            <v>0</v>
          </cell>
          <cell r="CJ116">
            <v>0</v>
          </cell>
          <cell r="CK116">
            <v>0.63829415617495078</v>
          </cell>
          <cell r="CL116">
            <v>0.10280911141838293</v>
          </cell>
          <cell r="CM116">
            <v>2.6999999999999997</v>
          </cell>
          <cell r="CN116">
            <v>3.4411032675933333</v>
          </cell>
          <cell r="CO116">
            <v>1.3262334133857313E-2</v>
          </cell>
          <cell r="CP116">
            <v>1.1900000000000002</v>
          </cell>
          <cell r="CQ116">
            <v>1.2032623341338575</v>
          </cell>
          <cell r="CT116">
            <v>0.5</v>
          </cell>
          <cell r="CV116">
            <v>135.44147427067165</v>
          </cell>
        </row>
        <row r="118">
          <cell r="T118">
            <v>14148398.640691051</v>
          </cell>
          <cell r="U118">
            <v>13234983.981695769</v>
          </cell>
          <cell r="AC118">
            <v>28654.834540590906</v>
          </cell>
          <cell r="AD118">
            <v>0</v>
          </cell>
          <cell r="AE118">
            <v>-109628.34971701396</v>
          </cell>
          <cell r="AF118">
            <v>-41897.774640055657</v>
          </cell>
          <cell r="AG118">
            <v>913414.65899528563</v>
          </cell>
          <cell r="AH118">
            <v>201547.97941668695</v>
          </cell>
          <cell r="AI118">
            <v>115487.66648177545</v>
          </cell>
          <cell r="AJ118">
            <v>1107579.0150772694</v>
          </cell>
          <cell r="AK118">
            <v>14342562.996773031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20">
          <cell r="AC120">
            <v>1.9978880027954576E-3</v>
          </cell>
          <cell r="AD120">
            <v>0</v>
          </cell>
          <cell r="AE120">
            <v>-7.6435675926038822E-3</v>
          </cell>
          <cell r="AF120">
            <v>-2.9212194953916076E-3</v>
          </cell>
          <cell r="AG120">
            <v>6.3685595050256852E-2</v>
          </cell>
          <cell r="AH120">
            <v>1.4052438149446074E-2</v>
          </cell>
          <cell r="AI120">
            <v>8.0520940718726008E-3</v>
          </cell>
          <cell r="AJ120">
            <v>7.7223228186375503E-2</v>
          </cell>
          <cell r="AK120">
            <v>1</v>
          </cell>
        </row>
        <row r="121">
          <cell r="AJ121">
            <v>0.9227767718136245</v>
          </cell>
        </row>
      </sheetData>
      <sheetData sheetId="3" refreshError="1">
        <row r="4">
          <cell r="K4" t="str">
            <v>Key -3</v>
          </cell>
          <cell r="L4" t="str">
            <v>Key -2</v>
          </cell>
          <cell r="M4" t="str">
            <v>Loom</v>
          </cell>
          <cell r="N4" t="str">
            <v>Speed</v>
          </cell>
          <cell r="O4" t="str">
            <v>Efficiency</v>
          </cell>
          <cell r="P4" t="str">
            <v>Picks/Towel</v>
          </cell>
          <cell r="Q4" t="str">
            <v>Picks /cm</v>
          </cell>
          <cell r="R4" t="str">
            <v>No of Split</v>
          </cell>
          <cell r="S4" t="str">
            <v>GSM</v>
          </cell>
          <cell r="T4" t="str">
            <v>Pile 1 -Count</v>
          </cell>
          <cell r="U4" t="str">
            <v>Pile1 -Wt</v>
          </cell>
          <cell r="V4" t="str">
            <v>Pile2 -Count</v>
          </cell>
          <cell r="W4" t="str">
            <v>Pile2 -Wt</v>
          </cell>
          <cell r="X4" t="str">
            <v>Ground Count</v>
          </cell>
          <cell r="Y4" t="str">
            <v>Ground Wt</v>
          </cell>
          <cell r="Z4" t="str">
            <v>Weft 1 Count</v>
          </cell>
          <cell r="AA4" t="str">
            <v>Weft 1 Wt</v>
          </cell>
          <cell r="AB4" t="str">
            <v>Weft 2 Count</v>
          </cell>
          <cell r="AC4" t="str">
            <v>Weft 2 Wt</v>
          </cell>
          <cell r="AD4" t="str">
            <v>Weft 3 Count</v>
          </cell>
          <cell r="AE4" t="str">
            <v>Weft 3 Wt</v>
          </cell>
          <cell r="AF4" t="str">
            <v>Weft 4 Count</v>
          </cell>
          <cell r="AG4" t="str">
            <v>Weft 4 Wt</v>
          </cell>
          <cell r="AH4" t="str">
            <v>Total Grey Wt</v>
          </cell>
          <cell r="AI4" t="str">
            <v>Total Fsd Wt</v>
          </cell>
          <cell r="AJ4" t="str">
            <v>Wt Loss</v>
          </cell>
          <cell r="AK4" t="str">
            <v>FRC</v>
          </cell>
          <cell r="AL4" t="str">
            <v>H.Waste</v>
          </cell>
          <cell r="AM4" t="str">
            <v>RemYarn/Oth Waste</v>
          </cell>
          <cell r="AN4" t="str">
            <v>GSM Variance</v>
          </cell>
          <cell r="AO4" t="str">
            <v>Pile-Sizing -Vicol</v>
          </cell>
          <cell r="AP4" t="str">
            <v>Pile-Sizing -Wax</v>
          </cell>
          <cell r="AQ4" t="str">
            <v>Ground -Sizing -Vicol</v>
          </cell>
          <cell r="AR4" t="str">
            <v>Ground -Sizing -Wax</v>
          </cell>
          <cell r="AS4" t="str">
            <v>Steam-Sizing-Pile</v>
          </cell>
          <cell r="AT4" t="str">
            <v>Steam-Sizing-Ground</v>
          </cell>
          <cell r="AU4" t="str">
            <v>Steam-Process</v>
          </cell>
          <cell r="AV4" t="str">
            <v>Water-Sizing</v>
          </cell>
          <cell r="AW4" t="str">
            <v>Water-Process</v>
          </cell>
          <cell r="AX4" t="str">
            <v>Dyes</v>
          </cell>
          <cell r="AY4" t="str">
            <v>Chemical</v>
          </cell>
          <cell r="AZ4" t="str">
            <v>Packing</v>
          </cell>
          <cell r="BA4" t="str">
            <v>Power</v>
          </cell>
          <cell r="BB4" t="str">
            <v>Salary</v>
          </cell>
          <cell r="BC4" t="str">
            <v>Wages</v>
          </cell>
          <cell r="BD4" t="str">
            <v>Labour Charges</v>
          </cell>
          <cell r="BE4" t="str">
            <v>Stores &amp; Spares</v>
          </cell>
          <cell r="BF4" t="str">
            <v>Contractor Wages</v>
          </cell>
          <cell r="BG4" t="str">
            <v>Repair &amp; Maintenance</v>
          </cell>
          <cell r="BH4" t="str">
            <v>Overhead</v>
          </cell>
          <cell r="BI4" t="str">
            <v>Exp Dvn  Exp</v>
          </cell>
          <cell r="BJ4" t="str">
            <v>Corporate Expenses</v>
          </cell>
          <cell r="BK4" t="str">
            <v>Insurance</v>
          </cell>
          <cell r="BL4" t="str">
            <v xml:space="preserve">Interest </v>
          </cell>
          <cell r="BM4" t="str">
            <v>Depreciation</v>
          </cell>
          <cell r="BN4" t="str">
            <v>Total</v>
          </cell>
        </row>
        <row r="5">
          <cell r="K5" t="str">
            <v>ExportTargetWaverlyUSABath76x142L</v>
          </cell>
          <cell r="L5">
            <v>0</v>
          </cell>
          <cell r="M5">
            <v>280</v>
          </cell>
          <cell r="N5">
            <v>520</v>
          </cell>
          <cell r="O5">
            <v>0.88</v>
          </cell>
          <cell r="P5">
            <v>3456</v>
          </cell>
          <cell r="Q5">
            <v>24.338028169014084</v>
          </cell>
          <cell r="R5">
            <v>3</v>
          </cell>
          <cell r="S5">
            <v>595</v>
          </cell>
          <cell r="T5" t="str">
            <v>1/13  Comb</v>
          </cell>
          <cell r="U5">
            <v>483.24</v>
          </cell>
          <cell r="X5" t="str">
            <v>2/30  KC</v>
          </cell>
          <cell r="Y5">
            <v>74.06</v>
          </cell>
          <cell r="Z5" t="str">
            <v xml:space="preserve">1/16OE  </v>
          </cell>
          <cell r="AA5">
            <v>89.668999999999997</v>
          </cell>
          <cell r="AB5" t="str">
            <v>2/20  KC</v>
          </cell>
          <cell r="AC5">
            <v>34.369999999999997</v>
          </cell>
          <cell r="AD5" t="str">
            <v>/450  Den</v>
          </cell>
          <cell r="AE5">
            <v>9.0609999999999999</v>
          </cell>
          <cell r="AH5">
            <v>690.4</v>
          </cell>
          <cell r="AI5">
            <v>642.07199999999989</v>
          </cell>
          <cell r="AJ5">
            <v>7.0000000000000007E-2</v>
          </cell>
          <cell r="AK5">
            <v>2.5000000000000001E-3</v>
          </cell>
          <cell r="AL5">
            <v>1.4999999999999999E-2</v>
          </cell>
          <cell r="AM5">
            <v>0</v>
          </cell>
          <cell r="AN5">
            <v>0.01</v>
          </cell>
          <cell r="AO5">
            <v>1.3999999999999999E-2</v>
          </cell>
          <cell r="AQ5">
            <v>2.5000000000000001E-2</v>
          </cell>
          <cell r="AS5">
            <v>3</v>
          </cell>
          <cell r="AT5">
            <v>3</v>
          </cell>
          <cell r="AU5">
            <v>9</v>
          </cell>
          <cell r="AV5">
            <v>1.1000000000000001</v>
          </cell>
          <cell r="AW5">
            <v>70</v>
          </cell>
          <cell r="AY5">
            <v>14.8</v>
          </cell>
          <cell r="AZ5">
            <v>7.61</v>
          </cell>
          <cell r="BA5">
            <v>2465.8214285714289</v>
          </cell>
          <cell r="BB5">
            <v>2183.2285714285713</v>
          </cell>
          <cell r="BC5">
            <v>2076.7714285714287</v>
          </cell>
          <cell r="BD5">
            <v>117.17142857142856</v>
          </cell>
          <cell r="BE5">
            <v>707.3485714285714</v>
          </cell>
          <cell r="BF5">
            <v>783.13714285714286</v>
          </cell>
          <cell r="BG5">
            <v>163.45714285714286</v>
          </cell>
          <cell r="BH5">
            <v>1177.0285714285715</v>
          </cell>
          <cell r="BI5">
            <v>1322.7008670040718</v>
          </cell>
          <cell r="BJ5">
            <v>1222.1905615673563</v>
          </cell>
          <cell r="BK5">
            <v>483.77142857142866</v>
          </cell>
          <cell r="BL5">
            <v>3116.8285714285716</v>
          </cell>
          <cell r="BM5">
            <v>5341.8</v>
          </cell>
          <cell r="BN5">
            <v>21161.255714285715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</row>
        <row r="6">
          <cell r="K6" t="str">
            <v>ExportTargetWaverlyUSABath76x142M</v>
          </cell>
          <cell r="M6">
            <v>280</v>
          </cell>
          <cell r="N6">
            <v>520</v>
          </cell>
          <cell r="O6">
            <v>0.88</v>
          </cell>
          <cell r="P6">
            <v>3456</v>
          </cell>
          <cell r="Q6">
            <v>24.338028169014084</v>
          </cell>
          <cell r="R6">
            <v>3</v>
          </cell>
          <cell r="S6">
            <v>595</v>
          </cell>
          <cell r="T6" t="str">
            <v>1/13  Comb</v>
          </cell>
          <cell r="U6">
            <v>483.24</v>
          </cell>
          <cell r="V6">
            <v>0</v>
          </cell>
          <cell r="W6">
            <v>0</v>
          </cell>
          <cell r="X6" t="str">
            <v>2/30  KC</v>
          </cell>
          <cell r="Y6">
            <v>74.06</v>
          </cell>
          <cell r="Z6" t="str">
            <v xml:space="preserve">1/16OE  </v>
          </cell>
          <cell r="AA6">
            <v>89.668999999999997</v>
          </cell>
          <cell r="AB6" t="str">
            <v>2/20  KC</v>
          </cell>
          <cell r="AC6">
            <v>34.369999999999997</v>
          </cell>
          <cell r="AD6" t="str">
            <v>/450  Den</v>
          </cell>
          <cell r="AE6">
            <v>9.0609999999999999</v>
          </cell>
          <cell r="AF6">
            <v>0</v>
          </cell>
          <cell r="AG6">
            <v>0</v>
          </cell>
          <cell r="AH6">
            <v>690.4</v>
          </cell>
          <cell r="AI6">
            <v>642.07199999999989</v>
          </cell>
          <cell r="AJ6">
            <v>7.0000000000000007E-2</v>
          </cell>
          <cell r="AK6">
            <v>2.5000000000000001E-3</v>
          </cell>
          <cell r="AL6">
            <v>1.4999999999999999E-2</v>
          </cell>
          <cell r="AM6">
            <v>0</v>
          </cell>
          <cell r="AN6">
            <v>0.01</v>
          </cell>
          <cell r="AO6">
            <v>1.3999999999999999E-2</v>
          </cell>
          <cell r="AP6">
            <v>0</v>
          </cell>
          <cell r="AQ6">
            <v>2.5000000000000001E-2</v>
          </cell>
          <cell r="AR6">
            <v>0</v>
          </cell>
          <cell r="AS6">
            <v>3</v>
          </cell>
          <cell r="AT6">
            <v>3</v>
          </cell>
          <cell r="AU6">
            <v>9</v>
          </cell>
          <cell r="AV6">
            <v>1.1000000000000001</v>
          </cell>
          <cell r="AW6">
            <v>70</v>
          </cell>
          <cell r="AX6">
            <v>0</v>
          </cell>
          <cell r="AY6">
            <v>14.8</v>
          </cell>
          <cell r="AZ6">
            <v>7.61</v>
          </cell>
          <cell r="BA6">
            <v>2465.8214285714289</v>
          </cell>
          <cell r="BB6">
            <v>2183.2285714285713</v>
          </cell>
          <cell r="BC6">
            <v>2076.7714285714287</v>
          </cell>
          <cell r="BD6">
            <v>117.17142857142856</v>
          </cell>
          <cell r="BE6">
            <v>707.3485714285714</v>
          </cell>
          <cell r="BF6">
            <v>783.13714285714286</v>
          </cell>
          <cell r="BG6">
            <v>163.45714285714286</v>
          </cell>
          <cell r="BH6">
            <v>1177.0285714285715</v>
          </cell>
          <cell r="BI6">
            <v>1322.7008670040718</v>
          </cell>
          <cell r="BJ6">
            <v>1222.1905615673563</v>
          </cell>
          <cell r="BK6">
            <v>483.77142857142866</v>
          </cell>
          <cell r="BL6">
            <v>3116.8285714285716</v>
          </cell>
          <cell r="BM6">
            <v>5341.8</v>
          </cell>
          <cell r="BN6">
            <v>21161.255714285715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</row>
        <row r="7">
          <cell r="K7" t="str">
            <v>ExportTargetWaverlyUSABath76x142D</v>
          </cell>
          <cell r="M7">
            <v>280</v>
          </cell>
          <cell r="N7">
            <v>520</v>
          </cell>
          <cell r="O7">
            <v>0.88</v>
          </cell>
          <cell r="P7">
            <v>3456</v>
          </cell>
          <cell r="Q7">
            <v>24.338028169014084</v>
          </cell>
          <cell r="R7">
            <v>3</v>
          </cell>
          <cell r="S7">
            <v>595</v>
          </cell>
          <cell r="T7" t="str">
            <v>1/13  Comb</v>
          </cell>
          <cell r="U7">
            <v>483.24</v>
          </cell>
          <cell r="V7">
            <v>0</v>
          </cell>
          <cell r="W7">
            <v>0</v>
          </cell>
          <cell r="X7" t="str">
            <v>2/30  KC</v>
          </cell>
          <cell r="Y7">
            <v>74.06</v>
          </cell>
          <cell r="Z7" t="str">
            <v xml:space="preserve">1/16OE  </v>
          </cell>
          <cell r="AA7">
            <v>89.668999999999997</v>
          </cell>
          <cell r="AB7" t="str">
            <v>2/20  KC</v>
          </cell>
          <cell r="AC7">
            <v>34.369999999999997</v>
          </cell>
          <cell r="AD7" t="str">
            <v>/450  Den</v>
          </cell>
          <cell r="AE7">
            <v>9.0609999999999999</v>
          </cell>
          <cell r="AF7">
            <v>0</v>
          </cell>
          <cell r="AG7">
            <v>0</v>
          </cell>
          <cell r="AH7">
            <v>690.4</v>
          </cell>
          <cell r="AI7">
            <v>642.07199999999989</v>
          </cell>
          <cell r="AJ7">
            <v>7.0000000000000007E-2</v>
          </cell>
          <cell r="AK7">
            <v>2.5000000000000001E-3</v>
          </cell>
          <cell r="AL7">
            <v>1.4999999999999999E-2</v>
          </cell>
          <cell r="AM7">
            <v>0</v>
          </cell>
          <cell r="AN7">
            <v>0.01</v>
          </cell>
          <cell r="AO7">
            <v>1.3999999999999999E-2</v>
          </cell>
          <cell r="AP7">
            <v>0</v>
          </cell>
          <cell r="AQ7">
            <v>2.5000000000000001E-2</v>
          </cell>
          <cell r="AR7">
            <v>0</v>
          </cell>
          <cell r="AS7">
            <v>3</v>
          </cell>
          <cell r="AT7">
            <v>3</v>
          </cell>
          <cell r="AU7">
            <v>9</v>
          </cell>
          <cell r="AV7">
            <v>1.1000000000000001</v>
          </cell>
          <cell r="AW7">
            <v>70</v>
          </cell>
          <cell r="AX7">
            <v>0</v>
          </cell>
          <cell r="AY7">
            <v>14.8</v>
          </cell>
          <cell r="AZ7">
            <v>7.61</v>
          </cell>
          <cell r="BA7">
            <v>2465.8214285714289</v>
          </cell>
          <cell r="BB7">
            <v>2183.2285714285713</v>
          </cell>
          <cell r="BC7">
            <v>2076.7714285714287</v>
          </cell>
          <cell r="BD7">
            <v>117.17142857142856</v>
          </cell>
          <cell r="BE7">
            <v>707.3485714285714</v>
          </cell>
          <cell r="BF7">
            <v>783.13714285714286</v>
          </cell>
          <cell r="BG7">
            <v>163.45714285714286</v>
          </cell>
          <cell r="BH7">
            <v>1177.0285714285715</v>
          </cell>
          <cell r="BI7">
            <v>1322.7008670040718</v>
          </cell>
          <cell r="BJ7">
            <v>1222.1905615673563</v>
          </cell>
          <cell r="BK7">
            <v>483.77142857142866</v>
          </cell>
          <cell r="BL7">
            <v>3116.8285714285716</v>
          </cell>
          <cell r="BM7">
            <v>5341.8</v>
          </cell>
          <cell r="BN7">
            <v>21161.255714285715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</row>
        <row r="8">
          <cell r="K8" t="str">
            <v>ExportTargetWaverlyUSAHand41x76L</v>
          </cell>
          <cell r="M8">
            <v>340</v>
          </cell>
          <cell r="N8">
            <v>450</v>
          </cell>
          <cell r="O8">
            <v>0.88</v>
          </cell>
          <cell r="P8">
            <v>2202</v>
          </cell>
          <cell r="Q8">
            <v>28.973684210526315</v>
          </cell>
          <cell r="R8">
            <v>6</v>
          </cell>
          <cell r="S8">
            <v>614</v>
          </cell>
          <cell r="T8" t="str">
            <v>1/13  Comb</v>
          </cell>
          <cell r="U8">
            <v>133.83000000000001</v>
          </cell>
          <cell r="X8" t="str">
            <v>2/30  KC</v>
          </cell>
          <cell r="Y8">
            <v>22.79</v>
          </cell>
          <cell r="Z8" t="str">
            <v xml:space="preserve">1/16OE  </v>
          </cell>
          <cell r="AA8">
            <v>29.478000000000002</v>
          </cell>
          <cell r="AB8" t="str">
            <v>2/20  KC</v>
          </cell>
          <cell r="AC8">
            <v>15.87</v>
          </cell>
          <cell r="AD8" t="str">
            <v>/450  Den</v>
          </cell>
          <cell r="AE8">
            <v>3.7370000000000001</v>
          </cell>
          <cell r="AH8">
            <v>205.70500000000001</v>
          </cell>
          <cell r="AI8">
            <v>191.30564999999999</v>
          </cell>
          <cell r="AJ8">
            <v>7.0000000000000007E-2</v>
          </cell>
          <cell r="AK8">
            <v>2.5000000000000001E-3</v>
          </cell>
          <cell r="AL8">
            <v>1.4999999999999999E-2</v>
          </cell>
          <cell r="AM8">
            <v>0</v>
          </cell>
          <cell r="AN8">
            <v>0.01</v>
          </cell>
          <cell r="AO8">
            <v>1.3999999999999999E-2</v>
          </cell>
          <cell r="AQ8">
            <v>2.5000000000000001E-2</v>
          </cell>
          <cell r="AS8">
            <v>3</v>
          </cell>
          <cell r="AT8">
            <v>3</v>
          </cell>
          <cell r="AU8">
            <v>9</v>
          </cell>
          <cell r="AV8">
            <v>1.1000000000000001</v>
          </cell>
          <cell r="AW8">
            <v>70</v>
          </cell>
        </row>
        <row r="9">
          <cell r="K9" t="str">
            <v>ExportTargetWaverlyUSAHand41x76M</v>
          </cell>
          <cell r="M9">
            <v>340</v>
          </cell>
          <cell r="N9">
            <v>450</v>
          </cell>
          <cell r="O9">
            <v>0.88</v>
          </cell>
          <cell r="P9">
            <v>2202</v>
          </cell>
          <cell r="Q9">
            <v>28.973684210526315</v>
          </cell>
          <cell r="R9">
            <v>6</v>
          </cell>
          <cell r="S9">
            <v>614</v>
          </cell>
          <cell r="T9" t="str">
            <v>1/13  Comb</v>
          </cell>
          <cell r="U9">
            <v>133.83000000000001</v>
          </cell>
          <cell r="V9">
            <v>0</v>
          </cell>
          <cell r="W9">
            <v>0</v>
          </cell>
          <cell r="X9" t="str">
            <v>2/30  KC</v>
          </cell>
          <cell r="Y9">
            <v>22.79</v>
          </cell>
          <cell r="Z9" t="str">
            <v xml:space="preserve">1/16OE  </v>
          </cell>
          <cell r="AA9">
            <v>29.478000000000002</v>
          </cell>
          <cell r="AB9" t="str">
            <v>2/20  KC</v>
          </cell>
          <cell r="AC9">
            <v>15.87</v>
          </cell>
          <cell r="AD9" t="str">
            <v>/450  Den</v>
          </cell>
          <cell r="AE9">
            <v>3.7370000000000001</v>
          </cell>
          <cell r="AF9">
            <v>0</v>
          </cell>
          <cell r="AG9">
            <v>0</v>
          </cell>
          <cell r="AH9">
            <v>205.70500000000001</v>
          </cell>
          <cell r="AI9">
            <v>191.30564999999999</v>
          </cell>
          <cell r="AJ9">
            <v>7.0000000000000007E-2</v>
          </cell>
          <cell r="AK9">
            <v>2.5000000000000001E-3</v>
          </cell>
          <cell r="AL9">
            <v>1.4999999999999999E-2</v>
          </cell>
          <cell r="AM9">
            <v>0</v>
          </cell>
          <cell r="AN9">
            <v>0.01</v>
          </cell>
          <cell r="AO9">
            <v>1.3999999999999999E-2</v>
          </cell>
          <cell r="AP9">
            <v>0</v>
          </cell>
          <cell r="AQ9">
            <v>2.5000000000000001E-2</v>
          </cell>
          <cell r="AR9">
            <v>0</v>
          </cell>
          <cell r="AS9">
            <v>3</v>
          </cell>
          <cell r="AT9">
            <v>3</v>
          </cell>
          <cell r="AU9">
            <v>9</v>
          </cell>
          <cell r="AV9">
            <v>1.1000000000000001</v>
          </cell>
          <cell r="AW9">
            <v>70</v>
          </cell>
        </row>
        <row r="10">
          <cell r="K10" t="str">
            <v>ExportTargetWaverlyUSAHand41x76D</v>
          </cell>
          <cell r="M10">
            <v>340</v>
          </cell>
          <cell r="N10">
            <v>450</v>
          </cell>
          <cell r="O10">
            <v>0.88</v>
          </cell>
          <cell r="P10">
            <v>2202</v>
          </cell>
          <cell r="Q10">
            <v>28.973684210526315</v>
          </cell>
          <cell r="R10">
            <v>6</v>
          </cell>
          <cell r="S10">
            <v>614</v>
          </cell>
          <cell r="T10" t="str">
            <v>1/13  Comb</v>
          </cell>
          <cell r="U10">
            <v>133.83000000000001</v>
          </cell>
          <cell r="V10">
            <v>0</v>
          </cell>
          <cell r="W10">
            <v>0</v>
          </cell>
          <cell r="X10" t="str">
            <v>2/30  KC</v>
          </cell>
          <cell r="Y10">
            <v>22.79</v>
          </cell>
          <cell r="Z10" t="str">
            <v xml:space="preserve">1/16OE  </v>
          </cell>
          <cell r="AA10">
            <v>29.478000000000002</v>
          </cell>
          <cell r="AB10" t="str">
            <v>2/20  KC</v>
          </cell>
          <cell r="AC10">
            <v>15.87</v>
          </cell>
          <cell r="AD10" t="str">
            <v>/450  Den</v>
          </cell>
          <cell r="AE10">
            <v>3.7370000000000001</v>
          </cell>
          <cell r="AF10">
            <v>0</v>
          </cell>
          <cell r="AG10">
            <v>0</v>
          </cell>
          <cell r="AH10">
            <v>205.70500000000001</v>
          </cell>
          <cell r="AI10">
            <v>191.30564999999999</v>
          </cell>
          <cell r="AJ10">
            <v>7.0000000000000007E-2</v>
          </cell>
          <cell r="AK10">
            <v>2.5000000000000001E-3</v>
          </cell>
          <cell r="AL10">
            <v>1.4999999999999999E-2</v>
          </cell>
          <cell r="AM10">
            <v>0</v>
          </cell>
          <cell r="AN10">
            <v>0.01</v>
          </cell>
          <cell r="AO10">
            <v>1.3999999999999999E-2</v>
          </cell>
          <cell r="AP10">
            <v>0</v>
          </cell>
          <cell r="AQ10">
            <v>2.5000000000000001E-2</v>
          </cell>
          <cell r="AR10">
            <v>0</v>
          </cell>
          <cell r="AS10">
            <v>3</v>
          </cell>
          <cell r="AT10">
            <v>3</v>
          </cell>
          <cell r="AU10">
            <v>9</v>
          </cell>
          <cell r="AV10">
            <v>1.1000000000000001</v>
          </cell>
          <cell r="AW10">
            <v>70</v>
          </cell>
        </row>
        <row r="11">
          <cell r="K11" t="str">
            <v>ExportTargetWaverlyUSAWash30x30L</v>
          </cell>
          <cell r="M11">
            <v>340</v>
          </cell>
          <cell r="N11">
            <v>450</v>
          </cell>
          <cell r="O11">
            <v>0.88</v>
          </cell>
          <cell r="P11">
            <v>984</v>
          </cell>
          <cell r="Q11">
            <v>32.799999999999997</v>
          </cell>
          <cell r="R11">
            <v>8</v>
          </cell>
          <cell r="S11">
            <v>644</v>
          </cell>
          <cell r="T11" t="str">
            <v>1/13  Comb</v>
          </cell>
          <cell r="U11">
            <v>36.840000000000003</v>
          </cell>
          <cell r="X11" t="str">
            <v>2/30  KC</v>
          </cell>
          <cell r="Y11">
            <v>7.97</v>
          </cell>
          <cell r="Z11" t="str">
            <v xml:space="preserve">1/16OE  </v>
          </cell>
          <cell r="AA11">
            <v>9.52</v>
          </cell>
          <cell r="AB11" t="str">
            <v>2/20  KC</v>
          </cell>
          <cell r="AC11">
            <v>7.02</v>
          </cell>
          <cell r="AD11" t="str">
            <v>/450  Den</v>
          </cell>
          <cell r="AE11">
            <v>1.052</v>
          </cell>
          <cell r="AH11">
            <v>62.401999999999994</v>
          </cell>
          <cell r="AI11">
            <v>58.03385999999999</v>
          </cell>
          <cell r="AJ11">
            <v>7.0000000000000007E-2</v>
          </cell>
          <cell r="AK11">
            <v>2.5000000000000001E-3</v>
          </cell>
          <cell r="AL11">
            <v>1.4999999999999999E-2</v>
          </cell>
          <cell r="AM11">
            <v>0</v>
          </cell>
          <cell r="AN11">
            <v>0.01</v>
          </cell>
          <cell r="AO11">
            <v>1.3999999999999999E-2</v>
          </cell>
          <cell r="AQ11">
            <v>2.5000000000000001E-2</v>
          </cell>
          <cell r="AS11">
            <v>3</v>
          </cell>
          <cell r="AT11">
            <v>3</v>
          </cell>
          <cell r="AU11">
            <v>9</v>
          </cell>
          <cell r="AV11">
            <v>1.1000000000000001</v>
          </cell>
          <cell r="AW11">
            <v>70</v>
          </cell>
        </row>
        <row r="12">
          <cell r="K12" t="str">
            <v>ExportTargetWaverlyUSAWash30x30M</v>
          </cell>
          <cell r="M12">
            <v>340</v>
          </cell>
          <cell r="N12">
            <v>450</v>
          </cell>
          <cell r="O12">
            <v>0.88</v>
          </cell>
          <cell r="P12">
            <v>984</v>
          </cell>
          <cell r="Q12">
            <v>32.799999999999997</v>
          </cell>
          <cell r="R12">
            <v>8</v>
          </cell>
          <cell r="S12">
            <v>644</v>
          </cell>
          <cell r="T12" t="str">
            <v>1/13  Comb</v>
          </cell>
          <cell r="U12">
            <v>36.840000000000003</v>
          </cell>
          <cell r="V12">
            <v>0</v>
          </cell>
          <cell r="W12">
            <v>0</v>
          </cell>
          <cell r="X12" t="str">
            <v>2/30  KC</v>
          </cell>
          <cell r="Y12">
            <v>7.97</v>
          </cell>
          <cell r="Z12" t="str">
            <v xml:space="preserve">1/16OE  </v>
          </cell>
          <cell r="AA12">
            <v>9.52</v>
          </cell>
          <cell r="AB12" t="str">
            <v>2/20  KC</v>
          </cell>
          <cell r="AC12">
            <v>7.02</v>
          </cell>
          <cell r="AD12" t="str">
            <v>/450  Den</v>
          </cell>
          <cell r="AE12">
            <v>1.052</v>
          </cell>
          <cell r="AF12">
            <v>0</v>
          </cell>
          <cell r="AG12">
            <v>0</v>
          </cell>
          <cell r="AH12">
            <v>62.401999999999994</v>
          </cell>
          <cell r="AI12">
            <v>58.03385999999999</v>
          </cell>
          <cell r="AJ12">
            <v>7.0000000000000007E-2</v>
          </cell>
          <cell r="AK12">
            <v>2.5000000000000001E-3</v>
          </cell>
          <cell r="AL12">
            <v>1.4999999999999999E-2</v>
          </cell>
          <cell r="AM12">
            <v>0</v>
          </cell>
          <cell r="AN12">
            <v>0.01</v>
          </cell>
          <cell r="AO12">
            <v>1.3999999999999999E-2</v>
          </cell>
          <cell r="AP12">
            <v>0</v>
          </cell>
          <cell r="AQ12">
            <v>2.5000000000000001E-2</v>
          </cell>
          <cell r="AR12">
            <v>0</v>
          </cell>
          <cell r="AS12">
            <v>3</v>
          </cell>
          <cell r="AT12">
            <v>3</v>
          </cell>
          <cell r="AU12">
            <v>9</v>
          </cell>
          <cell r="AV12">
            <v>1.1000000000000001</v>
          </cell>
          <cell r="AW12">
            <v>70</v>
          </cell>
        </row>
        <row r="13">
          <cell r="K13" t="str">
            <v>ExportTargetWaverlyUSAWash30x30D</v>
          </cell>
          <cell r="M13">
            <v>340</v>
          </cell>
          <cell r="N13">
            <v>450</v>
          </cell>
          <cell r="O13">
            <v>0.88</v>
          </cell>
          <cell r="P13">
            <v>984</v>
          </cell>
          <cell r="Q13">
            <v>32.799999999999997</v>
          </cell>
          <cell r="R13">
            <v>8</v>
          </cell>
          <cell r="S13">
            <v>644</v>
          </cell>
          <cell r="T13" t="str">
            <v>1/13  Comb</v>
          </cell>
          <cell r="U13">
            <v>36.840000000000003</v>
          </cell>
          <cell r="V13">
            <v>0</v>
          </cell>
          <cell r="W13">
            <v>0</v>
          </cell>
          <cell r="X13" t="str">
            <v>2/30  KC</v>
          </cell>
          <cell r="Y13">
            <v>7.97</v>
          </cell>
          <cell r="Z13" t="str">
            <v xml:space="preserve">1/16OE  </v>
          </cell>
          <cell r="AA13">
            <v>9.52</v>
          </cell>
          <cell r="AB13" t="str">
            <v>2/20  KC</v>
          </cell>
          <cell r="AC13">
            <v>7.02</v>
          </cell>
          <cell r="AD13" t="str">
            <v>/450  Den</v>
          </cell>
          <cell r="AE13">
            <v>1.052</v>
          </cell>
          <cell r="AF13">
            <v>0</v>
          </cell>
          <cell r="AG13">
            <v>0</v>
          </cell>
          <cell r="AH13">
            <v>62.401999999999994</v>
          </cell>
          <cell r="AI13">
            <v>58.03385999999999</v>
          </cell>
          <cell r="AJ13">
            <v>7.0000000000000007E-2</v>
          </cell>
          <cell r="AK13">
            <v>2.5000000000000001E-3</v>
          </cell>
          <cell r="AL13">
            <v>1.4999999999999999E-2</v>
          </cell>
          <cell r="AM13">
            <v>0</v>
          </cell>
          <cell r="AN13">
            <v>0.01</v>
          </cell>
          <cell r="AO13">
            <v>1.3999999999999999E-2</v>
          </cell>
          <cell r="AP13">
            <v>0</v>
          </cell>
          <cell r="AQ13">
            <v>2.5000000000000001E-2</v>
          </cell>
          <cell r="AR13">
            <v>0</v>
          </cell>
          <cell r="AS13">
            <v>3</v>
          </cell>
          <cell r="AT13">
            <v>3</v>
          </cell>
          <cell r="AU13">
            <v>9</v>
          </cell>
          <cell r="AV13">
            <v>1.1000000000000001</v>
          </cell>
          <cell r="AW13">
            <v>70</v>
          </cell>
        </row>
        <row r="14">
          <cell r="K14" t="str">
            <v>ExportWalmartHome TrendsUSABath76x132L</v>
          </cell>
          <cell r="M14">
            <v>280</v>
          </cell>
          <cell r="N14">
            <v>520</v>
          </cell>
          <cell r="O14">
            <v>0.88</v>
          </cell>
          <cell r="P14">
            <v>2619</v>
          </cell>
          <cell r="Q14">
            <v>19.84090909090909</v>
          </cell>
          <cell r="R14">
            <v>3</v>
          </cell>
          <cell r="S14">
            <v>584</v>
          </cell>
          <cell r="T14" t="str">
            <v>1/13  Tend KC</v>
          </cell>
          <cell r="U14">
            <v>446.08</v>
          </cell>
          <cell r="X14" t="str">
            <v>2/24  KC</v>
          </cell>
          <cell r="Y14">
            <v>87.53</v>
          </cell>
          <cell r="Z14" t="str">
            <v xml:space="preserve">1/14OE  </v>
          </cell>
          <cell r="AA14">
            <v>81.709999999999994</v>
          </cell>
          <cell r="AB14" t="str">
            <v>2/20  KC</v>
          </cell>
          <cell r="AC14">
            <v>28.48</v>
          </cell>
          <cell r="AH14">
            <v>643.80000000000007</v>
          </cell>
          <cell r="AI14">
            <v>585.85800000000006</v>
          </cell>
          <cell r="AJ14">
            <v>0.09</v>
          </cell>
          <cell r="AK14">
            <v>2.5000000000000001E-3</v>
          </cell>
          <cell r="AL14">
            <v>1.4999999999999999E-2</v>
          </cell>
          <cell r="AM14">
            <v>0</v>
          </cell>
          <cell r="AN14">
            <v>0.01</v>
          </cell>
          <cell r="AO14">
            <v>1.3999999999999999E-2</v>
          </cell>
          <cell r="AQ14">
            <v>2.5000000000000001E-2</v>
          </cell>
          <cell r="AS14">
            <v>3</v>
          </cell>
          <cell r="AT14">
            <v>3</v>
          </cell>
          <cell r="AU14">
            <v>9</v>
          </cell>
          <cell r="AV14">
            <v>1.1000000000000001</v>
          </cell>
          <cell r="AW14">
            <v>70</v>
          </cell>
        </row>
        <row r="15">
          <cell r="K15" t="str">
            <v>ExportWalmartHome TrendsUSABath76x132M</v>
          </cell>
          <cell r="M15">
            <v>280</v>
          </cell>
          <cell r="N15">
            <v>520</v>
          </cell>
          <cell r="O15">
            <v>0.88</v>
          </cell>
          <cell r="P15">
            <v>2619</v>
          </cell>
          <cell r="Q15">
            <v>19.84090909090909</v>
          </cell>
          <cell r="R15">
            <v>3</v>
          </cell>
          <cell r="S15">
            <v>584</v>
          </cell>
          <cell r="T15" t="str">
            <v>1/13  Tend KC</v>
          </cell>
          <cell r="U15">
            <v>446.08</v>
          </cell>
          <cell r="V15">
            <v>0</v>
          </cell>
          <cell r="W15">
            <v>0</v>
          </cell>
          <cell r="X15" t="str">
            <v>2/24  KC</v>
          </cell>
          <cell r="Y15">
            <v>87.53</v>
          </cell>
          <cell r="Z15" t="str">
            <v xml:space="preserve">1/14OE  </v>
          </cell>
          <cell r="AA15">
            <v>81.709999999999994</v>
          </cell>
          <cell r="AB15" t="str">
            <v>2/20  KC</v>
          </cell>
          <cell r="AC15">
            <v>28.48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643.80000000000007</v>
          </cell>
          <cell r="AI15">
            <v>585.85800000000006</v>
          </cell>
          <cell r="AJ15">
            <v>0.09</v>
          </cell>
          <cell r="AK15">
            <v>2.5000000000000001E-3</v>
          </cell>
          <cell r="AL15">
            <v>1.4999999999999999E-2</v>
          </cell>
          <cell r="AM15">
            <v>0</v>
          </cell>
          <cell r="AN15">
            <v>0.01</v>
          </cell>
          <cell r="AO15">
            <v>1.3999999999999999E-2</v>
          </cell>
          <cell r="AP15">
            <v>0</v>
          </cell>
          <cell r="AQ15">
            <v>2.5000000000000001E-2</v>
          </cell>
          <cell r="AR15">
            <v>0</v>
          </cell>
          <cell r="AS15">
            <v>3</v>
          </cell>
          <cell r="AT15">
            <v>3</v>
          </cell>
          <cell r="AU15">
            <v>9</v>
          </cell>
          <cell r="AV15">
            <v>1.1000000000000001</v>
          </cell>
          <cell r="AW15">
            <v>70</v>
          </cell>
        </row>
        <row r="16">
          <cell r="K16" t="str">
            <v>ExportWalmartHome TrendsUSABath76x132D</v>
          </cell>
          <cell r="M16">
            <v>280</v>
          </cell>
          <cell r="N16">
            <v>520</v>
          </cell>
          <cell r="O16">
            <v>0.88</v>
          </cell>
          <cell r="P16">
            <v>2619</v>
          </cell>
          <cell r="Q16">
            <v>19.84090909090909</v>
          </cell>
          <cell r="R16">
            <v>3</v>
          </cell>
          <cell r="S16">
            <v>584</v>
          </cell>
          <cell r="T16" t="str">
            <v>1/13  Tend KC</v>
          </cell>
          <cell r="U16">
            <v>446.08</v>
          </cell>
          <cell r="V16">
            <v>0</v>
          </cell>
          <cell r="W16">
            <v>0</v>
          </cell>
          <cell r="X16" t="str">
            <v>2/24  KC</v>
          </cell>
          <cell r="Y16">
            <v>87.53</v>
          </cell>
          <cell r="Z16" t="str">
            <v xml:space="preserve">1/14OE  </v>
          </cell>
          <cell r="AA16">
            <v>81.709999999999994</v>
          </cell>
          <cell r="AB16" t="str">
            <v>2/20  KC</v>
          </cell>
          <cell r="AC16">
            <v>28.48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643.80000000000007</v>
          </cell>
          <cell r="AI16">
            <v>585.85800000000006</v>
          </cell>
          <cell r="AJ16">
            <v>0.09</v>
          </cell>
          <cell r="AK16">
            <v>2.5000000000000001E-3</v>
          </cell>
          <cell r="AL16">
            <v>1.4999999999999999E-2</v>
          </cell>
          <cell r="AM16">
            <v>0</v>
          </cell>
          <cell r="AN16">
            <v>0.01</v>
          </cell>
          <cell r="AO16">
            <v>1.3999999999999999E-2</v>
          </cell>
          <cell r="AP16">
            <v>0</v>
          </cell>
          <cell r="AQ16">
            <v>2.5000000000000001E-2</v>
          </cell>
          <cell r="AR16">
            <v>0</v>
          </cell>
          <cell r="AS16">
            <v>3</v>
          </cell>
          <cell r="AT16">
            <v>3</v>
          </cell>
          <cell r="AU16">
            <v>9</v>
          </cell>
          <cell r="AV16">
            <v>1.1000000000000001</v>
          </cell>
          <cell r="AW16">
            <v>70</v>
          </cell>
        </row>
        <row r="17">
          <cell r="K17" t="str">
            <v>ExportWalmartHome TrendsUSAHand41x69L</v>
          </cell>
          <cell r="M17">
            <v>340</v>
          </cell>
          <cell r="N17">
            <v>450</v>
          </cell>
          <cell r="O17">
            <v>0.88</v>
          </cell>
          <cell r="P17">
            <v>1518</v>
          </cell>
          <cell r="Q17">
            <v>22</v>
          </cell>
          <cell r="R17">
            <v>6</v>
          </cell>
          <cell r="S17">
            <v>534</v>
          </cell>
          <cell r="T17" t="str">
            <v>1/13   KC</v>
          </cell>
          <cell r="U17">
            <v>102</v>
          </cell>
          <cell r="X17" t="str">
            <v>2/24  KC</v>
          </cell>
          <cell r="Y17">
            <v>26.85</v>
          </cell>
          <cell r="Z17" t="str">
            <v xml:space="preserve">1/14OE  </v>
          </cell>
          <cell r="AA17">
            <v>23.364000000000001</v>
          </cell>
          <cell r="AB17" t="str">
            <v>2/20  KC</v>
          </cell>
          <cell r="AC17">
            <v>13.78</v>
          </cell>
          <cell r="AH17">
            <v>165.994</v>
          </cell>
          <cell r="AI17">
            <v>151.05454</v>
          </cell>
          <cell r="AJ17">
            <v>0.09</v>
          </cell>
          <cell r="AK17">
            <v>2.5000000000000001E-3</v>
          </cell>
          <cell r="AL17">
            <v>1.4999999999999999E-2</v>
          </cell>
          <cell r="AM17">
            <v>0</v>
          </cell>
          <cell r="AN17">
            <v>0.01</v>
          </cell>
          <cell r="AO17">
            <v>1.3999999999999999E-2</v>
          </cell>
          <cell r="AQ17">
            <v>2.5000000000000001E-2</v>
          </cell>
          <cell r="AS17">
            <v>3</v>
          </cell>
          <cell r="AT17">
            <v>3</v>
          </cell>
          <cell r="AU17">
            <v>9</v>
          </cell>
          <cell r="AV17">
            <v>1.1000000000000001</v>
          </cell>
          <cell r="AW17">
            <v>70</v>
          </cell>
        </row>
        <row r="18">
          <cell r="K18" t="str">
            <v>ExportWalmartHome TrendsUSAHand41x69M</v>
          </cell>
          <cell r="M18">
            <v>340</v>
          </cell>
          <cell r="N18">
            <v>450</v>
          </cell>
          <cell r="O18">
            <v>0.88</v>
          </cell>
          <cell r="P18">
            <v>1518</v>
          </cell>
          <cell r="Q18">
            <v>22</v>
          </cell>
          <cell r="R18">
            <v>6</v>
          </cell>
          <cell r="S18">
            <v>534</v>
          </cell>
          <cell r="T18" t="str">
            <v>1/13   KC</v>
          </cell>
          <cell r="U18">
            <v>102</v>
          </cell>
          <cell r="V18">
            <v>0</v>
          </cell>
          <cell r="W18">
            <v>0</v>
          </cell>
          <cell r="X18" t="str">
            <v>2/24  KC</v>
          </cell>
          <cell r="Y18">
            <v>26.85</v>
          </cell>
          <cell r="Z18" t="str">
            <v xml:space="preserve">1/14OE  </v>
          </cell>
          <cell r="AA18">
            <v>23.364000000000001</v>
          </cell>
          <cell r="AB18" t="str">
            <v>2/20  KC</v>
          </cell>
          <cell r="AC18">
            <v>13.78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165.994</v>
          </cell>
          <cell r="AI18">
            <v>151.05454</v>
          </cell>
          <cell r="AJ18">
            <v>0.09</v>
          </cell>
          <cell r="AK18">
            <v>2.5000000000000001E-3</v>
          </cell>
          <cell r="AL18">
            <v>1.4999999999999999E-2</v>
          </cell>
          <cell r="AM18">
            <v>0</v>
          </cell>
          <cell r="AN18">
            <v>0.01</v>
          </cell>
          <cell r="AO18">
            <v>1.3999999999999999E-2</v>
          </cell>
          <cell r="AP18">
            <v>0</v>
          </cell>
          <cell r="AQ18">
            <v>2.5000000000000001E-2</v>
          </cell>
          <cell r="AR18">
            <v>0</v>
          </cell>
          <cell r="AS18">
            <v>3</v>
          </cell>
          <cell r="AT18">
            <v>3</v>
          </cell>
          <cell r="AU18">
            <v>9</v>
          </cell>
          <cell r="AV18">
            <v>1.1000000000000001</v>
          </cell>
          <cell r="AW18">
            <v>70</v>
          </cell>
        </row>
        <row r="19">
          <cell r="K19" t="str">
            <v>ExportWalmartHome TrendsUSAHand41x69D</v>
          </cell>
          <cell r="M19">
            <v>340</v>
          </cell>
          <cell r="N19">
            <v>450</v>
          </cell>
          <cell r="O19">
            <v>0.88</v>
          </cell>
          <cell r="P19">
            <v>1518</v>
          </cell>
          <cell r="Q19">
            <v>22</v>
          </cell>
          <cell r="R19">
            <v>6</v>
          </cell>
          <cell r="S19">
            <v>534</v>
          </cell>
          <cell r="T19" t="str">
            <v>1/13   KC</v>
          </cell>
          <cell r="U19">
            <v>102</v>
          </cell>
          <cell r="V19">
            <v>0</v>
          </cell>
          <cell r="W19">
            <v>0</v>
          </cell>
          <cell r="X19" t="str">
            <v>2/24  KC</v>
          </cell>
          <cell r="Y19">
            <v>26.85</v>
          </cell>
          <cell r="Z19" t="str">
            <v xml:space="preserve">1/14OE  </v>
          </cell>
          <cell r="AA19">
            <v>23.364000000000001</v>
          </cell>
          <cell r="AB19" t="str">
            <v>2/20  KC</v>
          </cell>
          <cell r="AC19">
            <v>13.78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165.994</v>
          </cell>
          <cell r="AI19">
            <v>151.05454</v>
          </cell>
          <cell r="AJ19">
            <v>0.09</v>
          </cell>
          <cell r="AK19">
            <v>2.5000000000000001E-3</v>
          </cell>
          <cell r="AL19">
            <v>1.4999999999999999E-2</v>
          </cell>
          <cell r="AM19">
            <v>0</v>
          </cell>
          <cell r="AN19">
            <v>0.01</v>
          </cell>
          <cell r="AO19">
            <v>1.3999999999999999E-2</v>
          </cell>
          <cell r="AP19">
            <v>0</v>
          </cell>
          <cell r="AQ19">
            <v>2.5000000000000001E-2</v>
          </cell>
          <cell r="AR19">
            <v>0</v>
          </cell>
          <cell r="AS19">
            <v>3</v>
          </cell>
          <cell r="AT19">
            <v>3</v>
          </cell>
          <cell r="AU19">
            <v>9</v>
          </cell>
          <cell r="AV19">
            <v>1.1000000000000001</v>
          </cell>
          <cell r="AW19">
            <v>70</v>
          </cell>
        </row>
        <row r="20">
          <cell r="K20" t="str">
            <v>ExportWalmartHome TrendsUSAWash33x33L</v>
          </cell>
          <cell r="M20">
            <v>340</v>
          </cell>
          <cell r="N20">
            <v>450</v>
          </cell>
          <cell r="O20">
            <v>0.88</v>
          </cell>
          <cell r="P20">
            <v>636</v>
          </cell>
          <cell r="Q20">
            <v>19.272727272727273</v>
          </cell>
          <cell r="R20">
            <v>8</v>
          </cell>
          <cell r="S20">
            <v>521</v>
          </cell>
          <cell r="T20" t="str">
            <v>1/13   KC</v>
          </cell>
          <cell r="U20">
            <v>41.32</v>
          </cell>
          <cell r="X20" t="str">
            <v>2/24  KC</v>
          </cell>
          <cell r="Y20">
            <v>9.2200000000000006</v>
          </cell>
          <cell r="Z20" t="str">
            <v xml:space="preserve">1/14OE  </v>
          </cell>
          <cell r="AA20">
            <v>8.09</v>
          </cell>
          <cell r="AB20" t="str">
            <v>2/20  KC</v>
          </cell>
          <cell r="AC20">
            <v>4.0659999999999998</v>
          </cell>
          <cell r="AH20">
            <v>62.695999999999998</v>
          </cell>
          <cell r="AI20">
            <v>56.739879999999999</v>
          </cell>
          <cell r="AJ20">
            <v>9.5000000000000001E-2</v>
          </cell>
          <cell r="AK20">
            <v>2.5000000000000001E-3</v>
          </cell>
          <cell r="AL20">
            <v>1.4999999999999999E-2</v>
          </cell>
          <cell r="AM20">
            <v>0</v>
          </cell>
          <cell r="AN20">
            <v>0.01</v>
          </cell>
          <cell r="AO20">
            <v>1.3999999999999999E-2</v>
          </cell>
          <cell r="AQ20">
            <v>2.5000000000000001E-2</v>
          </cell>
          <cell r="AS20">
            <v>3</v>
          </cell>
          <cell r="AT20">
            <v>3</v>
          </cell>
          <cell r="AU20">
            <v>9</v>
          </cell>
          <cell r="AV20">
            <v>1.1000000000000001</v>
          </cell>
          <cell r="AW20">
            <v>70</v>
          </cell>
        </row>
        <row r="21">
          <cell r="K21" t="str">
            <v>ExportWalmartHome TrendsUSAWash33x33M</v>
          </cell>
          <cell r="M21">
            <v>340</v>
          </cell>
          <cell r="N21">
            <v>450</v>
          </cell>
          <cell r="O21">
            <v>0.88</v>
          </cell>
          <cell r="P21">
            <v>636</v>
          </cell>
          <cell r="Q21">
            <v>19.272727272727273</v>
          </cell>
          <cell r="R21">
            <v>8</v>
          </cell>
          <cell r="S21">
            <v>521</v>
          </cell>
          <cell r="T21" t="str">
            <v>1/13   KC</v>
          </cell>
          <cell r="U21">
            <v>41.32</v>
          </cell>
          <cell r="V21">
            <v>0</v>
          </cell>
          <cell r="W21">
            <v>0</v>
          </cell>
          <cell r="X21" t="str">
            <v>2/24  KC</v>
          </cell>
          <cell r="Y21">
            <v>9.2200000000000006</v>
          </cell>
          <cell r="Z21" t="str">
            <v xml:space="preserve">1/14OE  </v>
          </cell>
          <cell r="AA21">
            <v>8.09</v>
          </cell>
          <cell r="AB21" t="str">
            <v>2/20  KC</v>
          </cell>
          <cell r="AC21">
            <v>4.0659999999999998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62.695999999999998</v>
          </cell>
          <cell r="AI21">
            <v>56.739879999999999</v>
          </cell>
          <cell r="AJ21">
            <v>9.5000000000000001E-2</v>
          </cell>
          <cell r="AK21">
            <v>2.5000000000000001E-3</v>
          </cell>
          <cell r="AL21">
            <v>1.4999999999999999E-2</v>
          </cell>
          <cell r="AM21">
            <v>0</v>
          </cell>
          <cell r="AN21">
            <v>0.01</v>
          </cell>
          <cell r="AO21">
            <v>1.3999999999999999E-2</v>
          </cell>
          <cell r="AP21">
            <v>0</v>
          </cell>
          <cell r="AQ21">
            <v>2.5000000000000001E-2</v>
          </cell>
          <cell r="AR21">
            <v>0</v>
          </cell>
          <cell r="AS21">
            <v>3</v>
          </cell>
          <cell r="AT21">
            <v>3</v>
          </cell>
          <cell r="AU21">
            <v>9</v>
          </cell>
          <cell r="AV21">
            <v>1.1000000000000001</v>
          </cell>
          <cell r="AW21">
            <v>70</v>
          </cell>
        </row>
        <row r="22">
          <cell r="K22" t="str">
            <v>ExportWalmartHome TrendsUSAWash33x33D</v>
          </cell>
          <cell r="M22">
            <v>340</v>
          </cell>
          <cell r="N22">
            <v>450</v>
          </cell>
          <cell r="O22">
            <v>0.88</v>
          </cell>
          <cell r="P22">
            <v>636</v>
          </cell>
          <cell r="Q22">
            <v>19.272727272727273</v>
          </cell>
          <cell r="R22">
            <v>8</v>
          </cell>
          <cell r="S22">
            <v>521</v>
          </cell>
          <cell r="T22" t="str">
            <v>1/13   KC</v>
          </cell>
          <cell r="U22">
            <v>41.32</v>
          </cell>
          <cell r="V22">
            <v>0</v>
          </cell>
          <cell r="W22">
            <v>0</v>
          </cell>
          <cell r="X22" t="str">
            <v>2/24  KC</v>
          </cell>
          <cell r="Y22">
            <v>9.2200000000000006</v>
          </cell>
          <cell r="Z22" t="str">
            <v xml:space="preserve">1/14OE  </v>
          </cell>
          <cell r="AA22">
            <v>8.09</v>
          </cell>
          <cell r="AB22" t="str">
            <v>2/20  KC</v>
          </cell>
          <cell r="AC22">
            <v>4.0659999999999998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62.695999999999998</v>
          </cell>
          <cell r="AI22">
            <v>56.739879999999999</v>
          </cell>
          <cell r="AJ22">
            <v>9.5000000000000001E-2</v>
          </cell>
          <cell r="AK22">
            <v>2.5000000000000001E-3</v>
          </cell>
          <cell r="AL22">
            <v>1.4999999999999999E-2</v>
          </cell>
          <cell r="AM22">
            <v>0</v>
          </cell>
          <cell r="AN22">
            <v>0.01</v>
          </cell>
          <cell r="AO22">
            <v>1.3999999999999999E-2</v>
          </cell>
          <cell r="AP22">
            <v>0</v>
          </cell>
          <cell r="AQ22">
            <v>2.5000000000000001E-2</v>
          </cell>
          <cell r="AR22">
            <v>0</v>
          </cell>
          <cell r="AS22">
            <v>3</v>
          </cell>
          <cell r="AT22">
            <v>3</v>
          </cell>
          <cell r="AU22">
            <v>9</v>
          </cell>
          <cell r="AV22">
            <v>1.1000000000000001</v>
          </cell>
          <cell r="AW22">
            <v>70</v>
          </cell>
        </row>
        <row r="23">
          <cell r="K23" t="str">
            <v>ExportMill WorkingCannon LandmarkUSABath76x137L</v>
          </cell>
          <cell r="M23">
            <v>280</v>
          </cell>
          <cell r="N23">
            <v>520</v>
          </cell>
          <cell r="O23">
            <v>0.88</v>
          </cell>
          <cell r="P23">
            <v>2718</v>
          </cell>
          <cell r="Q23">
            <v>19.839416058394161</v>
          </cell>
          <cell r="R23">
            <v>3</v>
          </cell>
          <cell r="S23">
            <v>582</v>
          </cell>
          <cell r="T23" t="str">
            <v>1/13  Comb</v>
          </cell>
          <cell r="U23">
            <v>186.39</v>
          </cell>
          <cell r="V23" t="str">
            <v>2/20  Comb</v>
          </cell>
          <cell r="W23">
            <v>242.31</v>
          </cell>
          <cell r="X23" t="str">
            <v>2/24  KC</v>
          </cell>
          <cell r="Y23">
            <v>89.85</v>
          </cell>
          <cell r="Z23" t="str">
            <v xml:space="preserve">1/11OE  </v>
          </cell>
          <cell r="AA23">
            <v>99.68</v>
          </cell>
          <cell r="AB23" t="str">
            <v>2/20  KC</v>
          </cell>
          <cell r="AC23">
            <v>38.619999999999997</v>
          </cell>
          <cell r="AH23">
            <v>656.85</v>
          </cell>
          <cell r="AI23">
            <v>607.58625000000006</v>
          </cell>
          <cell r="AJ23">
            <v>7.4999999999999997E-2</v>
          </cell>
          <cell r="AK23">
            <v>2.5000000000000001E-3</v>
          </cell>
          <cell r="AL23">
            <v>1.4999999999999999E-2</v>
          </cell>
          <cell r="AM23">
            <v>0</v>
          </cell>
          <cell r="AN23">
            <v>0.01</v>
          </cell>
          <cell r="AO23">
            <v>1.3999999999999999E-2</v>
          </cell>
          <cell r="AQ23">
            <v>2.5000000000000001E-2</v>
          </cell>
          <cell r="AS23">
            <v>3</v>
          </cell>
          <cell r="AT23">
            <v>3</v>
          </cell>
          <cell r="AU23">
            <v>9</v>
          </cell>
          <cell r="AV23">
            <v>1.1000000000000001</v>
          </cell>
          <cell r="AW23">
            <v>70</v>
          </cell>
        </row>
        <row r="24">
          <cell r="K24" t="str">
            <v>ExportMill WorkingCannon LandmarkUSABath76x137M</v>
          </cell>
          <cell r="M24">
            <v>280</v>
          </cell>
          <cell r="N24">
            <v>520</v>
          </cell>
          <cell r="O24">
            <v>0.88</v>
          </cell>
          <cell r="P24">
            <v>2718</v>
          </cell>
          <cell r="Q24">
            <v>19.839416058394161</v>
          </cell>
          <cell r="R24">
            <v>3</v>
          </cell>
          <cell r="S24">
            <v>582</v>
          </cell>
          <cell r="T24" t="str">
            <v>1/13  Comb</v>
          </cell>
          <cell r="U24">
            <v>186.39</v>
          </cell>
          <cell r="V24" t="str">
            <v>2/20  Comb</v>
          </cell>
          <cell r="W24">
            <v>242.31</v>
          </cell>
          <cell r="X24" t="str">
            <v>2/24  KC</v>
          </cell>
          <cell r="Y24">
            <v>89.85</v>
          </cell>
          <cell r="Z24" t="str">
            <v xml:space="preserve">1/11OE  </v>
          </cell>
          <cell r="AA24">
            <v>99.68</v>
          </cell>
          <cell r="AB24" t="str">
            <v>2/20  KC</v>
          </cell>
          <cell r="AC24">
            <v>38.619999999999997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656.85</v>
          </cell>
          <cell r="AI24">
            <v>607.58625000000006</v>
          </cell>
          <cell r="AJ24">
            <v>7.4999999999999997E-2</v>
          </cell>
          <cell r="AK24">
            <v>2.5000000000000001E-3</v>
          </cell>
          <cell r="AL24">
            <v>1.4999999999999999E-2</v>
          </cell>
          <cell r="AM24">
            <v>0</v>
          </cell>
          <cell r="AN24">
            <v>0.01</v>
          </cell>
          <cell r="AO24">
            <v>1.3999999999999999E-2</v>
          </cell>
          <cell r="AP24">
            <v>0</v>
          </cell>
          <cell r="AQ24">
            <v>2.5000000000000001E-2</v>
          </cell>
          <cell r="AR24">
            <v>0</v>
          </cell>
          <cell r="AS24">
            <v>3</v>
          </cell>
          <cell r="AT24">
            <v>3</v>
          </cell>
          <cell r="AU24">
            <v>9</v>
          </cell>
          <cell r="AV24">
            <v>1.1000000000000001</v>
          </cell>
          <cell r="AW24">
            <v>70</v>
          </cell>
        </row>
        <row r="25">
          <cell r="K25" t="str">
            <v>ExportMill WorkingCannon LandmarkUSABath76x137D</v>
          </cell>
          <cell r="M25">
            <v>280</v>
          </cell>
          <cell r="N25">
            <v>520</v>
          </cell>
          <cell r="O25">
            <v>0.88</v>
          </cell>
          <cell r="P25">
            <v>2718</v>
          </cell>
          <cell r="Q25">
            <v>19.839416058394161</v>
          </cell>
          <cell r="R25">
            <v>3</v>
          </cell>
          <cell r="S25">
            <v>582</v>
          </cell>
          <cell r="T25" t="str">
            <v>1/13  Comb</v>
          </cell>
          <cell r="U25">
            <v>186.39</v>
          </cell>
          <cell r="V25" t="str">
            <v>2/20  Comb</v>
          </cell>
          <cell r="W25">
            <v>242.31</v>
          </cell>
          <cell r="X25" t="str">
            <v>2/24  KC</v>
          </cell>
          <cell r="Y25">
            <v>89.85</v>
          </cell>
          <cell r="Z25" t="str">
            <v xml:space="preserve">1/11OE  </v>
          </cell>
          <cell r="AA25">
            <v>99.68</v>
          </cell>
          <cell r="AB25" t="str">
            <v>2/20  KC</v>
          </cell>
          <cell r="AC25">
            <v>38.619999999999997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656.85</v>
          </cell>
          <cell r="AI25">
            <v>607.58625000000006</v>
          </cell>
          <cell r="AJ25">
            <v>7.4999999999999997E-2</v>
          </cell>
          <cell r="AK25">
            <v>2.5000000000000001E-3</v>
          </cell>
          <cell r="AL25">
            <v>1.4999999999999999E-2</v>
          </cell>
          <cell r="AM25">
            <v>0</v>
          </cell>
          <cell r="AN25">
            <v>0.01</v>
          </cell>
          <cell r="AO25">
            <v>1.3999999999999999E-2</v>
          </cell>
          <cell r="AP25">
            <v>0</v>
          </cell>
          <cell r="AQ25">
            <v>2.5000000000000001E-2</v>
          </cell>
          <cell r="AR25">
            <v>0</v>
          </cell>
          <cell r="AS25">
            <v>3</v>
          </cell>
          <cell r="AT25">
            <v>3</v>
          </cell>
          <cell r="AU25">
            <v>9</v>
          </cell>
          <cell r="AV25">
            <v>1.1000000000000001</v>
          </cell>
          <cell r="AW25">
            <v>70</v>
          </cell>
        </row>
        <row r="26">
          <cell r="K26" t="str">
            <v>ExportMill WorkingCannon LandmarkUSAHand41x76L</v>
          </cell>
          <cell r="M26">
            <v>340</v>
          </cell>
          <cell r="N26">
            <v>450</v>
          </cell>
          <cell r="O26">
            <v>0.88</v>
          </cell>
          <cell r="P26">
            <v>1635</v>
          </cell>
          <cell r="Q26">
            <v>21.513157894736842</v>
          </cell>
          <cell r="R26">
            <v>6</v>
          </cell>
          <cell r="S26">
            <v>516</v>
          </cell>
          <cell r="T26" t="str">
            <v>1/13  Comb</v>
          </cell>
          <cell r="U26">
            <v>45.716999999999999</v>
          </cell>
          <cell r="V26" t="str">
            <v>2/20  Comb</v>
          </cell>
          <cell r="W26">
            <v>59.432000000000002</v>
          </cell>
          <cell r="X26" t="str">
            <v>2/24  KC</v>
          </cell>
          <cell r="Y26">
            <v>28.38</v>
          </cell>
          <cell r="Z26" t="str">
            <v xml:space="preserve">1/14OE  </v>
          </cell>
          <cell r="AA26">
            <v>23.428999999999998</v>
          </cell>
          <cell r="AB26" t="str">
            <v>2/20  KC</v>
          </cell>
          <cell r="AC26">
            <v>17.27</v>
          </cell>
          <cell r="AH26">
            <v>174.22800000000001</v>
          </cell>
          <cell r="AI26">
            <v>161.16090000000003</v>
          </cell>
          <cell r="AJ26">
            <v>7.4999999999999997E-2</v>
          </cell>
          <cell r="AK26">
            <v>2.5000000000000001E-3</v>
          </cell>
          <cell r="AL26">
            <v>1.4999999999999999E-2</v>
          </cell>
          <cell r="AM26">
            <v>0</v>
          </cell>
          <cell r="AN26">
            <v>0.01</v>
          </cell>
          <cell r="AO26">
            <v>1.3999999999999999E-2</v>
          </cell>
          <cell r="AQ26">
            <v>2.5000000000000001E-2</v>
          </cell>
          <cell r="AS26">
            <v>3</v>
          </cell>
          <cell r="AT26">
            <v>3</v>
          </cell>
          <cell r="AU26">
            <v>9</v>
          </cell>
          <cell r="AV26">
            <v>1.1000000000000001</v>
          </cell>
          <cell r="AW26">
            <v>70</v>
          </cell>
        </row>
        <row r="27">
          <cell r="K27" t="str">
            <v>ExportMill WorkingCannon LandmarkUSAHand41x76M</v>
          </cell>
          <cell r="M27">
            <v>340</v>
          </cell>
          <cell r="N27">
            <v>450</v>
          </cell>
          <cell r="O27">
            <v>0.88</v>
          </cell>
          <cell r="P27">
            <v>1635</v>
          </cell>
          <cell r="Q27">
            <v>21.513157894736842</v>
          </cell>
          <cell r="R27">
            <v>6</v>
          </cell>
          <cell r="S27">
            <v>516</v>
          </cell>
          <cell r="T27" t="str">
            <v>1/13  Comb</v>
          </cell>
          <cell r="U27">
            <v>45.716999999999999</v>
          </cell>
          <cell r="V27" t="str">
            <v>2/20  Comb</v>
          </cell>
          <cell r="W27">
            <v>59.432000000000002</v>
          </cell>
          <cell r="X27" t="str">
            <v>2/24  KC</v>
          </cell>
          <cell r="Y27">
            <v>28.38</v>
          </cell>
          <cell r="Z27" t="str">
            <v xml:space="preserve">1/14OE  </v>
          </cell>
          <cell r="AA27">
            <v>23.428999999999998</v>
          </cell>
          <cell r="AB27" t="str">
            <v>2/20  KC</v>
          </cell>
          <cell r="AC27">
            <v>17.27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174.22800000000001</v>
          </cell>
          <cell r="AI27">
            <v>161.16090000000003</v>
          </cell>
          <cell r="AJ27">
            <v>7.4999999999999997E-2</v>
          </cell>
          <cell r="AK27">
            <v>2.5000000000000001E-3</v>
          </cell>
          <cell r="AL27">
            <v>1.4999999999999999E-2</v>
          </cell>
          <cell r="AM27">
            <v>0</v>
          </cell>
          <cell r="AN27">
            <v>0.01</v>
          </cell>
          <cell r="AO27">
            <v>1.3999999999999999E-2</v>
          </cell>
          <cell r="AP27">
            <v>0</v>
          </cell>
          <cell r="AQ27">
            <v>2.5000000000000001E-2</v>
          </cell>
          <cell r="AR27">
            <v>0</v>
          </cell>
          <cell r="AS27">
            <v>3</v>
          </cell>
          <cell r="AT27">
            <v>3</v>
          </cell>
          <cell r="AU27">
            <v>9</v>
          </cell>
          <cell r="AV27">
            <v>1.1000000000000001</v>
          </cell>
          <cell r="AW27">
            <v>70</v>
          </cell>
        </row>
        <row r="28">
          <cell r="K28" t="str">
            <v>ExportMill WorkingCannon LandmarkUSAHand41x76D</v>
          </cell>
          <cell r="M28">
            <v>340</v>
          </cell>
          <cell r="N28">
            <v>450</v>
          </cell>
          <cell r="O28">
            <v>0.88</v>
          </cell>
          <cell r="P28">
            <v>1635</v>
          </cell>
          <cell r="Q28">
            <v>21.513157894736842</v>
          </cell>
          <cell r="R28">
            <v>6</v>
          </cell>
          <cell r="S28">
            <v>516</v>
          </cell>
          <cell r="T28" t="str">
            <v>1/13  Comb</v>
          </cell>
          <cell r="U28">
            <v>45.716999999999999</v>
          </cell>
          <cell r="V28" t="str">
            <v>2/20  Comb</v>
          </cell>
          <cell r="W28">
            <v>59.432000000000002</v>
          </cell>
          <cell r="X28" t="str">
            <v>2/24  KC</v>
          </cell>
          <cell r="Y28">
            <v>28.38</v>
          </cell>
          <cell r="Z28" t="str">
            <v xml:space="preserve">1/14OE  </v>
          </cell>
          <cell r="AA28">
            <v>23.428999999999998</v>
          </cell>
          <cell r="AB28" t="str">
            <v>2/20  KC</v>
          </cell>
          <cell r="AC28">
            <v>17.27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174.22800000000001</v>
          </cell>
          <cell r="AI28">
            <v>161.16090000000003</v>
          </cell>
          <cell r="AJ28">
            <v>7.4999999999999997E-2</v>
          </cell>
          <cell r="AK28">
            <v>2.5000000000000001E-3</v>
          </cell>
          <cell r="AL28">
            <v>1.4999999999999999E-2</v>
          </cell>
          <cell r="AM28">
            <v>0</v>
          </cell>
          <cell r="AN28">
            <v>0.01</v>
          </cell>
          <cell r="AO28">
            <v>1.3999999999999999E-2</v>
          </cell>
          <cell r="AP28">
            <v>0</v>
          </cell>
          <cell r="AQ28">
            <v>2.5000000000000001E-2</v>
          </cell>
          <cell r="AR28">
            <v>0</v>
          </cell>
          <cell r="AS28">
            <v>3</v>
          </cell>
          <cell r="AT28">
            <v>3</v>
          </cell>
          <cell r="AU28">
            <v>9</v>
          </cell>
          <cell r="AV28">
            <v>1.1000000000000001</v>
          </cell>
          <cell r="AW28">
            <v>70</v>
          </cell>
        </row>
        <row r="29">
          <cell r="K29" t="str">
            <v>ExportMill WorkingCannon LandmarkUSAWash33x33L</v>
          </cell>
          <cell r="M29">
            <v>340</v>
          </cell>
          <cell r="N29">
            <v>450</v>
          </cell>
          <cell r="O29">
            <v>0.88</v>
          </cell>
          <cell r="P29">
            <v>873</v>
          </cell>
          <cell r="Q29">
            <v>26.454545454545453</v>
          </cell>
          <cell r="R29">
            <v>7</v>
          </cell>
          <cell r="S29">
            <v>607</v>
          </cell>
          <cell r="T29" t="str">
            <v>1/13  Comb</v>
          </cell>
          <cell r="U29">
            <v>16.986000000000001</v>
          </cell>
          <cell r="V29" t="str">
            <v>2/20  Comb</v>
          </cell>
          <cell r="W29">
            <v>22.082000000000001</v>
          </cell>
          <cell r="X29" t="str">
            <v>2/24  KC</v>
          </cell>
          <cell r="Y29">
            <v>11.56</v>
          </cell>
          <cell r="Z29" t="str">
            <v xml:space="preserve">1/11.5OE VIS+COT  </v>
          </cell>
          <cell r="AA29">
            <v>12.162000000000001</v>
          </cell>
          <cell r="AB29" t="str">
            <v>2/20  KC</v>
          </cell>
          <cell r="AC29">
            <v>8.8680000000000003</v>
          </cell>
          <cell r="AH29">
            <v>71.658000000000001</v>
          </cell>
          <cell r="AI29">
            <v>66.283650000000009</v>
          </cell>
          <cell r="AJ29">
            <v>7.4999999999999997E-2</v>
          </cell>
          <cell r="AK29">
            <v>2.5000000000000001E-3</v>
          </cell>
          <cell r="AL29">
            <v>1.4999999999999999E-2</v>
          </cell>
          <cell r="AM29">
            <v>0</v>
          </cell>
          <cell r="AN29">
            <v>0.01</v>
          </cell>
          <cell r="AO29">
            <v>1.3999999999999999E-2</v>
          </cell>
          <cell r="AQ29">
            <v>2.5000000000000001E-2</v>
          </cell>
          <cell r="AS29">
            <v>3</v>
          </cell>
          <cell r="AT29">
            <v>3</v>
          </cell>
          <cell r="AU29">
            <v>9</v>
          </cell>
          <cell r="AV29">
            <v>1.1000000000000001</v>
          </cell>
          <cell r="AW29">
            <v>70</v>
          </cell>
        </row>
        <row r="30">
          <cell r="K30" t="str">
            <v>ExportMill WorkingCannon LandmarkUSAWash33x33M</v>
          </cell>
          <cell r="M30">
            <v>340</v>
          </cell>
          <cell r="N30">
            <v>450</v>
          </cell>
          <cell r="O30">
            <v>0.88</v>
          </cell>
          <cell r="P30">
            <v>873</v>
          </cell>
          <cell r="Q30">
            <v>26.454545454545453</v>
          </cell>
          <cell r="R30">
            <v>7</v>
          </cell>
          <cell r="S30">
            <v>607</v>
          </cell>
          <cell r="T30" t="str">
            <v>1/13  Comb</v>
          </cell>
          <cell r="U30">
            <v>16.986000000000001</v>
          </cell>
          <cell r="V30" t="str">
            <v>2/20  Comb</v>
          </cell>
          <cell r="W30">
            <v>22.082000000000001</v>
          </cell>
          <cell r="X30" t="str">
            <v>2/24  KC</v>
          </cell>
          <cell r="Y30">
            <v>11.56</v>
          </cell>
          <cell r="Z30" t="str">
            <v xml:space="preserve">1/11.5OE VIS+COT  </v>
          </cell>
          <cell r="AA30">
            <v>12.162000000000001</v>
          </cell>
          <cell r="AB30" t="str">
            <v>2/20  KC</v>
          </cell>
          <cell r="AC30">
            <v>8.8680000000000003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71.658000000000001</v>
          </cell>
          <cell r="AI30">
            <v>66.283650000000009</v>
          </cell>
          <cell r="AJ30">
            <v>7.4999999999999997E-2</v>
          </cell>
          <cell r="AK30">
            <v>2.5000000000000001E-3</v>
          </cell>
          <cell r="AL30">
            <v>1.4999999999999999E-2</v>
          </cell>
          <cell r="AM30">
            <v>0</v>
          </cell>
          <cell r="AN30">
            <v>0.01</v>
          </cell>
          <cell r="AO30">
            <v>1.3999999999999999E-2</v>
          </cell>
          <cell r="AP30">
            <v>0</v>
          </cell>
          <cell r="AQ30">
            <v>2.5000000000000001E-2</v>
          </cell>
          <cell r="AR30">
            <v>0</v>
          </cell>
          <cell r="AS30">
            <v>3</v>
          </cell>
          <cell r="AT30">
            <v>3</v>
          </cell>
          <cell r="AU30">
            <v>9</v>
          </cell>
          <cell r="AV30">
            <v>1.1000000000000001</v>
          </cell>
          <cell r="AW30">
            <v>70</v>
          </cell>
        </row>
        <row r="31">
          <cell r="K31" t="str">
            <v>ExportMill WorkingCannon LandmarkUSAWash33x33D</v>
          </cell>
          <cell r="M31">
            <v>340</v>
          </cell>
          <cell r="N31">
            <v>450</v>
          </cell>
          <cell r="O31">
            <v>0.88</v>
          </cell>
          <cell r="P31">
            <v>873</v>
          </cell>
          <cell r="Q31">
            <v>26.454545454545453</v>
          </cell>
          <cell r="R31">
            <v>7</v>
          </cell>
          <cell r="S31">
            <v>607</v>
          </cell>
          <cell r="T31" t="str">
            <v>1/13  Comb</v>
          </cell>
          <cell r="U31">
            <v>16.986000000000001</v>
          </cell>
          <cell r="V31" t="str">
            <v>2/20  Comb</v>
          </cell>
          <cell r="W31">
            <v>22.082000000000001</v>
          </cell>
          <cell r="X31" t="str">
            <v>2/24  KC</v>
          </cell>
          <cell r="Y31">
            <v>11.56</v>
          </cell>
          <cell r="Z31" t="str">
            <v xml:space="preserve">1/11.5OE VIS+COT  </v>
          </cell>
          <cell r="AA31">
            <v>12.162000000000001</v>
          </cell>
          <cell r="AB31" t="str">
            <v>2/20  KC</v>
          </cell>
          <cell r="AC31">
            <v>8.8680000000000003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71.658000000000001</v>
          </cell>
          <cell r="AI31">
            <v>66.283650000000009</v>
          </cell>
          <cell r="AJ31">
            <v>7.4999999999999997E-2</v>
          </cell>
          <cell r="AK31">
            <v>2.5000000000000001E-3</v>
          </cell>
          <cell r="AL31">
            <v>1.4999999999999999E-2</v>
          </cell>
          <cell r="AM31">
            <v>0</v>
          </cell>
          <cell r="AN31">
            <v>0.01</v>
          </cell>
          <cell r="AO31">
            <v>1.3999999999999999E-2</v>
          </cell>
          <cell r="AP31">
            <v>0</v>
          </cell>
          <cell r="AQ31">
            <v>2.5000000000000001E-2</v>
          </cell>
          <cell r="AR31">
            <v>0</v>
          </cell>
          <cell r="AS31">
            <v>3</v>
          </cell>
          <cell r="AT31">
            <v>3</v>
          </cell>
          <cell r="AU31">
            <v>9</v>
          </cell>
          <cell r="AV31">
            <v>1.1000000000000001</v>
          </cell>
          <cell r="AW31">
            <v>70</v>
          </cell>
        </row>
        <row r="32">
          <cell r="K32" t="str">
            <v>ExportMill WorkingCannon MilestoneUSABath76x137L</v>
          </cell>
          <cell r="M32">
            <v>280</v>
          </cell>
          <cell r="N32">
            <v>520</v>
          </cell>
          <cell r="O32">
            <v>0.88</v>
          </cell>
          <cell r="P32">
            <v>2652</v>
          </cell>
          <cell r="Q32">
            <v>19.357664233576642</v>
          </cell>
          <cell r="R32">
            <v>3</v>
          </cell>
          <cell r="S32">
            <v>528</v>
          </cell>
          <cell r="T32" t="str">
            <v>1/13  Comb</v>
          </cell>
          <cell r="U32">
            <v>415.87</v>
          </cell>
          <cell r="X32" t="str">
            <v>2/30  KC</v>
          </cell>
          <cell r="Y32">
            <v>71.28</v>
          </cell>
          <cell r="Z32" t="str">
            <v xml:space="preserve">1/16OE  </v>
          </cell>
          <cell r="AA32">
            <v>67.712000000000003</v>
          </cell>
          <cell r="AB32" t="str">
            <v>2/20  Gas Mer</v>
          </cell>
          <cell r="AC32">
            <v>36.33</v>
          </cell>
          <cell r="AH32">
            <v>591.19200000000001</v>
          </cell>
          <cell r="AI32">
            <v>549.80855999999994</v>
          </cell>
          <cell r="AJ32">
            <v>7.0000000000000007E-2</v>
          </cell>
          <cell r="AK32">
            <v>2.5000000000000001E-3</v>
          </cell>
          <cell r="AL32">
            <v>1.4999999999999999E-2</v>
          </cell>
          <cell r="AM32">
            <v>0</v>
          </cell>
          <cell r="AN32">
            <v>0.01</v>
          </cell>
          <cell r="AO32">
            <v>1.3999999999999999E-2</v>
          </cell>
          <cell r="AQ32">
            <v>2.5000000000000001E-2</v>
          </cell>
          <cell r="AS32">
            <v>3</v>
          </cell>
          <cell r="AT32">
            <v>3</v>
          </cell>
          <cell r="AU32">
            <v>9</v>
          </cell>
          <cell r="AV32">
            <v>1.1000000000000001</v>
          </cell>
          <cell r="AW32">
            <v>70</v>
          </cell>
        </row>
        <row r="33">
          <cell r="K33" t="str">
            <v>ExportMill WorkingCannon MilestoneUSABath76x137M</v>
          </cell>
          <cell r="M33">
            <v>280</v>
          </cell>
          <cell r="N33">
            <v>520</v>
          </cell>
          <cell r="O33">
            <v>0.88</v>
          </cell>
          <cell r="P33">
            <v>2652</v>
          </cell>
          <cell r="Q33">
            <v>19.357664233576642</v>
          </cell>
          <cell r="R33">
            <v>3</v>
          </cell>
          <cell r="S33">
            <v>528</v>
          </cell>
          <cell r="T33" t="str">
            <v>1/13  Comb</v>
          </cell>
          <cell r="U33">
            <v>415.87</v>
          </cell>
          <cell r="V33">
            <v>0</v>
          </cell>
          <cell r="W33">
            <v>0</v>
          </cell>
          <cell r="X33" t="str">
            <v>2/30  KC</v>
          </cell>
          <cell r="Y33">
            <v>71.28</v>
          </cell>
          <cell r="Z33" t="str">
            <v xml:space="preserve">1/16OE  </v>
          </cell>
          <cell r="AA33">
            <v>67.712000000000003</v>
          </cell>
          <cell r="AB33" t="str">
            <v>2/20  Gas Mer</v>
          </cell>
          <cell r="AC33">
            <v>36.33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591.19200000000001</v>
          </cell>
          <cell r="AI33">
            <v>549.80855999999994</v>
          </cell>
          <cell r="AJ33">
            <v>7.0000000000000007E-2</v>
          </cell>
          <cell r="AK33">
            <v>2.5000000000000001E-3</v>
          </cell>
          <cell r="AL33">
            <v>1.4999999999999999E-2</v>
          </cell>
          <cell r="AM33">
            <v>0</v>
          </cell>
          <cell r="AN33">
            <v>0.01</v>
          </cell>
          <cell r="AO33">
            <v>1.3999999999999999E-2</v>
          </cell>
          <cell r="AP33">
            <v>0</v>
          </cell>
          <cell r="AQ33">
            <v>2.5000000000000001E-2</v>
          </cell>
          <cell r="AR33">
            <v>0</v>
          </cell>
          <cell r="AS33">
            <v>3</v>
          </cell>
          <cell r="AT33">
            <v>3</v>
          </cell>
          <cell r="AU33">
            <v>9</v>
          </cell>
          <cell r="AV33">
            <v>1.1000000000000001</v>
          </cell>
          <cell r="AW33">
            <v>70</v>
          </cell>
        </row>
        <row r="34">
          <cell r="K34" t="str">
            <v>ExportMill WorkingCannon MilestoneUSABath76x137D</v>
          </cell>
          <cell r="M34">
            <v>280</v>
          </cell>
          <cell r="N34">
            <v>520</v>
          </cell>
          <cell r="O34">
            <v>0.88</v>
          </cell>
          <cell r="P34">
            <v>2652</v>
          </cell>
          <cell r="Q34">
            <v>19.357664233576642</v>
          </cell>
          <cell r="R34">
            <v>3</v>
          </cell>
          <cell r="S34">
            <v>528</v>
          </cell>
          <cell r="T34" t="str">
            <v>1/13  Comb</v>
          </cell>
          <cell r="U34">
            <v>415.87</v>
          </cell>
          <cell r="V34">
            <v>0</v>
          </cell>
          <cell r="W34">
            <v>0</v>
          </cell>
          <cell r="X34" t="str">
            <v>2/30  KC</v>
          </cell>
          <cell r="Y34">
            <v>71.28</v>
          </cell>
          <cell r="Z34" t="str">
            <v xml:space="preserve">1/16OE  </v>
          </cell>
          <cell r="AA34">
            <v>67.712000000000003</v>
          </cell>
          <cell r="AB34" t="str">
            <v>2/20  Gas Mer</v>
          </cell>
          <cell r="AC34">
            <v>36.33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591.19200000000001</v>
          </cell>
          <cell r="AI34">
            <v>549.80855999999994</v>
          </cell>
          <cell r="AJ34">
            <v>7.0000000000000007E-2</v>
          </cell>
          <cell r="AK34">
            <v>2.5000000000000001E-3</v>
          </cell>
          <cell r="AL34">
            <v>1.4999999999999999E-2</v>
          </cell>
          <cell r="AM34">
            <v>0</v>
          </cell>
          <cell r="AN34">
            <v>0.01</v>
          </cell>
          <cell r="AO34">
            <v>1.3999999999999999E-2</v>
          </cell>
          <cell r="AP34">
            <v>0</v>
          </cell>
          <cell r="AQ34">
            <v>2.5000000000000001E-2</v>
          </cell>
          <cell r="AR34">
            <v>0</v>
          </cell>
          <cell r="AS34">
            <v>3</v>
          </cell>
          <cell r="AT34">
            <v>3</v>
          </cell>
          <cell r="AU34">
            <v>9</v>
          </cell>
          <cell r="AV34">
            <v>1.1000000000000001</v>
          </cell>
          <cell r="AW34">
            <v>70</v>
          </cell>
        </row>
        <row r="35">
          <cell r="K35" t="str">
            <v>ExportMill WorkingCannon MilestoneUSAHand41x76L</v>
          </cell>
          <cell r="M35">
            <v>340</v>
          </cell>
          <cell r="N35">
            <v>450</v>
          </cell>
          <cell r="O35">
            <v>0.88</v>
          </cell>
          <cell r="P35">
            <v>1557</v>
          </cell>
          <cell r="Q35">
            <v>20.486842105263158</v>
          </cell>
          <cell r="R35">
            <v>6</v>
          </cell>
          <cell r="S35">
            <v>522</v>
          </cell>
          <cell r="T35" t="str">
            <v>1/13  Comb</v>
          </cell>
          <cell r="U35">
            <v>107.55</v>
          </cell>
          <cell r="X35" t="str">
            <v>2/30  KC</v>
          </cell>
          <cell r="Y35">
            <v>21.15</v>
          </cell>
          <cell r="Z35" t="str">
            <v xml:space="preserve">1/16OE  </v>
          </cell>
          <cell r="AA35">
            <v>21.649000000000001</v>
          </cell>
          <cell r="AB35" t="str">
            <v>2/20  Gas Mer</v>
          </cell>
          <cell r="AC35">
            <v>13.05</v>
          </cell>
          <cell r="AH35">
            <v>163.399</v>
          </cell>
          <cell r="AI35">
            <v>151.96106999999998</v>
          </cell>
          <cell r="AJ35">
            <v>7.0000000000000007E-2</v>
          </cell>
          <cell r="AK35">
            <v>2.5000000000000001E-3</v>
          </cell>
          <cell r="AL35">
            <v>1.4999999999999999E-2</v>
          </cell>
          <cell r="AM35">
            <v>0</v>
          </cell>
          <cell r="AN35">
            <v>0.01</v>
          </cell>
          <cell r="AO35">
            <v>1.3999999999999999E-2</v>
          </cell>
          <cell r="AQ35">
            <v>2.5000000000000001E-2</v>
          </cell>
          <cell r="AS35">
            <v>3</v>
          </cell>
          <cell r="AT35">
            <v>3</v>
          </cell>
          <cell r="AU35">
            <v>9</v>
          </cell>
          <cell r="AV35">
            <v>1.1000000000000001</v>
          </cell>
          <cell r="AW35">
            <v>70</v>
          </cell>
        </row>
        <row r="36">
          <cell r="K36" t="str">
            <v>ExportMill WorkingCannon MilestoneUSAHand41x76M</v>
          </cell>
          <cell r="M36">
            <v>340</v>
          </cell>
          <cell r="N36">
            <v>450</v>
          </cell>
          <cell r="O36">
            <v>0.88</v>
          </cell>
          <cell r="P36">
            <v>1557</v>
          </cell>
          <cell r="Q36">
            <v>20.486842105263158</v>
          </cell>
          <cell r="R36">
            <v>6</v>
          </cell>
          <cell r="S36">
            <v>522</v>
          </cell>
          <cell r="T36" t="str">
            <v>1/13  Comb</v>
          </cell>
          <cell r="U36">
            <v>107.55</v>
          </cell>
          <cell r="V36">
            <v>0</v>
          </cell>
          <cell r="W36">
            <v>0</v>
          </cell>
          <cell r="X36" t="str">
            <v>2/30  KC</v>
          </cell>
          <cell r="Y36">
            <v>21.15</v>
          </cell>
          <cell r="Z36" t="str">
            <v xml:space="preserve">1/16OE  </v>
          </cell>
          <cell r="AA36">
            <v>21.649000000000001</v>
          </cell>
          <cell r="AB36" t="str">
            <v>2/20  Gas Mer</v>
          </cell>
          <cell r="AC36">
            <v>13.05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163.399</v>
          </cell>
          <cell r="AI36">
            <v>151.96106999999998</v>
          </cell>
          <cell r="AJ36">
            <v>7.0000000000000007E-2</v>
          </cell>
          <cell r="AK36">
            <v>2.5000000000000001E-3</v>
          </cell>
          <cell r="AL36">
            <v>1.4999999999999999E-2</v>
          </cell>
          <cell r="AM36">
            <v>0</v>
          </cell>
          <cell r="AN36">
            <v>0.01</v>
          </cell>
          <cell r="AO36">
            <v>1.3999999999999999E-2</v>
          </cell>
          <cell r="AP36">
            <v>0</v>
          </cell>
          <cell r="AQ36">
            <v>2.5000000000000001E-2</v>
          </cell>
          <cell r="AR36">
            <v>0</v>
          </cell>
          <cell r="AS36">
            <v>3</v>
          </cell>
          <cell r="AT36">
            <v>3</v>
          </cell>
          <cell r="AU36">
            <v>9</v>
          </cell>
          <cell r="AV36">
            <v>1.1000000000000001</v>
          </cell>
          <cell r="AW36">
            <v>70</v>
          </cell>
        </row>
        <row r="37">
          <cell r="K37" t="str">
            <v>ExportMill WorkingCannon MilestoneUSAHand41x76D</v>
          </cell>
          <cell r="M37">
            <v>340</v>
          </cell>
          <cell r="N37">
            <v>450</v>
          </cell>
          <cell r="O37">
            <v>0.88</v>
          </cell>
          <cell r="P37">
            <v>1557</v>
          </cell>
          <cell r="Q37">
            <v>20.486842105263158</v>
          </cell>
          <cell r="R37">
            <v>6</v>
          </cell>
          <cell r="S37">
            <v>522</v>
          </cell>
          <cell r="T37" t="str">
            <v>1/13  Comb</v>
          </cell>
          <cell r="U37">
            <v>107.55</v>
          </cell>
          <cell r="V37">
            <v>0</v>
          </cell>
          <cell r="W37">
            <v>0</v>
          </cell>
          <cell r="X37" t="str">
            <v>2/30  KC</v>
          </cell>
          <cell r="Y37">
            <v>21.15</v>
          </cell>
          <cell r="Z37" t="str">
            <v xml:space="preserve">1/16OE  </v>
          </cell>
          <cell r="AA37">
            <v>21.649000000000001</v>
          </cell>
          <cell r="AB37" t="str">
            <v>2/20  Gas Mer</v>
          </cell>
          <cell r="AC37">
            <v>13.05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163.399</v>
          </cell>
          <cell r="AI37">
            <v>151.96106999999998</v>
          </cell>
          <cell r="AJ37">
            <v>7.0000000000000007E-2</v>
          </cell>
          <cell r="AK37">
            <v>2.5000000000000001E-3</v>
          </cell>
          <cell r="AL37">
            <v>1.4999999999999999E-2</v>
          </cell>
          <cell r="AM37">
            <v>0</v>
          </cell>
          <cell r="AN37">
            <v>0.01</v>
          </cell>
          <cell r="AO37">
            <v>1.3999999999999999E-2</v>
          </cell>
          <cell r="AP37">
            <v>0</v>
          </cell>
          <cell r="AQ37">
            <v>2.5000000000000001E-2</v>
          </cell>
          <cell r="AR37">
            <v>0</v>
          </cell>
          <cell r="AS37">
            <v>3</v>
          </cell>
          <cell r="AT37">
            <v>3</v>
          </cell>
          <cell r="AU37">
            <v>9</v>
          </cell>
          <cell r="AV37">
            <v>1.1000000000000001</v>
          </cell>
          <cell r="AW37">
            <v>70</v>
          </cell>
        </row>
        <row r="38">
          <cell r="K38" t="str">
            <v>ExportMill WorkingCannon MilestoneUSAWash33x33L</v>
          </cell>
          <cell r="M38">
            <v>340</v>
          </cell>
          <cell r="N38">
            <v>450</v>
          </cell>
          <cell r="O38">
            <v>0.88</v>
          </cell>
          <cell r="P38">
            <v>846</v>
          </cell>
          <cell r="Q38">
            <v>25.636363636363637</v>
          </cell>
          <cell r="R38">
            <v>7</v>
          </cell>
          <cell r="S38">
            <v>524</v>
          </cell>
          <cell r="T38" t="str">
            <v>1/13  Comb</v>
          </cell>
          <cell r="U38">
            <v>36.76</v>
          </cell>
          <cell r="X38" t="str">
            <v>2/30  KC</v>
          </cell>
          <cell r="Y38">
            <v>8.4499999999999993</v>
          </cell>
          <cell r="Z38" t="str">
            <v xml:space="preserve">1/16OE  </v>
          </cell>
          <cell r="AA38">
            <v>8.9339999999999993</v>
          </cell>
          <cell r="AB38" t="str">
            <v>2/20  Gas Mer</v>
          </cell>
          <cell r="AC38">
            <v>7.2619999999999996</v>
          </cell>
          <cell r="AH38">
            <v>61.405999999999992</v>
          </cell>
          <cell r="AI38">
            <v>57.107579999999992</v>
          </cell>
          <cell r="AJ38">
            <v>7.0000000000000007E-2</v>
          </cell>
          <cell r="AK38">
            <v>2.5000000000000001E-3</v>
          </cell>
          <cell r="AL38">
            <v>1.4999999999999999E-2</v>
          </cell>
          <cell r="AM38">
            <v>0</v>
          </cell>
          <cell r="AN38">
            <v>0.01</v>
          </cell>
          <cell r="AO38">
            <v>1.3999999999999999E-2</v>
          </cell>
          <cell r="AQ38">
            <v>2.5000000000000001E-2</v>
          </cell>
          <cell r="AS38">
            <v>3</v>
          </cell>
          <cell r="AT38">
            <v>3</v>
          </cell>
          <cell r="AU38">
            <v>9</v>
          </cell>
          <cell r="AV38">
            <v>1.1000000000000001</v>
          </cell>
          <cell r="AW38">
            <v>70</v>
          </cell>
        </row>
        <row r="39">
          <cell r="K39" t="str">
            <v>ExportMill WorkingCannon MilestoneUSAWash33x33M</v>
          </cell>
          <cell r="M39">
            <v>340</v>
          </cell>
          <cell r="N39">
            <v>450</v>
          </cell>
          <cell r="O39">
            <v>0.88</v>
          </cell>
          <cell r="P39">
            <v>846</v>
          </cell>
          <cell r="Q39">
            <v>25.636363636363637</v>
          </cell>
          <cell r="R39">
            <v>7</v>
          </cell>
          <cell r="S39">
            <v>524</v>
          </cell>
          <cell r="T39" t="str">
            <v>1/13  Comb</v>
          </cell>
          <cell r="U39">
            <v>36.76</v>
          </cell>
          <cell r="V39">
            <v>0</v>
          </cell>
          <cell r="W39">
            <v>0</v>
          </cell>
          <cell r="X39" t="str">
            <v>2/30  KC</v>
          </cell>
          <cell r="Y39">
            <v>8.4499999999999993</v>
          </cell>
          <cell r="Z39" t="str">
            <v xml:space="preserve">1/16OE  </v>
          </cell>
          <cell r="AA39">
            <v>8.9339999999999993</v>
          </cell>
          <cell r="AB39" t="str">
            <v>2/20  Gas Mer</v>
          </cell>
          <cell r="AC39">
            <v>7.2619999999999996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61.405999999999992</v>
          </cell>
          <cell r="AI39">
            <v>57.107579999999992</v>
          </cell>
          <cell r="AJ39">
            <v>7.0000000000000007E-2</v>
          </cell>
          <cell r="AK39">
            <v>2.5000000000000001E-3</v>
          </cell>
          <cell r="AL39">
            <v>1.4999999999999999E-2</v>
          </cell>
          <cell r="AM39">
            <v>0</v>
          </cell>
          <cell r="AN39">
            <v>0.01</v>
          </cell>
          <cell r="AO39">
            <v>1.3999999999999999E-2</v>
          </cell>
          <cell r="AP39">
            <v>0</v>
          </cell>
          <cell r="AQ39">
            <v>2.5000000000000001E-2</v>
          </cell>
          <cell r="AR39">
            <v>0</v>
          </cell>
          <cell r="AS39">
            <v>3</v>
          </cell>
          <cell r="AT39">
            <v>3</v>
          </cell>
          <cell r="AU39">
            <v>9</v>
          </cell>
          <cell r="AV39">
            <v>1.1000000000000001</v>
          </cell>
          <cell r="AW39">
            <v>70</v>
          </cell>
        </row>
        <row r="40">
          <cell r="K40" t="str">
            <v>ExportMill WorkingCannon MilestoneUSAWash33x33D</v>
          </cell>
          <cell r="M40">
            <v>340</v>
          </cell>
          <cell r="N40">
            <v>450</v>
          </cell>
          <cell r="O40">
            <v>0.88</v>
          </cell>
          <cell r="P40">
            <v>846</v>
          </cell>
          <cell r="Q40">
            <v>25.636363636363637</v>
          </cell>
          <cell r="R40">
            <v>7</v>
          </cell>
          <cell r="S40">
            <v>524</v>
          </cell>
          <cell r="T40" t="str">
            <v>1/13  Comb</v>
          </cell>
          <cell r="U40">
            <v>36.76</v>
          </cell>
          <cell r="V40">
            <v>0</v>
          </cell>
          <cell r="W40">
            <v>0</v>
          </cell>
          <cell r="X40" t="str">
            <v>2/30  KC</v>
          </cell>
          <cell r="Y40">
            <v>8.4499999999999993</v>
          </cell>
          <cell r="Z40" t="str">
            <v xml:space="preserve">1/16OE  </v>
          </cell>
          <cell r="AA40">
            <v>8.9339999999999993</v>
          </cell>
          <cell r="AB40" t="str">
            <v>2/20  Gas Mer</v>
          </cell>
          <cell r="AC40">
            <v>7.2619999999999996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61.405999999999992</v>
          </cell>
          <cell r="AI40">
            <v>57.107579999999992</v>
          </cell>
          <cell r="AJ40">
            <v>7.0000000000000007E-2</v>
          </cell>
          <cell r="AK40">
            <v>2.5000000000000001E-3</v>
          </cell>
          <cell r="AL40">
            <v>1.4999999999999999E-2</v>
          </cell>
          <cell r="AM40">
            <v>0</v>
          </cell>
          <cell r="AN40">
            <v>0.01</v>
          </cell>
          <cell r="AO40">
            <v>1.3999999999999999E-2</v>
          </cell>
          <cell r="AP40">
            <v>0</v>
          </cell>
          <cell r="AQ40">
            <v>2.5000000000000001E-2</v>
          </cell>
          <cell r="AR40">
            <v>0</v>
          </cell>
          <cell r="AS40">
            <v>3</v>
          </cell>
          <cell r="AT40">
            <v>3</v>
          </cell>
          <cell r="AU40">
            <v>9</v>
          </cell>
          <cell r="AV40">
            <v>1.1000000000000001</v>
          </cell>
          <cell r="AW40">
            <v>70</v>
          </cell>
        </row>
        <row r="41">
          <cell r="K41" t="str">
            <v>ExportWelspun USAEsplamaUSABath76x137L</v>
          </cell>
          <cell r="M41">
            <v>280</v>
          </cell>
          <cell r="N41">
            <v>520</v>
          </cell>
          <cell r="O41">
            <v>0.88</v>
          </cell>
          <cell r="P41">
            <v>2958</v>
          </cell>
          <cell r="Q41">
            <v>21.591240875912408</v>
          </cell>
          <cell r="R41">
            <v>3</v>
          </cell>
          <cell r="S41">
            <v>726</v>
          </cell>
          <cell r="T41" t="str">
            <v>2/20  Comb</v>
          </cell>
          <cell r="U41">
            <v>621.65</v>
          </cell>
          <cell r="X41" t="str">
            <v>2/30  KC</v>
          </cell>
          <cell r="Y41">
            <v>70.790000000000006</v>
          </cell>
          <cell r="Z41" t="str">
            <v xml:space="preserve">1/16OE  </v>
          </cell>
          <cell r="AA41">
            <v>82.85</v>
          </cell>
          <cell r="AB41" t="str">
            <v>2/20  Gas Mer</v>
          </cell>
          <cell r="AC41">
            <v>28.8</v>
          </cell>
          <cell r="AH41">
            <v>804.08999999999992</v>
          </cell>
          <cell r="AI41">
            <v>755.8445999999999</v>
          </cell>
          <cell r="AJ41">
            <v>0.06</v>
          </cell>
          <cell r="AK41">
            <v>2.5000000000000001E-3</v>
          </cell>
          <cell r="AL41">
            <v>1.4999999999999999E-2</v>
          </cell>
          <cell r="AM41">
            <v>0</v>
          </cell>
          <cell r="AN41">
            <v>0.01</v>
          </cell>
          <cell r="AO41">
            <v>0</v>
          </cell>
          <cell r="AQ41">
            <v>2.5000000000000001E-2</v>
          </cell>
          <cell r="AS41">
            <v>3</v>
          </cell>
          <cell r="AT41">
            <v>3</v>
          </cell>
          <cell r="AU41">
            <v>9</v>
          </cell>
          <cell r="AV41">
            <v>1.1000000000000001</v>
          </cell>
          <cell r="AW41">
            <v>70</v>
          </cell>
        </row>
        <row r="42">
          <cell r="K42" t="str">
            <v>ExportWelspun USAEsplamaUSABath76x137M</v>
          </cell>
          <cell r="M42">
            <v>280</v>
          </cell>
          <cell r="N42">
            <v>520</v>
          </cell>
          <cell r="O42">
            <v>0.88</v>
          </cell>
          <cell r="P42">
            <v>2958</v>
          </cell>
          <cell r="Q42">
            <v>21.591240875912408</v>
          </cell>
          <cell r="R42">
            <v>3</v>
          </cell>
          <cell r="S42">
            <v>726</v>
          </cell>
          <cell r="T42" t="str">
            <v>2/20  Comb</v>
          </cell>
          <cell r="U42">
            <v>621.65</v>
          </cell>
          <cell r="V42">
            <v>0</v>
          </cell>
          <cell r="W42">
            <v>0</v>
          </cell>
          <cell r="X42" t="str">
            <v>2/30  KC</v>
          </cell>
          <cell r="Y42">
            <v>70.790000000000006</v>
          </cell>
          <cell r="Z42" t="str">
            <v xml:space="preserve">1/16OE  </v>
          </cell>
          <cell r="AA42">
            <v>82.85</v>
          </cell>
          <cell r="AB42" t="str">
            <v>2/20  Gas Mer</v>
          </cell>
          <cell r="AC42">
            <v>28.8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804.08999999999992</v>
          </cell>
          <cell r="AI42">
            <v>755.8445999999999</v>
          </cell>
          <cell r="AJ42">
            <v>0.06</v>
          </cell>
          <cell r="AK42">
            <v>2.5000000000000001E-3</v>
          </cell>
          <cell r="AL42">
            <v>1.4999999999999999E-2</v>
          </cell>
          <cell r="AM42">
            <v>0</v>
          </cell>
          <cell r="AN42">
            <v>0.01</v>
          </cell>
          <cell r="AO42">
            <v>0</v>
          </cell>
          <cell r="AP42">
            <v>0</v>
          </cell>
          <cell r="AQ42">
            <v>2.5000000000000001E-2</v>
          </cell>
          <cell r="AR42">
            <v>0</v>
          </cell>
          <cell r="AS42">
            <v>3</v>
          </cell>
          <cell r="AT42">
            <v>3</v>
          </cell>
          <cell r="AU42">
            <v>9</v>
          </cell>
          <cell r="AV42">
            <v>1.1000000000000001</v>
          </cell>
          <cell r="AW42">
            <v>70</v>
          </cell>
        </row>
        <row r="43">
          <cell r="K43" t="str">
            <v>ExportWelspun USAEsplamaUSABath76x137D</v>
          </cell>
          <cell r="M43">
            <v>280</v>
          </cell>
          <cell r="N43">
            <v>520</v>
          </cell>
          <cell r="O43">
            <v>0.88</v>
          </cell>
          <cell r="P43">
            <v>2958</v>
          </cell>
          <cell r="Q43">
            <v>21.591240875912408</v>
          </cell>
          <cell r="R43">
            <v>3</v>
          </cell>
          <cell r="S43">
            <v>726</v>
          </cell>
          <cell r="T43" t="str">
            <v>2/20  Comb</v>
          </cell>
          <cell r="U43">
            <v>621.65</v>
          </cell>
          <cell r="V43">
            <v>0</v>
          </cell>
          <cell r="W43">
            <v>0</v>
          </cell>
          <cell r="X43" t="str">
            <v>2/30  KC</v>
          </cell>
          <cell r="Y43">
            <v>70.790000000000006</v>
          </cell>
          <cell r="Z43" t="str">
            <v xml:space="preserve">1/16OE  </v>
          </cell>
          <cell r="AA43">
            <v>82.85</v>
          </cell>
          <cell r="AB43" t="str">
            <v>2/20  Gas Mer</v>
          </cell>
          <cell r="AC43">
            <v>28.8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804.08999999999992</v>
          </cell>
          <cell r="AI43">
            <v>755.8445999999999</v>
          </cell>
          <cell r="AJ43">
            <v>0.06</v>
          </cell>
          <cell r="AK43">
            <v>2.5000000000000001E-3</v>
          </cell>
          <cell r="AL43">
            <v>1.4999999999999999E-2</v>
          </cell>
          <cell r="AM43">
            <v>0</v>
          </cell>
          <cell r="AN43">
            <v>0.01</v>
          </cell>
          <cell r="AO43">
            <v>0</v>
          </cell>
          <cell r="AP43">
            <v>0</v>
          </cell>
          <cell r="AQ43">
            <v>2.5000000000000001E-2</v>
          </cell>
          <cell r="AR43">
            <v>0</v>
          </cell>
          <cell r="AS43">
            <v>3</v>
          </cell>
          <cell r="AT43">
            <v>3</v>
          </cell>
          <cell r="AU43">
            <v>9</v>
          </cell>
          <cell r="AV43">
            <v>1.1000000000000001</v>
          </cell>
          <cell r="AW43">
            <v>70</v>
          </cell>
        </row>
        <row r="44">
          <cell r="K44" t="str">
            <v>ExportWelspun USAEsplamaUSAHand41x71L</v>
          </cell>
          <cell r="M44">
            <v>340</v>
          </cell>
          <cell r="N44">
            <v>450</v>
          </cell>
          <cell r="O44">
            <v>0.88</v>
          </cell>
          <cell r="P44">
            <v>1740</v>
          </cell>
          <cell r="Q44">
            <v>24.507042253521128</v>
          </cell>
          <cell r="R44">
            <v>6</v>
          </cell>
          <cell r="S44">
            <v>722</v>
          </cell>
          <cell r="T44" t="str">
            <v>2/20  Comb</v>
          </cell>
          <cell r="U44">
            <v>161.93</v>
          </cell>
          <cell r="X44" t="str">
            <v>2/30  KC</v>
          </cell>
          <cell r="Y44">
            <v>21.1</v>
          </cell>
          <cell r="Z44" t="str">
            <v xml:space="preserve">1/16OE  </v>
          </cell>
          <cell r="AA44">
            <v>25.036999999999999</v>
          </cell>
          <cell r="AB44" t="str">
            <v>2/20  Gas Mer</v>
          </cell>
          <cell r="AC44">
            <v>13.23</v>
          </cell>
          <cell r="AH44">
            <v>221.297</v>
          </cell>
          <cell r="AI44">
            <v>210.23214999999999</v>
          </cell>
          <cell r="AJ44">
            <v>0.05</v>
          </cell>
          <cell r="AK44">
            <v>2.5000000000000001E-3</v>
          </cell>
          <cell r="AL44">
            <v>1.4999999999999999E-2</v>
          </cell>
          <cell r="AM44">
            <v>0</v>
          </cell>
          <cell r="AN44">
            <v>0.01</v>
          </cell>
          <cell r="AO44">
            <v>0</v>
          </cell>
          <cell r="AQ44">
            <v>2.5000000000000001E-2</v>
          </cell>
          <cell r="AS44">
            <v>3</v>
          </cell>
          <cell r="AT44">
            <v>3</v>
          </cell>
          <cell r="AU44">
            <v>9</v>
          </cell>
          <cell r="AV44">
            <v>1.1000000000000001</v>
          </cell>
          <cell r="AW44">
            <v>70</v>
          </cell>
        </row>
        <row r="45">
          <cell r="K45" t="str">
            <v>ExportWelspun USAEsplamaUSAHand41x71M</v>
          </cell>
          <cell r="M45">
            <v>340</v>
          </cell>
          <cell r="N45">
            <v>450</v>
          </cell>
          <cell r="O45">
            <v>0.88</v>
          </cell>
          <cell r="P45">
            <v>1740</v>
          </cell>
          <cell r="Q45">
            <v>24.507042253521128</v>
          </cell>
          <cell r="R45">
            <v>6</v>
          </cell>
          <cell r="S45">
            <v>722</v>
          </cell>
          <cell r="T45" t="str">
            <v>2/20  Comb</v>
          </cell>
          <cell r="U45">
            <v>161.93</v>
          </cell>
          <cell r="V45">
            <v>0</v>
          </cell>
          <cell r="W45">
            <v>0</v>
          </cell>
          <cell r="X45" t="str">
            <v>2/30  KC</v>
          </cell>
          <cell r="Y45">
            <v>21.1</v>
          </cell>
          <cell r="Z45" t="str">
            <v xml:space="preserve">1/16OE  </v>
          </cell>
          <cell r="AA45">
            <v>25.036999999999999</v>
          </cell>
          <cell r="AB45" t="str">
            <v>2/20  Gas Mer</v>
          </cell>
          <cell r="AC45">
            <v>13.23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221.297</v>
          </cell>
          <cell r="AI45">
            <v>210.23214999999999</v>
          </cell>
          <cell r="AJ45">
            <v>0.05</v>
          </cell>
          <cell r="AK45">
            <v>2.5000000000000001E-3</v>
          </cell>
          <cell r="AL45">
            <v>1.4999999999999999E-2</v>
          </cell>
          <cell r="AM45">
            <v>0</v>
          </cell>
          <cell r="AN45">
            <v>0.01</v>
          </cell>
          <cell r="AO45">
            <v>0</v>
          </cell>
          <cell r="AP45">
            <v>0</v>
          </cell>
          <cell r="AQ45">
            <v>2.5000000000000001E-2</v>
          </cell>
          <cell r="AR45">
            <v>0</v>
          </cell>
          <cell r="AS45">
            <v>3</v>
          </cell>
          <cell r="AT45">
            <v>3</v>
          </cell>
          <cell r="AU45">
            <v>9</v>
          </cell>
          <cell r="AV45">
            <v>1.1000000000000001</v>
          </cell>
          <cell r="AW45">
            <v>70</v>
          </cell>
        </row>
        <row r="46">
          <cell r="K46" t="str">
            <v>ExportWelspun USAEsplamaUSAHand41x71D</v>
          </cell>
          <cell r="M46">
            <v>340</v>
          </cell>
          <cell r="N46">
            <v>450</v>
          </cell>
          <cell r="O46">
            <v>0.88</v>
          </cell>
          <cell r="P46">
            <v>1740</v>
          </cell>
          <cell r="Q46">
            <v>24.507042253521128</v>
          </cell>
          <cell r="R46">
            <v>6</v>
          </cell>
          <cell r="S46">
            <v>722</v>
          </cell>
          <cell r="T46" t="str">
            <v>2/20  Comb</v>
          </cell>
          <cell r="U46">
            <v>161.93</v>
          </cell>
          <cell r="V46">
            <v>0</v>
          </cell>
          <cell r="W46">
            <v>0</v>
          </cell>
          <cell r="X46" t="str">
            <v>2/30  KC</v>
          </cell>
          <cell r="Y46">
            <v>21.1</v>
          </cell>
          <cell r="Z46" t="str">
            <v xml:space="preserve">1/16OE  </v>
          </cell>
          <cell r="AA46">
            <v>25.036999999999999</v>
          </cell>
          <cell r="AB46" t="str">
            <v>2/20  Gas Mer</v>
          </cell>
          <cell r="AC46">
            <v>13.23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221.297</v>
          </cell>
          <cell r="AI46">
            <v>210.23214999999999</v>
          </cell>
          <cell r="AJ46">
            <v>0.05</v>
          </cell>
          <cell r="AK46">
            <v>2.5000000000000001E-3</v>
          </cell>
          <cell r="AL46">
            <v>1.4999999999999999E-2</v>
          </cell>
          <cell r="AM46">
            <v>0</v>
          </cell>
          <cell r="AN46">
            <v>0.01</v>
          </cell>
          <cell r="AO46">
            <v>0</v>
          </cell>
          <cell r="AP46">
            <v>0</v>
          </cell>
          <cell r="AQ46">
            <v>2.5000000000000001E-2</v>
          </cell>
          <cell r="AR46">
            <v>0</v>
          </cell>
          <cell r="AS46">
            <v>3</v>
          </cell>
          <cell r="AT46">
            <v>3</v>
          </cell>
          <cell r="AU46">
            <v>9</v>
          </cell>
          <cell r="AV46">
            <v>1.1000000000000001</v>
          </cell>
          <cell r="AW46">
            <v>70</v>
          </cell>
        </row>
        <row r="47">
          <cell r="K47" t="str">
            <v>ExportWelspun USAEsplamaUSAWash33x33L</v>
          </cell>
          <cell r="M47">
            <v>340</v>
          </cell>
          <cell r="N47">
            <v>450</v>
          </cell>
          <cell r="O47">
            <v>0.88</v>
          </cell>
          <cell r="P47">
            <v>948</v>
          </cell>
          <cell r="Q47">
            <v>28.727272727272727</v>
          </cell>
          <cell r="R47">
            <v>7</v>
          </cell>
          <cell r="S47">
            <v>698</v>
          </cell>
          <cell r="T47" t="str">
            <v>2/20  Comb</v>
          </cell>
          <cell r="U47">
            <v>52.43</v>
          </cell>
          <cell r="X47" t="str">
            <v>2/30  KC</v>
          </cell>
          <cell r="Y47">
            <v>8.92</v>
          </cell>
          <cell r="Z47" t="str">
            <v xml:space="preserve">1/16OE  </v>
          </cell>
          <cell r="AA47">
            <v>9.1739999999999995</v>
          </cell>
          <cell r="AB47" t="str">
            <v>2/20  Gas Mer</v>
          </cell>
          <cell r="AC47">
            <v>9.4789999999999992</v>
          </cell>
          <cell r="AH47">
            <v>80.003</v>
          </cell>
          <cell r="AI47">
            <v>76.002849999999995</v>
          </cell>
          <cell r="AJ47">
            <v>0.05</v>
          </cell>
          <cell r="AK47">
            <v>2.5000000000000001E-3</v>
          </cell>
          <cell r="AL47">
            <v>1.4999999999999999E-2</v>
          </cell>
          <cell r="AM47">
            <v>0</v>
          </cell>
          <cell r="AN47">
            <v>0.01</v>
          </cell>
          <cell r="AO47">
            <v>0</v>
          </cell>
          <cell r="AQ47">
            <v>2.5000000000000001E-2</v>
          </cell>
          <cell r="AS47">
            <v>3</v>
          </cell>
          <cell r="AT47">
            <v>3</v>
          </cell>
          <cell r="AU47">
            <v>9</v>
          </cell>
          <cell r="AV47">
            <v>1.1000000000000001</v>
          </cell>
          <cell r="AW47">
            <v>70</v>
          </cell>
        </row>
        <row r="48">
          <cell r="K48" t="str">
            <v>ExportWelspun USAEsplamaUSAWash33x33M</v>
          </cell>
          <cell r="M48">
            <v>340</v>
          </cell>
          <cell r="N48">
            <v>450</v>
          </cell>
          <cell r="O48">
            <v>0.88</v>
          </cell>
          <cell r="P48">
            <v>948</v>
          </cell>
          <cell r="Q48">
            <v>28.727272727272727</v>
          </cell>
          <cell r="R48">
            <v>7</v>
          </cell>
          <cell r="S48">
            <v>698</v>
          </cell>
          <cell r="T48" t="str">
            <v>2/20  Comb</v>
          </cell>
          <cell r="U48">
            <v>52.43</v>
          </cell>
          <cell r="V48">
            <v>0</v>
          </cell>
          <cell r="W48">
            <v>0</v>
          </cell>
          <cell r="X48" t="str">
            <v>2/30  KC</v>
          </cell>
          <cell r="Y48">
            <v>8.92</v>
          </cell>
          <cell r="Z48" t="str">
            <v xml:space="preserve">1/16OE  </v>
          </cell>
          <cell r="AA48">
            <v>9.1739999999999995</v>
          </cell>
          <cell r="AB48" t="str">
            <v>2/20  Gas Mer</v>
          </cell>
          <cell r="AC48">
            <v>9.4789999999999992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80.003</v>
          </cell>
          <cell r="AI48">
            <v>76.002849999999995</v>
          </cell>
          <cell r="AJ48">
            <v>0.05</v>
          </cell>
          <cell r="AK48">
            <v>2.5000000000000001E-3</v>
          </cell>
          <cell r="AL48">
            <v>1.4999999999999999E-2</v>
          </cell>
          <cell r="AM48">
            <v>0</v>
          </cell>
          <cell r="AN48">
            <v>0.01</v>
          </cell>
          <cell r="AO48">
            <v>0</v>
          </cell>
          <cell r="AP48">
            <v>0</v>
          </cell>
          <cell r="AQ48">
            <v>2.5000000000000001E-2</v>
          </cell>
          <cell r="AR48">
            <v>0</v>
          </cell>
          <cell r="AS48">
            <v>3</v>
          </cell>
          <cell r="AT48">
            <v>3</v>
          </cell>
          <cell r="AU48">
            <v>9</v>
          </cell>
          <cell r="AV48">
            <v>1.1000000000000001</v>
          </cell>
          <cell r="AW48">
            <v>70</v>
          </cell>
        </row>
        <row r="49">
          <cell r="K49" t="str">
            <v>ExportWelspun USAEsplamaUSAWash33x33D</v>
          </cell>
          <cell r="M49">
            <v>340</v>
          </cell>
          <cell r="N49">
            <v>450</v>
          </cell>
          <cell r="O49">
            <v>0.88</v>
          </cell>
          <cell r="P49">
            <v>948</v>
          </cell>
          <cell r="Q49">
            <v>28.727272727272727</v>
          </cell>
          <cell r="R49">
            <v>7</v>
          </cell>
          <cell r="S49">
            <v>698</v>
          </cell>
          <cell r="T49" t="str">
            <v>2/20  Comb</v>
          </cell>
          <cell r="U49">
            <v>52.43</v>
          </cell>
          <cell r="V49">
            <v>0</v>
          </cell>
          <cell r="W49">
            <v>0</v>
          </cell>
          <cell r="X49" t="str">
            <v>2/30  KC</v>
          </cell>
          <cell r="Y49">
            <v>8.92</v>
          </cell>
          <cell r="Z49" t="str">
            <v xml:space="preserve">1/16OE  </v>
          </cell>
          <cell r="AA49">
            <v>9.1739999999999995</v>
          </cell>
          <cell r="AB49" t="str">
            <v>2/20  Gas Mer</v>
          </cell>
          <cell r="AC49">
            <v>9.4789999999999992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80.003</v>
          </cell>
          <cell r="AI49">
            <v>76.002849999999995</v>
          </cell>
          <cell r="AJ49">
            <v>0.05</v>
          </cell>
          <cell r="AK49">
            <v>2.5000000000000001E-3</v>
          </cell>
          <cell r="AL49">
            <v>1.4999999999999999E-2</v>
          </cell>
          <cell r="AM49">
            <v>0</v>
          </cell>
          <cell r="AN49">
            <v>0.01</v>
          </cell>
          <cell r="AO49">
            <v>0</v>
          </cell>
          <cell r="AP49">
            <v>0</v>
          </cell>
          <cell r="AQ49">
            <v>2.5000000000000001E-2</v>
          </cell>
          <cell r="AR49">
            <v>0</v>
          </cell>
          <cell r="AS49">
            <v>3</v>
          </cell>
          <cell r="AT49">
            <v>3</v>
          </cell>
          <cell r="AU49">
            <v>9</v>
          </cell>
          <cell r="AV49">
            <v>1.1000000000000001</v>
          </cell>
          <cell r="AW49">
            <v>70</v>
          </cell>
        </row>
        <row r="50">
          <cell r="K50" t="str">
            <v>ExportLNTManorUSABath76x147L</v>
          </cell>
          <cell r="M50">
            <v>280</v>
          </cell>
          <cell r="N50">
            <v>520</v>
          </cell>
          <cell r="O50">
            <v>0.88</v>
          </cell>
          <cell r="P50">
            <v>2952</v>
          </cell>
          <cell r="Q50">
            <v>20.081632653061224</v>
          </cell>
          <cell r="R50">
            <v>3</v>
          </cell>
          <cell r="S50">
            <v>643</v>
          </cell>
          <cell r="T50" t="str">
            <v>1/13  Egy Comb</v>
          </cell>
          <cell r="U50">
            <v>501.9</v>
          </cell>
          <cell r="X50" t="str">
            <v>2/16  Egy Comb</v>
          </cell>
          <cell r="Y50">
            <v>142.19999999999999</v>
          </cell>
          <cell r="Z50" t="str">
            <v xml:space="preserve">1/14OE  </v>
          </cell>
          <cell r="AA50">
            <v>92.114000000000004</v>
          </cell>
          <cell r="AB50" t="str">
            <v>2/20  Gas Mer</v>
          </cell>
          <cell r="AC50">
            <v>32.08</v>
          </cell>
          <cell r="AH50">
            <v>768.29399999999998</v>
          </cell>
          <cell r="AI50">
            <v>718.35489000000007</v>
          </cell>
          <cell r="AJ50">
            <v>6.5000000000000002E-2</v>
          </cell>
          <cell r="AK50">
            <v>2.5000000000000001E-3</v>
          </cell>
          <cell r="AL50">
            <v>1.4999999999999999E-2</v>
          </cell>
          <cell r="AM50">
            <v>0</v>
          </cell>
          <cell r="AN50">
            <v>0.01</v>
          </cell>
          <cell r="AO50">
            <v>1.3999999999999999E-2</v>
          </cell>
          <cell r="AQ50">
            <v>2.5000000000000001E-2</v>
          </cell>
          <cell r="AS50">
            <v>3</v>
          </cell>
          <cell r="AT50">
            <v>3</v>
          </cell>
          <cell r="AU50">
            <v>9</v>
          </cell>
          <cell r="AV50">
            <v>1.1000000000000001</v>
          </cell>
          <cell r="AW50">
            <v>70</v>
          </cell>
        </row>
        <row r="51">
          <cell r="K51" t="str">
            <v>ExportLNTManorUSABath76x147M</v>
          </cell>
          <cell r="M51">
            <v>280</v>
          </cell>
          <cell r="N51">
            <v>520</v>
          </cell>
          <cell r="O51">
            <v>0.88</v>
          </cell>
          <cell r="P51">
            <v>2952</v>
          </cell>
          <cell r="Q51">
            <v>20.081632653061224</v>
          </cell>
          <cell r="R51">
            <v>3</v>
          </cell>
          <cell r="S51">
            <v>643</v>
          </cell>
          <cell r="T51" t="str">
            <v>1/13  Egy Comb</v>
          </cell>
          <cell r="U51">
            <v>501.9</v>
          </cell>
          <cell r="V51">
            <v>0</v>
          </cell>
          <cell r="W51">
            <v>0</v>
          </cell>
          <cell r="X51" t="str">
            <v>2/16  Egy Comb</v>
          </cell>
          <cell r="Y51">
            <v>142.19999999999999</v>
          </cell>
          <cell r="Z51" t="str">
            <v xml:space="preserve">1/14OE  </v>
          </cell>
          <cell r="AA51">
            <v>92.114000000000004</v>
          </cell>
          <cell r="AB51" t="str">
            <v>2/20  Gas Mer</v>
          </cell>
          <cell r="AC51">
            <v>32.08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768.29399999999998</v>
          </cell>
          <cell r="AI51">
            <v>718.35489000000007</v>
          </cell>
          <cell r="AJ51">
            <v>6.5000000000000002E-2</v>
          </cell>
          <cell r="AK51">
            <v>2.5000000000000001E-3</v>
          </cell>
          <cell r="AL51">
            <v>1.4999999999999999E-2</v>
          </cell>
          <cell r="AM51">
            <v>0</v>
          </cell>
          <cell r="AN51">
            <v>0.01</v>
          </cell>
          <cell r="AO51">
            <v>1.3999999999999999E-2</v>
          </cell>
          <cell r="AP51">
            <v>0</v>
          </cell>
          <cell r="AQ51">
            <v>2.5000000000000001E-2</v>
          </cell>
          <cell r="AR51">
            <v>0</v>
          </cell>
          <cell r="AS51">
            <v>3</v>
          </cell>
          <cell r="AT51">
            <v>3</v>
          </cell>
          <cell r="AU51">
            <v>9</v>
          </cell>
          <cell r="AV51">
            <v>1.1000000000000001</v>
          </cell>
          <cell r="AW51">
            <v>70</v>
          </cell>
        </row>
        <row r="52">
          <cell r="K52" t="str">
            <v>ExportLNTManorUSABath76x147D</v>
          </cell>
          <cell r="M52">
            <v>280</v>
          </cell>
          <cell r="N52">
            <v>520</v>
          </cell>
          <cell r="O52">
            <v>0.88</v>
          </cell>
          <cell r="P52">
            <v>2952</v>
          </cell>
          <cell r="Q52">
            <v>20.081632653061224</v>
          </cell>
          <cell r="R52">
            <v>3</v>
          </cell>
          <cell r="S52">
            <v>643</v>
          </cell>
          <cell r="T52" t="str">
            <v>1/13  Egy Comb</v>
          </cell>
          <cell r="U52">
            <v>501.9</v>
          </cell>
          <cell r="V52">
            <v>0</v>
          </cell>
          <cell r="W52">
            <v>0</v>
          </cell>
          <cell r="X52" t="str">
            <v>2/16  Egy Comb</v>
          </cell>
          <cell r="Y52">
            <v>142.19999999999999</v>
          </cell>
          <cell r="Z52" t="str">
            <v xml:space="preserve">1/14OE  </v>
          </cell>
          <cell r="AA52">
            <v>92.114000000000004</v>
          </cell>
          <cell r="AB52" t="str">
            <v>2/20  Gas Mer</v>
          </cell>
          <cell r="AC52">
            <v>32.08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768.29399999999998</v>
          </cell>
          <cell r="AI52">
            <v>718.35489000000007</v>
          </cell>
          <cell r="AJ52">
            <v>6.5000000000000002E-2</v>
          </cell>
          <cell r="AK52">
            <v>2.5000000000000001E-3</v>
          </cell>
          <cell r="AL52">
            <v>1.4999999999999999E-2</v>
          </cell>
          <cell r="AM52">
            <v>0</v>
          </cell>
          <cell r="AN52">
            <v>0.01</v>
          </cell>
          <cell r="AO52">
            <v>1.3999999999999999E-2</v>
          </cell>
          <cell r="AP52">
            <v>0</v>
          </cell>
          <cell r="AQ52">
            <v>2.5000000000000001E-2</v>
          </cell>
          <cell r="AR52">
            <v>0</v>
          </cell>
          <cell r="AS52">
            <v>3</v>
          </cell>
          <cell r="AT52">
            <v>3</v>
          </cell>
          <cell r="AU52">
            <v>9</v>
          </cell>
          <cell r="AV52">
            <v>1.1000000000000001</v>
          </cell>
          <cell r="AW52">
            <v>70</v>
          </cell>
        </row>
        <row r="53">
          <cell r="K53" t="str">
            <v>ExportLNTManorUSAHand51x76L</v>
          </cell>
          <cell r="M53">
            <v>340</v>
          </cell>
          <cell r="N53">
            <v>450</v>
          </cell>
          <cell r="O53">
            <v>0.88</v>
          </cell>
          <cell r="P53">
            <v>1764</v>
          </cell>
          <cell r="Q53">
            <v>23.210526315789473</v>
          </cell>
          <cell r="R53">
            <v>5</v>
          </cell>
          <cell r="S53">
            <v>634</v>
          </cell>
          <cell r="T53" t="str">
            <v>1/13  Egy Comb</v>
          </cell>
          <cell r="U53">
            <v>160.51</v>
          </cell>
          <cell r="X53" t="str">
            <v>2/16  Egy Comb</v>
          </cell>
          <cell r="Y53">
            <v>50.42</v>
          </cell>
          <cell r="Z53" t="str">
            <v xml:space="preserve">1/14OE  </v>
          </cell>
          <cell r="AA53">
            <v>36.08</v>
          </cell>
          <cell r="AB53" t="str">
            <v>2/20  Gas Mer</v>
          </cell>
          <cell r="AC53">
            <v>15.79</v>
          </cell>
          <cell r="AH53">
            <v>262.8</v>
          </cell>
          <cell r="AI53">
            <v>245.71800000000002</v>
          </cell>
          <cell r="AJ53">
            <v>6.5000000000000002E-2</v>
          </cell>
          <cell r="AK53">
            <v>2.5000000000000001E-3</v>
          </cell>
          <cell r="AL53">
            <v>1.4999999999999999E-2</v>
          </cell>
          <cell r="AM53">
            <v>0</v>
          </cell>
          <cell r="AN53">
            <v>0.01</v>
          </cell>
          <cell r="AO53">
            <v>1.3999999999999999E-2</v>
          </cell>
          <cell r="AQ53">
            <v>2.5000000000000001E-2</v>
          </cell>
          <cell r="AS53">
            <v>3</v>
          </cell>
          <cell r="AT53">
            <v>3</v>
          </cell>
          <cell r="AU53">
            <v>9</v>
          </cell>
          <cell r="AV53">
            <v>1.1000000000000001</v>
          </cell>
          <cell r="AW53">
            <v>70</v>
          </cell>
        </row>
        <row r="54">
          <cell r="K54" t="str">
            <v>ExportLNTManorUSAHand51x76M</v>
          </cell>
          <cell r="M54">
            <v>340</v>
          </cell>
          <cell r="N54">
            <v>450</v>
          </cell>
          <cell r="O54">
            <v>0.88</v>
          </cell>
          <cell r="P54">
            <v>1764</v>
          </cell>
          <cell r="Q54">
            <v>23.210526315789473</v>
          </cell>
          <cell r="R54">
            <v>5</v>
          </cell>
          <cell r="S54">
            <v>634</v>
          </cell>
          <cell r="T54" t="str">
            <v>1/13  Egy Comb</v>
          </cell>
          <cell r="U54">
            <v>160.51</v>
          </cell>
          <cell r="V54">
            <v>0</v>
          </cell>
          <cell r="W54">
            <v>0</v>
          </cell>
          <cell r="X54" t="str">
            <v>2/16  Egy Comb</v>
          </cell>
          <cell r="Y54">
            <v>50.42</v>
          </cell>
          <cell r="Z54" t="str">
            <v xml:space="preserve">1/14OE  </v>
          </cell>
          <cell r="AA54">
            <v>36.08</v>
          </cell>
          <cell r="AB54" t="str">
            <v>2/20  Gas Mer</v>
          </cell>
          <cell r="AC54">
            <v>15.79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262.8</v>
          </cell>
          <cell r="AI54">
            <v>245.71800000000002</v>
          </cell>
          <cell r="AJ54">
            <v>6.5000000000000002E-2</v>
          </cell>
          <cell r="AK54">
            <v>2.5000000000000001E-3</v>
          </cell>
          <cell r="AL54">
            <v>1.4999999999999999E-2</v>
          </cell>
          <cell r="AM54">
            <v>0</v>
          </cell>
          <cell r="AN54">
            <v>0.01</v>
          </cell>
          <cell r="AO54">
            <v>1.3999999999999999E-2</v>
          </cell>
          <cell r="AP54">
            <v>0</v>
          </cell>
          <cell r="AQ54">
            <v>2.5000000000000001E-2</v>
          </cell>
          <cell r="AR54">
            <v>0</v>
          </cell>
          <cell r="AS54">
            <v>3</v>
          </cell>
          <cell r="AT54">
            <v>3</v>
          </cell>
          <cell r="AU54">
            <v>9</v>
          </cell>
          <cell r="AV54">
            <v>1.1000000000000001</v>
          </cell>
          <cell r="AW54">
            <v>70</v>
          </cell>
        </row>
        <row r="55">
          <cell r="K55" t="str">
            <v>ExportLNTManorUSAHand51x76D</v>
          </cell>
          <cell r="M55">
            <v>340</v>
          </cell>
          <cell r="N55">
            <v>450</v>
          </cell>
          <cell r="O55">
            <v>0.88</v>
          </cell>
          <cell r="P55">
            <v>1764</v>
          </cell>
          <cell r="Q55">
            <v>23.210526315789473</v>
          </cell>
          <cell r="R55">
            <v>5</v>
          </cell>
          <cell r="S55">
            <v>634</v>
          </cell>
          <cell r="T55" t="str">
            <v>1/13  Egy Comb</v>
          </cell>
          <cell r="U55">
            <v>160.51</v>
          </cell>
          <cell r="V55">
            <v>0</v>
          </cell>
          <cell r="W55">
            <v>0</v>
          </cell>
          <cell r="X55" t="str">
            <v>2/16  Egy Comb</v>
          </cell>
          <cell r="Y55">
            <v>50.42</v>
          </cell>
          <cell r="Z55" t="str">
            <v xml:space="preserve">1/14OE  </v>
          </cell>
          <cell r="AA55">
            <v>36.08</v>
          </cell>
          <cell r="AB55" t="str">
            <v>2/20  Gas Mer</v>
          </cell>
          <cell r="AC55">
            <v>15.79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262.8</v>
          </cell>
          <cell r="AI55">
            <v>245.71800000000002</v>
          </cell>
          <cell r="AJ55">
            <v>6.5000000000000002E-2</v>
          </cell>
          <cell r="AK55">
            <v>2.5000000000000001E-3</v>
          </cell>
          <cell r="AL55">
            <v>1.4999999999999999E-2</v>
          </cell>
          <cell r="AM55">
            <v>0</v>
          </cell>
          <cell r="AN55">
            <v>0.01</v>
          </cell>
          <cell r="AO55">
            <v>1.3999999999999999E-2</v>
          </cell>
          <cell r="AP55">
            <v>0</v>
          </cell>
          <cell r="AQ55">
            <v>2.5000000000000001E-2</v>
          </cell>
          <cell r="AR55">
            <v>0</v>
          </cell>
          <cell r="AS55">
            <v>3</v>
          </cell>
          <cell r="AT55">
            <v>3</v>
          </cell>
          <cell r="AU55">
            <v>9</v>
          </cell>
          <cell r="AV55">
            <v>1.1000000000000001</v>
          </cell>
          <cell r="AW55">
            <v>70</v>
          </cell>
        </row>
        <row r="56">
          <cell r="K56" t="str">
            <v>ExportLNTManorUSAWash33x33L</v>
          </cell>
          <cell r="M56">
            <v>340</v>
          </cell>
          <cell r="N56">
            <v>450</v>
          </cell>
          <cell r="O56">
            <v>0.88</v>
          </cell>
          <cell r="P56">
            <v>690</v>
          </cell>
          <cell r="Q56">
            <v>20.90909090909091</v>
          </cell>
          <cell r="R56">
            <v>7</v>
          </cell>
          <cell r="S56">
            <v>555</v>
          </cell>
          <cell r="T56" t="str">
            <v>1/13  Egy Comb</v>
          </cell>
          <cell r="U56">
            <v>39.29</v>
          </cell>
          <cell r="X56" t="str">
            <v>2/16  Egy Comb</v>
          </cell>
          <cell r="Y56">
            <v>15.6</v>
          </cell>
          <cell r="Z56" t="str">
            <v xml:space="preserve">1/14OE  </v>
          </cell>
          <cell r="AA56">
            <v>10.439</v>
          </cell>
          <cell r="AB56" t="str">
            <v>2/20  Gas Mer</v>
          </cell>
          <cell r="AC56">
            <v>3.2650000000000001</v>
          </cell>
          <cell r="AH56">
            <v>68.594000000000008</v>
          </cell>
          <cell r="AI56">
            <v>60.36272000000001</v>
          </cell>
          <cell r="AJ56">
            <v>0.12</v>
          </cell>
          <cell r="AK56">
            <v>2.5000000000000001E-3</v>
          </cell>
          <cell r="AL56">
            <v>1.4999999999999999E-2</v>
          </cell>
          <cell r="AM56">
            <v>0</v>
          </cell>
          <cell r="AN56">
            <v>0.01</v>
          </cell>
          <cell r="AO56">
            <v>1.3999999999999999E-2</v>
          </cell>
          <cell r="AQ56">
            <v>2.5000000000000001E-2</v>
          </cell>
          <cell r="AS56">
            <v>3</v>
          </cell>
          <cell r="AT56">
            <v>3</v>
          </cell>
          <cell r="AU56">
            <v>9</v>
          </cell>
          <cell r="AV56">
            <v>1.1000000000000001</v>
          </cell>
          <cell r="AW56">
            <v>70</v>
          </cell>
        </row>
        <row r="57">
          <cell r="K57" t="str">
            <v>ExportLNTManorUSAWash33x33M</v>
          </cell>
          <cell r="M57">
            <v>340</v>
          </cell>
          <cell r="N57">
            <v>450</v>
          </cell>
          <cell r="O57">
            <v>0.88</v>
          </cell>
          <cell r="P57">
            <v>690</v>
          </cell>
          <cell r="Q57">
            <v>20.90909090909091</v>
          </cell>
          <cell r="R57">
            <v>7</v>
          </cell>
          <cell r="S57">
            <v>555</v>
          </cell>
          <cell r="T57" t="str">
            <v>1/13  Egy Comb</v>
          </cell>
          <cell r="U57">
            <v>39.29</v>
          </cell>
          <cell r="V57">
            <v>0</v>
          </cell>
          <cell r="W57">
            <v>0</v>
          </cell>
          <cell r="X57" t="str">
            <v>2/16  Egy Comb</v>
          </cell>
          <cell r="Y57">
            <v>15.6</v>
          </cell>
          <cell r="Z57" t="str">
            <v xml:space="preserve">1/14OE  </v>
          </cell>
          <cell r="AA57">
            <v>10.439</v>
          </cell>
          <cell r="AB57" t="str">
            <v>2/20  Gas Mer</v>
          </cell>
          <cell r="AC57">
            <v>3.2650000000000001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68.594000000000008</v>
          </cell>
          <cell r="AI57">
            <v>60.36272000000001</v>
          </cell>
          <cell r="AJ57">
            <v>0.12</v>
          </cell>
          <cell r="AK57">
            <v>2.5000000000000001E-3</v>
          </cell>
          <cell r="AL57">
            <v>1.4999999999999999E-2</v>
          </cell>
          <cell r="AM57">
            <v>0</v>
          </cell>
          <cell r="AN57">
            <v>0.01</v>
          </cell>
          <cell r="AO57">
            <v>1.3999999999999999E-2</v>
          </cell>
          <cell r="AP57">
            <v>0</v>
          </cell>
          <cell r="AQ57">
            <v>2.5000000000000001E-2</v>
          </cell>
          <cell r="AR57">
            <v>0</v>
          </cell>
          <cell r="AS57">
            <v>3</v>
          </cell>
          <cell r="AT57">
            <v>3</v>
          </cell>
          <cell r="AU57">
            <v>9</v>
          </cell>
          <cell r="AV57">
            <v>1.1000000000000001</v>
          </cell>
          <cell r="AW57">
            <v>70</v>
          </cell>
        </row>
        <row r="58">
          <cell r="K58" t="str">
            <v>ExportLNTManorUSAWash33x33D</v>
          </cell>
          <cell r="M58">
            <v>340</v>
          </cell>
          <cell r="N58">
            <v>450</v>
          </cell>
          <cell r="O58">
            <v>0.88</v>
          </cell>
          <cell r="P58">
            <v>690</v>
          </cell>
          <cell r="Q58">
            <v>20.90909090909091</v>
          </cell>
          <cell r="R58">
            <v>7</v>
          </cell>
          <cell r="S58">
            <v>555</v>
          </cell>
          <cell r="T58" t="str">
            <v>1/13  Egy Comb</v>
          </cell>
          <cell r="U58">
            <v>39.29</v>
          </cell>
          <cell r="V58">
            <v>0</v>
          </cell>
          <cell r="W58">
            <v>0</v>
          </cell>
          <cell r="X58" t="str">
            <v>2/16  Egy Comb</v>
          </cell>
          <cell r="Y58">
            <v>15.6</v>
          </cell>
          <cell r="Z58" t="str">
            <v xml:space="preserve">1/14OE  </v>
          </cell>
          <cell r="AA58">
            <v>10.439</v>
          </cell>
          <cell r="AB58" t="str">
            <v>2/20  Gas Mer</v>
          </cell>
          <cell r="AC58">
            <v>3.2650000000000001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68.594000000000008</v>
          </cell>
          <cell r="AI58">
            <v>60.36272000000001</v>
          </cell>
          <cell r="AJ58">
            <v>0.12</v>
          </cell>
          <cell r="AK58">
            <v>2.5000000000000001E-3</v>
          </cell>
          <cell r="AL58">
            <v>1.4999999999999999E-2</v>
          </cell>
          <cell r="AM58">
            <v>0</v>
          </cell>
          <cell r="AN58">
            <v>0.01</v>
          </cell>
          <cell r="AO58">
            <v>1.3999999999999999E-2</v>
          </cell>
          <cell r="AP58">
            <v>0</v>
          </cell>
          <cell r="AQ58">
            <v>2.5000000000000001E-2</v>
          </cell>
          <cell r="AR58">
            <v>0</v>
          </cell>
          <cell r="AS58">
            <v>3</v>
          </cell>
          <cell r="AT58">
            <v>3</v>
          </cell>
          <cell r="AU58">
            <v>9</v>
          </cell>
          <cell r="AV58">
            <v>1.1000000000000001</v>
          </cell>
          <cell r="AW58">
            <v>70</v>
          </cell>
        </row>
        <row r="59">
          <cell r="K59" t="str">
            <v>ExportLNTNewUSABath76x147L</v>
          </cell>
          <cell r="M59">
            <v>280</v>
          </cell>
          <cell r="N59">
            <v>520</v>
          </cell>
          <cell r="O59">
            <v>0.88</v>
          </cell>
          <cell r="P59">
            <v>2952</v>
          </cell>
          <cell r="Q59">
            <v>20.081632653061224</v>
          </cell>
          <cell r="R59">
            <v>3</v>
          </cell>
          <cell r="S59">
            <v>643</v>
          </cell>
          <cell r="T59" t="str">
            <v>1/13  Egy Comb</v>
          </cell>
          <cell r="U59">
            <v>501.9</v>
          </cell>
          <cell r="X59" t="str">
            <v>2/16  Egy Comb</v>
          </cell>
          <cell r="Y59">
            <v>142.19999999999999</v>
          </cell>
          <cell r="Z59" t="str">
            <v xml:space="preserve">1/14OE  </v>
          </cell>
          <cell r="AA59">
            <v>92.114000000000004</v>
          </cell>
          <cell r="AB59" t="str">
            <v>2/20  Gas Mer</v>
          </cell>
          <cell r="AC59">
            <v>32.08</v>
          </cell>
          <cell r="AH59">
            <v>768.29399999999998</v>
          </cell>
          <cell r="AI59">
            <v>718.35489000000007</v>
          </cell>
          <cell r="AJ59">
            <v>6.5000000000000002E-2</v>
          </cell>
          <cell r="AK59">
            <v>2.5000000000000001E-3</v>
          </cell>
          <cell r="AL59">
            <v>1.4999999999999999E-2</v>
          </cell>
          <cell r="AM59">
            <v>0</v>
          </cell>
          <cell r="AN59">
            <v>0.01</v>
          </cell>
          <cell r="AO59">
            <v>1.3999999999999999E-2</v>
          </cell>
          <cell r="AQ59">
            <v>2.5000000000000001E-2</v>
          </cell>
          <cell r="AS59">
            <v>3</v>
          </cell>
          <cell r="AT59">
            <v>3</v>
          </cell>
          <cell r="AU59">
            <v>9</v>
          </cell>
          <cell r="AV59">
            <v>1.1000000000000001</v>
          </cell>
          <cell r="AW59">
            <v>70</v>
          </cell>
        </row>
        <row r="60">
          <cell r="K60" t="str">
            <v>ExportLNTNewUSABath76x147M</v>
          </cell>
          <cell r="M60">
            <v>280</v>
          </cell>
          <cell r="N60">
            <v>520</v>
          </cell>
          <cell r="O60">
            <v>0.88</v>
          </cell>
          <cell r="P60">
            <v>2952</v>
          </cell>
          <cell r="Q60">
            <v>20.081632653061224</v>
          </cell>
          <cell r="R60">
            <v>3</v>
          </cell>
          <cell r="S60">
            <v>643</v>
          </cell>
          <cell r="T60" t="str">
            <v>1/13  Egy Comb</v>
          </cell>
          <cell r="U60">
            <v>501.9</v>
          </cell>
          <cell r="V60">
            <v>0</v>
          </cell>
          <cell r="W60">
            <v>0</v>
          </cell>
          <cell r="X60" t="str">
            <v>2/16  Egy Comb</v>
          </cell>
          <cell r="Y60">
            <v>142.19999999999999</v>
          </cell>
          <cell r="Z60" t="str">
            <v xml:space="preserve">1/14OE  </v>
          </cell>
          <cell r="AA60">
            <v>92.114000000000004</v>
          </cell>
          <cell r="AB60" t="str">
            <v>2/20  Gas Mer</v>
          </cell>
          <cell r="AC60">
            <v>32.08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768.29399999999998</v>
          </cell>
          <cell r="AI60">
            <v>718.35489000000007</v>
          </cell>
          <cell r="AJ60">
            <v>6.5000000000000002E-2</v>
          </cell>
          <cell r="AK60">
            <v>2.5000000000000001E-3</v>
          </cell>
          <cell r="AL60">
            <v>1.4999999999999999E-2</v>
          </cell>
          <cell r="AM60">
            <v>0</v>
          </cell>
          <cell r="AN60">
            <v>0.01</v>
          </cell>
          <cell r="AO60">
            <v>1.3999999999999999E-2</v>
          </cell>
          <cell r="AP60">
            <v>0</v>
          </cell>
          <cell r="AQ60">
            <v>2.5000000000000001E-2</v>
          </cell>
          <cell r="AR60">
            <v>0</v>
          </cell>
          <cell r="AS60">
            <v>3</v>
          </cell>
          <cell r="AT60">
            <v>3</v>
          </cell>
          <cell r="AU60">
            <v>9</v>
          </cell>
          <cell r="AV60">
            <v>1.1000000000000001</v>
          </cell>
          <cell r="AW60">
            <v>70</v>
          </cell>
        </row>
        <row r="61">
          <cell r="K61" t="str">
            <v>ExportLNTNewUSABath76x147D</v>
          </cell>
          <cell r="M61">
            <v>280</v>
          </cell>
          <cell r="N61">
            <v>520</v>
          </cell>
          <cell r="O61">
            <v>0.88</v>
          </cell>
          <cell r="P61">
            <v>2952</v>
          </cell>
          <cell r="Q61">
            <v>20.081632653061224</v>
          </cell>
          <cell r="R61">
            <v>3</v>
          </cell>
          <cell r="S61">
            <v>643</v>
          </cell>
          <cell r="T61" t="str">
            <v>1/13  Egy Comb</v>
          </cell>
          <cell r="U61">
            <v>501.9</v>
          </cell>
          <cell r="V61">
            <v>0</v>
          </cell>
          <cell r="W61">
            <v>0</v>
          </cell>
          <cell r="X61" t="str">
            <v>2/16  Egy Comb</v>
          </cell>
          <cell r="Y61">
            <v>142.19999999999999</v>
          </cell>
          <cell r="Z61" t="str">
            <v xml:space="preserve">1/14OE  </v>
          </cell>
          <cell r="AA61">
            <v>92.114000000000004</v>
          </cell>
          <cell r="AB61" t="str">
            <v>2/20  Gas Mer</v>
          </cell>
          <cell r="AC61">
            <v>32.08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768.29399999999998</v>
          </cell>
          <cell r="AI61">
            <v>718.35489000000007</v>
          </cell>
          <cell r="AJ61">
            <v>6.5000000000000002E-2</v>
          </cell>
          <cell r="AK61">
            <v>2.5000000000000001E-3</v>
          </cell>
          <cell r="AL61">
            <v>1.4999999999999999E-2</v>
          </cell>
          <cell r="AM61">
            <v>0</v>
          </cell>
          <cell r="AN61">
            <v>0.01</v>
          </cell>
          <cell r="AO61">
            <v>1.3999999999999999E-2</v>
          </cell>
          <cell r="AP61">
            <v>0</v>
          </cell>
          <cell r="AQ61">
            <v>2.5000000000000001E-2</v>
          </cell>
          <cell r="AR61">
            <v>0</v>
          </cell>
          <cell r="AS61">
            <v>3</v>
          </cell>
          <cell r="AT61">
            <v>3</v>
          </cell>
          <cell r="AU61">
            <v>9</v>
          </cell>
          <cell r="AV61">
            <v>1.1000000000000001</v>
          </cell>
          <cell r="AW61">
            <v>70</v>
          </cell>
        </row>
        <row r="62">
          <cell r="K62" t="str">
            <v>ExportLNTNewUSAHand51x76L</v>
          </cell>
          <cell r="M62">
            <v>340</v>
          </cell>
          <cell r="N62">
            <v>450</v>
          </cell>
          <cell r="O62">
            <v>0.88</v>
          </cell>
          <cell r="P62">
            <v>1764</v>
          </cell>
          <cell r="Q62">
            <v>23.210526315789473</v>
          </cell>
          <cell r="R62">
            <v>5</v>
          </cell>
          <cell r="S62">
            <v>634</v>
          </cell>
          <cell r="T62" t="str">
            <v>1/13  Egy Comb</v>
          </cell>
          <cell r="U62">
            <v>160.51</v>
          </cell>
          <cell r="X62" t="str">
            <v>2/16  Egy Comb</v>
          </cell>
          <cell r="Y62">
            <v>50.42</v>
          </cell>
          <cell r="Z62" t="str">
            <v xml:space="preserve">1/14OE  </v>
          </cell>
          <cell r="AA62">
            <v>36.08</v>
          </cell>
          <cell r="AB62" t="str">
            <v>2/20  Gas Mer</v>
          </cell>
          <cell r="AC62">
            <v>15.79</v>
          </cell>
          <cell r="AH62">
            <v>262.8</v>
          </cell>
          <cell r="AI62">
            <v>245.71800000000002</v>
          </cell>
          <cell r="AJ62">
            <v>6.5000000000000002E-2</v>
          </cell>
          <cell r="AK62">
            <v>2.5000000000000001E-3</v>
          </cell>
          <cell r="AL62">
            <v>1.4999999999999999E-2</v>
          </cell>
          <cell r="AM62">
            <v>0</v>
          </cell>
          <cell r="AN62">
            <v>0.01</v>
          </cell>
          <cell r="AO62">
            <v>1.3999999999999999E-2</v>
          </cell>
          <cell r="AQ62">
            <v>2.5000000000000001E-2</v>
          </cell>
          <cell r="AS62">
            <v>3</v>
          </cell>
          <cell r="AT62">
            <v>3</v>
          </cell>
          <cell r="AU62">
            <v>9</v>
          </cell>
          <cell r="AV62">
            <v>1.1000000000000001</v>
          </cell>
          <cell r="AW62">
            <v>70</v>
          </cell>
        </row>
        <row r="63">
          <cell r="K63" t="str">
            <v>ExportLNTNewUSAHand51x76M</v>
          </cell>
          <cell r="M63">
            <v>340</v>
          </cell>
          <cell r="N63">
            <v>450</v>
          </cell>
          <cell r="O63">
            <v>0.88</v>
          </cell>
          <cell r="P63">
            <v>1764</v>
          </cell>
          <cell r="Q63">
            <v>23.210526315789473</v>
          </cell>
          <cell r="R63">
            <v>5</v>
          </cell>
          <cell r="S63">
            <v>634</v>
          </cell>
          <cell r="T63" t="str">
            <v>1/13  Egy Comb</v>
          </cell>
          <cell r="U63">
            <v>160.51</v>
          </cell>
          <cell r="V63">
            <v>0</v>
          </cell>
          <cell r="W63">
            <v>0</v>
          </cell>
          <cell r="X63" t="str">
            <v>2/16  Egy Comb</v>
          </cell>
          <cell r="Y63">
            <v>50.42</v>
          </cell>
          <cell r="Z63" t="str">
            <v xml:space="preserve">1/14OE  </v>
          </cell>
          <cell r="AA63">
            <v>36.08</v>
          </cell>
          <cell r="AB63" t="str">
            <v>2/20  Gas Mer</v>
          </cell>
          <cell r="AC63">
            <v>15.79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262.8</v>
          </cell>
          <cell r="AI63">
            <v>245.71800000000002</v>
          </cell>
          <cell r="AJ63">
            <v>6.5000000000000002E-2</v>
          </cell>
          <cell r="AK63">
            <v>2.5000000000000001E-3</v>
          </cell>
          <cell r="AL63">
            <v>1.4999999999999999E-2</v>
          </cell>
          <cell r="AM63">
            <v>0</v>
          </cell>
          <cell r="AN63">
            <v>0.01</v>
          </cell>
          <cell r="AO63">
            <v>1.3999999999999999E-2</v>
          </cell>
          <cell r="AP63">
            <v>0</v>
          </cell>
          <cell r="AQ63">
            <v>2.5000000000000001E-2</v>
          </cell>
          <cell r="AR63">
            <v>0</v>
          </cell>
          <cell r="AS63">
            <v>3</v>
          </cell>
          <cell r="AT63">
            <v>3</v>
          </cell>
          <cell r="AU63">
            <v>9</v>
          </cell>
          <cell r="AV63">
            <v>1.1000000000000001</v>
          </cell>
          <cell r="AW63">
            <v>70</v>
          </cell>
        </row>
        <row r="64">
          <cell r="K64" t="str">
            <v>ExportLNTNewUSAHand51x76D</v>
          </cell>
          <cell r="M64">
            <v>340</v>
          </cell>
          <cell r="N64">
            <v>450</v>
          </cell>
          <cell r="O64">
            <v>0.88</v>
          </cell>
          <cell r="P64">
            <v>1764</v>
          </cell>
          <cell r="Q64">
            <v>23.210526315789473</v>
          </cell>
          <cell r="R64">
            <v>5</v>
          </cell>
          <cell r="S64">
            <v>634</v>
          </cell>
          <cell r="T64" t="str">
            <v>1/13  Egy Comb</v>
          </cell>
          <cell r="U64">
            <v>160.51</v>
          </cell>
          <cell r="V64">
            <v>0</v>
          </cell>
          <cell r="W64">
            <v>0</v>
          </cell>
          <cell r="X64" t="str">
            <v>2/16  Egy Comb</v>
          </cell>
          <cell r="Y64">
            <v>50.42</v>
          </cell>
          <cell r="Z64" t="str">
            <v xml:space="preserve">1/14OE  </v>
          </cell>
          <cell r="AA64">
            <v>36.08</v>
          </cell>
          <cell r="AB64" t="str">
            <v>2/20  Gas Mer</v>
          </cell>
          <cell r="AC64">
            <v>15.79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262.8</v>
          </cell>
          <cell r="AI64">
            <v>245.71800000000002</v>
          </cell>
          <cell r="AJ64">
            <v>6.5000000000000002E-2</v>
          </cell>
          <cell r="AK64">
            <v>2.5000000000000001E-3</v>
          </cell>
          <cell r="AL64">
            <v>1.4999999999999999E-2</v>
          </cell>
          <cell r="AM64">
            <v>0</v>
          </cell>
          <cell r="AN64">
            <v>0.01</v>
          </cell>
          <cell r="AO64">
            <v>1.3999999999999999E-2</v>
          </cell>
          <cell r="AP64">
            <v>0</v>
          </cell>
          <cell r="AQ64">
            <v>2.5000000000000001E-2</v>
          </cell>
          <cell r="AR64">
            <v>0</v>
          </cell>
          <cell r="AS64">
            <v>3</v>
          </cell>
          <cell r="AT64">
            <v>3</v>
          </cell>
          <cell r="AU64">
            <v>9</v>
          </cell>
          <cell r="AV64">
            <v>1.1000000000000001</v>
          </cell>
          <cell r="AW64">
            <v>70</v>
          </cell>
        </row>
        <row r="65">
          <cell r="K65" t="str">
            <v>ExportLNTNewUSAWash33x33L</v>
          </cell>
          <cell r="M65">
            <v>340</v>
          </cell>
          <cell r="N65">
            <v>450</v>
          </cell>
          <cell r="O65">
            <v>0.88</v>
          </cell>
          <cell r="P65">
            <v>690</v>
          </cell>
          <cell r="Q65">
            <v>20.90909090909091</v>
          </cell>
          <cell r="R65">
            <v>7</v>
          </cell>
          <cell r="S65">
            <v>555</v>
          </cell>
          <cell r="T65" t="str">
            <v>1/13  Egy Comb</v>
          </cell>
          <cell r="U65">
            <v>39.29</v>
          </cell>
          <cell r="X65" t="str">
            <v>2/16  Egy Comb</v>
          </cell>
          <cell r="Y65">
            <v>15.6</v>
          </cell>
          <cell r="Z65" t="str">
            <v xml:space="preserve">1/14OE  </v>
          </cell>
          <cell r="AA65">
            <v>10.439</v>
          </cell>
          <cell r="AB65" t="str">
            <v>2/20  Gas Mer</v>
          </cell>
          <cell r="AC65">
            <v>3.2650000000000001</v>
          </cell>
          <cell r="AH65">
            <v>68.594000000000008</v>
          </cell>
          <cell r="AI65">
            <v>60.36272000000001</v>
          </cell>
          <cell r="AJ65">
            <v>0.12</v>
          </cell>
          <cell r="AK65">
            <v>2.5000000000000001E-3</v>
          </cell>
          <cell r="AL65">
            <v>1.4999999999999999E-2</v>
          </cell>
          <cell r="AM65">
            <v>0</v>
          </cell>
          <cell r="AN65">
            <v>0.01</v>
          </cell>
          <cell r="AO65">
            <v>1.3999999999999999E-2</v>
          </cell>
          <cell r="AQ65">
            <v>2.5000000000000001E-2</v>
          </cell>
          <cell r="AS65">
            <v>3</v>
          </cell>
          <cell r="AT65">
            <v>3</v>
          </cell>
          <cell r="AU65">
            <v>9</v>
          </cell>
          <cell r="AV65">
            <v>1.1000000000000001</v>
          </cell>
          <cell r="AW65">
            <v>70</v>
          </cell>
        </row>
        <row r="66">
          <cell r="K66" t="str">
            <v>ExportLNTNewUSAWash33x33M</v>
          </cell>
          <cell r="M66">
            <v>340</v>
          </cell>
          <cell r="N66">
            <v>450</v>
          </cell>
          <cell r="O66">
            <v>0.88</v>
          </cell>
          <cell r="P66">
            <v>690</v>
          </cell>
          <cell r="Q66">
            <v>20.90909090909091</v>
          </cell>
          <cell r="R66">
            <v>7</v>
          </cell>
          <cell r="S66">
            <v>555</v>
          </cell>
          <cell r="T66" t="str">
            <v>1/13  Egy Comb</v>
          </cell>
          <cell r="U66">
            <v>39.29</v>
          </cell>
          <cell r="V66">
            <v>0</v>
          </cell>
          <cell r="W66">
            <v>0</v>
          </cell>
          <cell r="X66" t="str">
            <v>2/16  Egy Comb</v>
          </cell>
          <cell r="Y66">
            <v>15.6</v>
          </cell>
          <cell r="Z66" t="str">
            <v xml:space="preserve">1/14OE  </v>
          </cell>
          <cell r="AA66">
            <v>10.439</v>
          </cell>
          <cell r="AB66" t="str">
            <v>2/20  Gas Mer</v>
          </cell>
          <cell r="AC66">
            <v>3.2650000000000001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68.594000000000008</v>
          </cell>
          <cell r="AI66">
            <v>60.36272000000001</v>
          </cell>
          <cell r="AJ66">
            <v>0.12</v>
          </cell>
          <cell r="AK66">
            <v>2.5000000000000001E-3</v>
          </cell>
          <cell r="AL66">
            <v>1.4999999999999999E-2</v>
          </cell>
          <cell r="AM66">
            <v>0</v>
          </cell>
          <cell r="AN66">
            <v>0.01</v>
          </cell>
          <cell r="AO66">
            <v>1.3999999999999999E-2</v>
          </cell>
          <cell r="AP66">
            <v>0</v>
          </cell>
          <cell r="AQ66">
            <v>2.5000000000000001E-2</v>
          </cell>
          <cell r="AR66">
            <v>0</v>
          </cell>
          <cell r="AS66">
            <v>3</v>
          </cell>
          <cell r="AT66">
            <v>3</v>
          </cell>
          <cell r="AU66">
            <v>9</v>
          </cell>
          <cell r="AV66">
            <v>1.1000000000000001</v>
          </cell>
          <cell r="AW66">
            <v>70</v>
          </cell>
        </row>
        <row r="67">
          <cell r="K67" t="str">
            <v>ExportLNTNewUSAWash33x33D</v>
          </cell>
          <cell r="M67">
            <v>340</v>
          </cell>
          <cell r="N67">
            <v>450</v>
          </cell>
          <cell r="O67">
            <v>0.88</v>
          </cell>
          <cell r="P67">
            <v>690</v>
          </cell>
          <cell r="Q67">
            <v>20.90909090909091</v>
          </cell>
          <cell r="R67">
            <v>7</v>
          </cell>
          <cell r="S67">
            <v>555</v>
          </cell>
          <cell r="T67" t="str">
            <v>1/13  Egy Comb</v>
          </cell>
          <cell r="U67">
            <v>39.29</v>
          </cell>
          <cell r="V67">
            <v>0</v>
          </cell>
          <cell r="W67">
            <v>0</v>
          </cell>
          <cell r="X67" t="str">
            <v>2/16  Egy Comb</v>
          </cell>
          <cell r="Y67">
            <v>15.6</v>
          </cell>
          <cell r="Z67" t="str">
            <v xml:space="preserve">1/14OE  </v>
          </cell>
          <cell r="AA67">
            <v>10.439</v>
          </cell>
          <cell r="AB67" t="str">
            <v>2/20  Gas Mer</v>
          </cell>
          <cell r="AC67">
            <v>3.2650000000000001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68.594000000000008</v>
          </cell>
          <cell r="AI67">
            <v>60.36272000000001</v>
          </cell>
          <cell r="AJ67">
            <v>0.12</v>
          </cell>
          <cell r="AK67">
            <v>2.5000000000000001E-3</v>
          </cell>
          <cell r="AL67">
            <v>1.4999999999999999E-2</v>
          </cell>
          <cell r="AM67">
            <v>0</v>
          </cell>
          <cell r="AN67">
            <v>0.01</v>
          </cell>
          <cell r="AO67">
            <v>1.3999999999999999E-2</v>
          </cell>
          <cell r="AP67">
            <v>0</v>
          </cell>
          <cell r="AQ67">
            <v>2.5000000000000001E-2</v>
          </cell>
          <cell r="AR67">
            <v>0</v>
          </cell>
          <cell r="AS67">
            <v>3</v>
          </cell>
          <cell r="AT67">
            <v>3</v>
          </cell>
          <cell r="AU67">
            <v>9</v>
          </cell>
          <cell r="AV67">
            <v>1.1000000000000001</v>
          </cell>
          <cell r="AW67">
            <v>70</v>
          </cell>
        </row>
        <row r="68">
          <cell r="K68" t="str">
            <v>ExportKohlsBig One StripeUSABath76x137L</v>
          </cell>
          <cell r="M68">
            <v>280</v>
          </cell>
          <cell r="N68">
            <v>520</v>
          </cell>
          <cell r="O68">
            <v>0.88</v>
          </cell>
          <cell r="P68">
            <v>2700</v>
          </cell>
          <cell r="Q68">
            <v>19.708029197080293</v>
          </cell>
          <cell r="R68">
            <v>3</v>
          </cell>
          <cell r="S68">
            <v>526</v>
          </cell>
          <cell r="T68" t="str">
            <v>2/24  DyedPattern</v>
          </cell>
          <cell r="U68">
            <v>371.42</v>
          </cell>
          <cell r="X68" t="str">
            <v>2/24  DyedPattern</v>
          </cell>
          <cell r="Y68">
            <v>90.53</v>
          </cell>
          <cell r="Z68" t="str">
            <v>1/16  CombDyed</v>
          </cell>
          <cell r="AA68">
            <v>74.27</v>
          </cell>
          <cell r="AB68" t="str">
            <v>2/24  KC</v>
          </cell>
          <cell r="AC68">
            <v>22.72</v>
          </cell>
          <cell r="AH68">
            <v>558.94000000000005</v>
          </cell>
          <cell r="AI68">
            <v>547.76120000000003</v>
          </cell>
          <cell r="AJ68">
            <v>0.02</v>
          </cell>
          <cell r="AK68">
            <v>2.5000000000000001E-3</v>
          </cell>
          <cell r="AL68">
            <v>1.4999999999999999E-2</v>
          </cell>
          <cell r="AM68">
            <v>0</v>
          </cell>
          <cell r="AN68">
            <v>0.01</v>
          </cell>
          <cell r="AO68">
            <v>0</v>
          </cell>
          <cell r="AQ68">
            <v>2.5000000000000001E-2</v>
          </cell>
          <cell r="AS68">
            <v>3</v>
          </cell>
          <cell r="AT68">
            <v>3</v>
          </cell>
          <cell r="AU68">
            <v>9</v>
          </cell>
          <cell r="AV68">
            <v>1.1000000000000001</v>
          </cell>
          <cell r="AW68">
            <v>70</v>
          </cell>
        </row>
        <row r="69">
          <cell r="K69" t="str">
            <v>ExportKohlsBig One StripeUSABath76x137M</v>
          </cell>
          <cell r="M69">
            <v>280</v>
          </cell>
          <cell r="N69">
            <v>520</v>
          </cell>
          <cell r="O69">
            <v>0.88</v>
          </cell>
          <cell r="P69">
            <v>2700</v>
          </cell>
          <cell r="Q69">
            <v>19.708029197080293</v>
          </cell>
          <cell r="R69">
            <v>3</v>
          </cell>
          <cell r="S69">
            <v>526</v>
          </cell>
          <cell r="T69" t="str">
            <v>2/24  DyedPattern</v>
          </cell>
          <cell r="U69">
            <v>371.42</v>
          </cell>
          <cell r="V69">
            <v>0</v>
          </cell>
          <cell r="W69">
            <v>0</v>
          </cell>
          <cell r="X69" t="str">
            <v>2/24  DyedPattern</v>
          </cell>
          <cell r="Y69">
            <v>90.53</v>
          </cell>
          <cell r="Z69" t="str">
            <v>1/16  CombDyed</v>
          </cell>
          <cell r="AA69">
            <v>74.27</v>
          </cell>
          <cell r="AB69" t="str">
            <v>2/24  KC</v>
          </cell>
          <cell r="AC69">
            <v>22.72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558.94000000000005</v>
          </cell>
          <cell r="AI69">
            <v>547.76120000000003</v>
          </cell>
          <cell r="AJ69">
            <v>0.02</v>
          </cell>
          <cell r="AK69">
            <v>2.5000000000000001E-3</v>
          </cell>
          <cell r="AL69">
            <v>1.4999999999999999E-2</v>
          </cell>
          <cell r="AM69">
            <v>0</v>
          </cell>
          <cell r="AN69">
            <v>0.01</v>
          </cell>
          <cell r="AO69">
            <v>0</v>
          </cell>
          <cell r="AP69">
            <v>0</v>
          </cell>
          <cell r="AQ69">
            <v>2.5000000000000001E-2</v>
          </cell>
          <cell r="AR69">
            <v>0</v>
          </cell>
          <cell r="AS69">
            <v>3</v>
          </cell>
          <cell r="AT69">
            <v>3</v>
          </cell>
          <cell r="AU69">
            <v>9</v>
          </cell>
          <cell r="AV69">
            <v>1.1000000000000001</v>
          </cell>
          <cell r="AW69">
            <v>70</v>
          </cell>
        </row>
        <row r="70">
          <cell r="K70" t="str">
            <v>ExportKohlsBig One StripeUSABath76x137D</v>
          </cell>
          <cell r="M70">
            <v>280</v>
          </cell>
          <cell r="N70">
            <v>520</v>
          </cell>
          <cell r="O70">
            <v>0.88</v>
          </cell>
          <cell r="P70">
            <v>2700</v>
          </cell>
          <cell r="Q70">
            <v>19.708029197080293</v>
          </cell>
          <cell r="R70">
            <v>3</v>
          </cell>
          <cell r="S70">
            <v>526</v>
          </cell>
          <cell r="T70" t="str">
            <v>2/24  DyedPattern</v>
          </cell>
          <cell r="U70">
            <v>371.42</v>
          </cell>
          <cell r="V70">
            <v>0</v>
          </cell>
          <cell r="W70">
            <v>0</v>
          </cell>
          <cell r="X70" t="str">
            <v>2/24  DyedPattern</v>
          </cell>
          <cell r="Y70">
            <v>90.53</v>
          </cell>
          <cell r="Z70" t="str">
            <v>1/16  CombDyed</v>
          </cell>
          <cell r="AA70">
            <v>74.27</v>
          </cell>
          <cell r="AB70" t="str">
            <v>2/24  KC</v>
          </cell>
          <cell r="AC70">
            <v>22.72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558.94000000000005</v>
          </cell>
          <cell r="AI70">
            <v>547.76120000000003</v>
          </cell>
          <cell r="AJ70">
            <v>0.02</v>
          </cell>
          <cell r="AK70">
            <v>2.5000000000000001E-3</v>
          </cell>
          <cell r="AL70">
            <v>1.4999999999999999E-2</v>
          </cell>
          <cell r="AM70">
            <v>0</v>
          </cell>
          <cell r="AN70">
            <v>0.01</v>
          </cell>
          <cell r="AO70">
            <v>0</v>
          </cell>
          <cell r="AP70">
            <v>0</v>
          </cell>
          <cell r="AQ70">
            <v>2.5000000000000001E-2</v>
          </cell>
          <cell r="AR70">
            <v>0</v>
          </cell>
          <cell r="AS70">
            <v>3</v>
          </cell>
          <cell r="AT70">
            <v>3</v>
          </cell>
          <cell r="AU70">
            <v>9</v>
          </cell>
          <cell r="AV70">
            <v>1.1000000000000001</v>
          </cell>
          <cell r="AW70">
            <v>70</v>
          </cell>
        </row>
        <row r="71">
          <cell r="K71" t="str">
            <v>ExportKohlsBig One StripeUSAHand41x71L</v>
          </cell>
          <cell r="M71">
            <v>340</v>
          </cell>
          <cell r="N71">
            <v>450</v>
          </cell>
          <cell r="O71">
            <v>0.88</v>
          </cell>
          <cell r="P71">
            <v>1374</v>
          </cell>
          <cell r="Q71">
            <v>19.35211267605634</v>
          </cell>
          <cell r="R71">
            <v>6</v>
          </cell>
          <cell r="S71">
            <v>487</v>
          </cell>
          <cell r="T71" t="str">
            <v>2/24  DyedPattern</v>
          </cell>
          <cell r="U71">
            <v>90.83</v>
          </cell>
          <cell r="X71" t="str">
            <v>2/24  DyedPattern</v>
          </cell>
          <cell r="Y71">
            <v>26.33</v>
          </cell>
          <cell r="Z71" t="str">
            <v>1/16  CombDyed</v>
          </cell>
          <cell r="AA71">
            <v>20.6</v>
          </cell>
          <cell r="AB71" t="str">
            <v>2/24  KC</v>
          </cell>
          <cell r="AC71">
            <v>6.9</v>
          </cell>
          <cell r="AH71">
            <v>144.66</v>
          </cell>
          <cell r="AI71">
            <v>141.76679999999999</v>
          </cell>
          <cell r="AJ71">
            <v>0.02</v>
          </cell>
          <cell r="AK71">
            <v>2.5000000000000001E-3</v>
          </cell>
          <cell r="AL71">
            <v>1.4999999999999999E-2</v>
          </cell>
          <cell r="AM71">
            <v>0</v>
          </cell>
          <cell r="AN71">
            <v>0.01</v>
          </cell>
          <cell r="AO71">
            <v>0</v>
          </cell>
          <cell r="AQ71">
            <v>2.5000000000000001E-2</v>
          </cell>
          <cell r="AS71">
            <v>3</v>
          </cell>
          <cell r="AT71">
            <v>3</v>
          </cell>
          <cell r="AU71">
            <v>9</v>
          </cell>
          <cell r="AV71">
            <v>1.1000000000000001</v>
          </cell>
          <cell r="AW71">
            <v>70</v>
          </cell>
        </row>
        <row r="72">
          <cell r="K72" t="str">
            <v>ExportKohlsBig One StripeUSAHand41x71M</v>
          </cell>
          <cell r="M72">
            <v>340</v>
          </cell>
          <cell r="N72">
            <v>450</v>
          </cell>
          <cell r="O72">
            <v>0.88</v>
          </cell>
          <cell r="P72">
            <v>1374</v>
          </cell>
          <cell r="Q72">
            <v>19.35211267605634</v>
          </cell>
          <cell r="R72">
            <v>6</v>
          </cell>
          <cell r="S72">
            <v>487</v>
          </cell>
          <cell r="T72" t="str">
            <v>2/24  DyedPattern</v>
          </cell>
          <cell r="U72">
            <v>90.83</v>
          </cell>
          <cell r="V72">
            <v>0</v>
          </cell>
          <cell r="W72">
            <v>0</v>
          </cell>
          <cell r="X72" t="str">
            <v>2/24  DyedPattern</v>
          </cell>
          <cell r="Y72">
            <v>26.33</v>
          </cell>
          <cell r="Z72" t="str">
            <v>1/16  CombDyed</v>
          </cell>
          <cell r="AA72">
            <v>20.6</v>
          </cell>
          <cell r="AB72" t="str">
            <v>2/24  KC</v>
          </cell>
          <cell r="AC72">
            <v>6.9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144.66</v>
          </cell>
          <cell r="AI72">
            <v>141.76679999999999</v>
          </cell>
          <cell r="AJ72">
            <v>0.02</v>
          </cell>
          <cell r="AK72">
            <v>2.5000000000000001E-3</v>
          </cell>
          <cell r="AL72">
            <v>1.4999999999999999E-2</v>
          </cell>
          <cell r="AM72">
            <v>0</v>
          </cell>
          <cell r="AN72">
            <v>0.01</v>
          </cell>
          <cell r="AO72">
            <v>0</v>
          </cell>
          <cell r="AP72">
            <v>0</v>
          </cell>
          <cell r="AQ72">
            <v>2.5000000000000001E-2</v>
          </cell>
          <cell r="AR72">
            <v>0</v>
          </cell>
          <cell r="AS72">
            <v>3</v>
          </cell>
          <cell r="AT72">
            <v>3</v>
          </cell>
          <cell r="AU72">
            <v>9</v>
          </cell>
          <cell r="AV72">
            <v>1.1000000000000001</v>
          </cell>
          <cell r="AW72">
            <v>70</v>
          </cell>
        </row>
        <row r="73">
          <cell r="K73" t="str">
            <v>ExportKohlsBig One StripeUSAHand41x71D</v>
          </cell>
          <cell r="M73">
            <v>340</v>
          </cell>
          <cell r="N73">
            <v>450</v>
          </cell>
          <cell r="O73">
            <v>0.88</v>
          </cell>
          <cell r="P73">
            <v>1374</v>
          </cell>
          <cell r="Q73">
            <v>19.35211267605634</v>
          </cell>
          <cell r="R73">
            <v>6</v>
          </cell>
          <cell r="S73">
            <v>487</v>
          </cell>
          <cell r="T73" t="str">
            <v>2/24  DyedPattern</v>
          </cell>
          <cell r="U73">
            <v>90.83</v>
          </cell>
          <cell r="V73">
            <v>0</v>
          </cell>
          <cell r="W73">
            <v>0</v>
          </cell>
          <cell r="X73" t="str">
            <v>2/24  DyedPattern</v>
          </cell>
          <cell r="Y73">
            <v>26.33</v>
          </cell>
          <cell r="Z73" t="str">
            <v>1/16  CombDyed</v>
          </cell>
          <cell r="AA73">
            <v>20.6</v>
          </cell>
          <cell r="AB73" t="str">
            <v>2/24  KC</v>
          </cell>
          <cell r="AC73">
            <v>6.9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144.66</v>
          </cell>
          <cell r="AI73">
            <v>141.76679999999999</v>
          </cell>
          <cell r="AJ73">
            <v>0.02</v>
          </cell>
          <cell r="AK73">
            <v>2.5000000000000001E-3</v>
          </cell>
          <cell r="AL73">
            <v>1.4999999999999999E-2</v>
          </cell>
          <cell r="AM73">
            <v>0</v>
          </cell>
          <cell r="AN73">
            <v>0.01</v>
          </cell>
          <cell r="AO73">
            <v>0</v>
          </cell>
          <cell r="AP73">
            <v>0</v>
          </cell>
          <cell r="AQ73">
            <v>2.5000000000000001E-2</v>
          </cell>
          <cell r="AR73">
            <v>0</v>
          </cell>
          <cell r="AS73">
            <v>3</v>
          </cell>
          <cell r="AT73">
            <v>3</v>
          </cell>
          <cell r="AU73">
            <v>9</v>
          </cell>
          <cell r="AV73">
            <v>1.1000000000000001</v>
          </cell>
          <cell r="AW73">
            <v>70</v>
          </cell>
        </row>
        <row r="74">
          <cell r="K74" t="str">
            <v>ExportKohlsBig One StripeUSAWash30x30L</v>
          </cell>
          <cell r="M74">
            <v>340</v>
          </cell>
          <cell r="N74">
            <v>450</v>
          </cell>
          <cell r="O74">
            <v>0.88</v>
          </cell>
          <cell r="P74">
            <v>750</v>
          </cell>
          <cell r="Q74">
            <v>25</v>
          </cell>
          <cell r="R74">
            <v>9</v>
          </cell>
          <cell r="S74">
            <v>526</v>
          </cell>
          <cell r="T74" t="str">
            <v>2/24  DyedPattern</v>
          </cell>
          <cell r="U74">
            <v>28</v>
          </cell>
          <cell r="X74" t="str">
            <v>2/24  DyedPattern</v>
          </cell>
          <cell r="Y74">
            <v>9</v>
          </cell>
          <cell r="Z74" t="str">
            <v>1/16  CombDyed</v>
          </cell>
          <cell r="AA74">
            <v>6.45</v>
          </cell>
          <cell r="AB74" t="str">
            <v>2/24  KC</v>
          </cell>
          <cell r="AC74">
            <v>5</v>
          </cell>
          <cell r="AH74">
            <v>48.45</v>
          </cell>
          <cell r="AI74">
            <v>47.481000000000002</v>
          </cell>
          <cell r="AJ74">
            <v>0.02</v>
          </cell>
          <cell r="AK74">
            <v>2.5000000000000001E-3</v>
          </cell>
          <cell r="AL74">
            <v>1.4999999999999999E-2</v>
          </cell>
          <cell r="AM74">
            <v>0</v>
          </cell>
          <cell r="AN74">
            <v>0.01</v>
          </cell>
          <cell r="AO74">
            <v>0</v>
          </cell>
          <cell r="AQ74">
            <v>2.5000000000000001E-2</v>
          </cell>
          <cell r="AS74">
            <v>3</v>
          </cell>
          <cell r="AT74">
            <v>3</v>
          </cell>
          <cell r="AU74">
            <v>9</v>
          </cell>
          <cell r="AV74">
            <v>1.1000000000000001</v>
          </cell>
          <cell r="AW74">
            <v>70</v>
          </cell>
        </row>
        <row r="75">
          <cell r="K75" t="str">
            <v>ExportKohlsBig One StripeUSAWash30x30M</v>
          </cell>
          <cell r="M75">
            <v>340</v>
          </cell>
          <cell r="N75">
            <v>450</v>
          </cell>
          <cell r="O75">
            <v>0.88</v>
          </cell>
          <cell r="P75">
            <v>750</v>
          </cell>
          <cell r="Q75">
            <v>25</v>
          </cell>
          <cell r="R75">
            <v>9</v>
          </cell>
          <cell r="S75">
            <v>526</v>
          </cell>
          <cell r="T75" t="str">
            <v>2/24  DyedPattern</v>
          </cell>
          <cell r="U75">
            <v>28</v>
          </cell>
          <cell r="V75">
            <v>0</v>
          </cell>
          <cell r="W75">
            <v>0</v>
          </cell>
          <cell r="X75" t="str">
            <v>2/24  DyedPattern</v>
          </cell>
          <cell r="Y75">
            <v>9</v>
          </cell>
          <cell r="Z75" t="str">
            <v>1/16  CombDyed</v>
          </cell>
          <cell r="AA75">
            <v>6.45</v>
          </cell>
          <cell r="AB75" t="str">
            <v>2/24  KC</v>
          </cell>
          <cell r="AC75">
            <v>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48.45</v>
          </cell>
          <cell r="AI75">
            <v>47.481000000000002</v>
          </cell>
          <cell r="AJ75">
            <v>0.02</v>
          </cell>
          <cell r="AK75">
            <v>2.5000000000000001E-3</v>
          </cell>
          <cell r="AL75">
            <v>1.4999999999999999E-2</v>
          </cell>
          <cell r="AM75">
            <v>0</v>
          </cell>
          <cell r="AN75">
            <v>0.01</v>
          </cell>
          <cell r="AO75">
            <v>0</v>
          </cell>
          <cell r="AP75">
            <v>0</v>
          </cell>
          <cell r="AQ75">
            <v>2.5000000000000001E-2</v>
          </cell>
          <cell r="AR75">
            <v>0</v>
          </cell>
          <cell r="AS75">
            <v>3</v>
          </cell>
          <cell r="AT75">
            <v>3</v>
          </cell>
          <cell r="AU75">
            <v>9</v>
          </cell>
          <cell r="AV75">
            <v>1.1000000000000001</v>
          </cell>
          <cell r="AW75">
            <v>70</v>
          </cell>
        </row>
        <row r="76">
          <cell r="K76" t="str">
            <v>ExportKohlsBig One StripeUSAWash30x30D</v>
          </cell>
          <cell r="M76">
            <v>340</v>
          </cell>
          <cell r="N76">
            <v>450</v>
          </cell>
          <cell r="O76">
            <v>0.88</v>
          </cell>
          <cell r="P76">
            <v>750</v>
          </cell>
          <cell r="Q76">
            <v>25</v>
          </cell>
          <cell r="R76">
            <v>9</v>
          </cell>
          <cell r="S76">
            <v>526</v>
          </cell>
          <cell r="T76" t="str">
            <v>2/24  DyedPattern</v>
          </cell>
          <cell r="U76">
            <v>28</v>
          </cell>
          <cell r="V76">
            <v>0</v>
          </cell>
          <cell r="W76">
            <v>0</v>
          </cell>
          <cell r="X76" t="str">
            <v>2/24  DyedPattern</v>
          </cell>
          <cell r="Y76">
            <v>9</v>
          </cell>
          <cell r="Z76" t="str">
            <v>1/16  CombDyed</v>
          </cell>
          <cell r="AA76">
            <v>6.45</v>
          </cell>
          <cell r="AB76" t="str">
            <v>2/24  KC</v>
          </cell>
          <cell r="AC76">
            <v>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48.45</v>
          </cell>
          <cell r="AI76">
            <v>47.481000000000002</v>
          </cell>
          <cell r="AJ76">
            <v>0.02</v>
          </cell>
          <cell r="AK76">
            <v>2.5000000000000001E-3</v>
          </cell>
          <cell r="AL76">
            <v>1.4999999999999999E-2</v>
          </cell>
          <cell r="AM76">
            <v>0</v>
          </cell>
          <cell r="AN76">
            <v>0.01</v>
          </cell>
          <cell r="AO76">
            <v>0</v>
          </cell>
          <cell r="AP76">
            <v>0</v>
          </cell>
          <cell r="AQ76">
            <v>2.5000000000000001E-2</v>
          </cell>
          <cell r="AR76">
            <v>0</v>
          </cell>
          <cell r="AS76">
            <v>3</v>
          </cell>
          <cell r="AT76">
            <v>3</v>
          </cell>
          <cell r="AU76">
            <v>9</v>
          </cell>
          <cell r="AV76">
            <v>1.1000000000000001</v>
          </cell>
          <cell r="AW76">
            <v>70</v>
          </cell>
        </row>
        <row r="77">
          <cell r="K77" t="str">
            <v>ExportKohlsBig One SolidUSABath76x137L</v>
          </cell>
          <cell r="M77">
            <v>280</v>
          </cell>
          <cell r="N77">
            <v>520</v>
          </cell>
          <cell r="O77">
            <v>0.88</v>
          </cell>
          <cell r="P77">
            <v>2700</v>
          </cell>
          <cell r="Q77">
            <v>19.708029197080293</v>
          </cell>
          <cell r="R77">
            <v>3</v>
          </cell>
          <cell r="S77">
            <v>526</v>
          </cell>
          <cell r="T77" t="str">
            <v>1/13   KC</v>
          </cell>
          <cell r="U77">
            <v>392.87</v>
          </cell>
          <cell r="X77" t="str">
            <v>2/24  KC</v>
          </cell>
          <cell r="Y77">
            <v>88.95</v>
          </cell>
          <cell r="Z77" t="str">
            <v xml:space="preserve">1/16OE  </v>
          </cell>
          <cell r="AA77">
            <v>74.804000000000002</v>
          </cell>
          <cell r="AB77" t="str">
            <v>2/24  KC</v>
          </cell>
          <cell r="AC77">
            <v>32.276000000000003</v>
          </cell>
          <cell r="AH77">
            <v>588.9</v>
          </cell>
          <cell r="AI77">
            <v>547.67699999999991</v>
          </cell>
          <cell r="AJ77">
            <v>7.0000000000000007E-2</v>
          </cell>
          <cell r="AK77">
            <v>2.5000000000000001E-3</v>
          </cell>
          <cell r="AL77">
            <v>1.4999999999999999E-2</v>
          </cell>
          <cell r="AM77">
            <v>0</v>
          </cell>
          <cell r="AN77">
            <v>0.01</v>
          </cell>
          <cell r="AO77">
            <v>1.3999999999999999E-2</v>
          </cell>
          <cell r="AQ77">
            <v>2.5000000000000001E-2</v>
          </cell>
          <cell r="AS77">
            <v>3</v>
          </cell>
          <cell r="AT77">
            <v>3</v>
          </cell>
          <cell r="AU77">
            <v>9</v>
          </cell>
          <cell r="AV77">
            <v>1.1000000000000001</v>
          </cell>
          <cell r="AW77">
            <v>70</v>
          </cell>
        </row>
        <row r="78">
          <cell r="K78" t="str">
            <v>ExportKohlsBig One SolidUSABath76x137M</v>
          </cell>
          <cell r="M78">
            <v>280</v>
          </cell>
          <cell r="N78">
            <v>520</v>
          </cell>
          <cell r="O78">
            <v>0.88</v>
          </cell>
          <cell r="P78">
            <v>2700</v>
          </cell>
          <cell r="Q78">
            <v>19.708029197080293</v>
          </cell>
          <cell r="R78">
            <v>3</v>
          </cell>
          <cell r="S78">
            <v>526</v>
          </cell>
          <cell r="T78" t="str">
            <v>1/13   KC</v>
          </cell>
          <cell r="U78">
            <v>392.87</v>
          </cell>
          <cell r="V78">
            <v>0</v>
          </cell>
          <cell r="W78">
            <v>0</v>
          </cell>
          <cell r="X78" t="str">
            <v>2/24  KC</v>
          </cell>
          <cell r="Y78">
            <v>88.95</v>
          </cell>
          <cell r="Z78" t="str">
            <v xml:space="preserve">1/16OE  </v>
          </cell>
          <cell r="AA78">
            <v>74.804000000000002</v>
          </cell>
          <cell r="AB78" t="str">
            <v>2/24  KC</v>
          </cell>
          <cell r="AC78">
            <v>32.276000000000003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588.9</v>
          </cell>
          <cell r="AI78">
            <v>547.67699999999991</v>
          </cell>
          <cell r="AJ78">
            <v>7.0000000000000007E-2</v>
          </cell>
          <cell r="AK78">
            <v>2.5000000000000001E-3</v>
          </cell>
          <cell r="AL78">
            <v>1.4999999999999999E-2</v>
          </cell>
          <cell r="AM78">
            <v>0</v>
          </cell>
          <cell r="AN78">
            <v>0.01</v>
          </cell>
          <cell r="AO78">
            <v>1.3999999999999999E-2</v>
          </cell>
          <cell r="AP78">
            <v>0</v>
          </cell>
          <cell r="AQ78">
            <v>2.5000000000000001E-2</v>
          </cell>
          <cell r="AR78">
            <v>0</v>
          </cell>
          <cell r="AS78">
            <v>3</v>
          </cell>
          <cell r="AT78">
            <v>3</v>
          </cell>
          <cell r="AU78">
            <v>9</v>
          </cell>
          <cell r="AV78">
            <v>1.1000000000000001</v>
          </cell>
          <cell r="AW78">
            <v>70</v>
          </cell>
        </row>
        <row r="79">
          <cell r="K79" t="str">
            <v>ExportKohlsBig One SolidUSABath76x137D</v>
          </cell>
          <cell r="M79">
            <v>280</v>
          </cell>
          <cell r="N79">
            <v>520</v>
          </cell>
          <cell r="O79">
            <v>0.88</v>
          </cell>
          <cell r="P79">
            <v>2700</v>
          </cell>
          <cell r="Q79">
            <v>19.708029197080293</v>
          </cell>
          <cell r="R79">
            <v>3</v>
          </cell>
          <cell r="S79">
            <v>526</v>
          </cell>
          <cell r="T79" t="str">
            <v>1/13   KC</v>
          </cell>
          <cell r="U79">
            <v>392.87</v>
          </cell>
          <cell r="V79">
            <v>0</v>
          </cell>
          <cell r="W79">
            <v>0</v>
          </cell>
          <cell r="X79" t="str">
            <v>2/24  KC</v>
          </cell>
          <cell r="Y79">
            <v>88.95</v>
          </cell>
          <cell r="Z79" t="str">
            <v xml:space="preserve">1/16OE  </v>
          </cell>
          <cell r="AA79">
            <v>74.804000000000002</v>
          </cell>
          <cell r="AB79" t="str">
            <v>2/24  KC</v>
          </cell>
          <cell r="AC79">
            <v>32.276000000000003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588.9</v>
          </cell>
          <cell r="AI79">
            <v>547.67699999999991</v>
          </cell>
          <cell r="AJ79">
            <v>7.0000000000000007E-2</v>
          </cell>
          <cell r="AK79">
            <v>2.5000000000000001E-3</v>
          </cell>
          <cell r="AL79">
            <v>1.4999999999999999E-2</v>
          </cell>
          <cell r="AM79">
            <v>0</v>
          </cell>
          <cell r="AN79">
            <v>0.01</v>
          </cell>
          <cell r="AO79">
            <v>1.3999999999999999E-2</v>
          </cell>
          <cell r="AP79">
            <v>0</v>
          </cell>
          <cell r="AQ79">
            <v>2.5000000000000001E-2</v>
          </cell>
          <cell r="AR79">
            <v>0</v>
          </cell>
          <cell r="AS79">
            <v>3</v>
          </cell>
          <cell r="AT79">
            <v>3</v>
          </cell>
          <cell r="AU79">
            <v>9</v>
          </cell>
          <cell r="AV79">
            <v>1.1000000000000001</v>
          </cell>
          <cell r="AW79">
            <v>70</v>
          </cell>
        </row>
        <row r="80">
          <cell r="K80" t="str">
            <v>ExportKohlsBig One SolidUSAHand41x71L</v>
          </cell>
          <cell r="M80">
            <v>340</v>
          </cell>
          <cell r="N80">
            <v>450</v>
          </cell>
          <cell r="O80">
            <v>0.88</v>
          </cell>
          <cell r="P80">
            <v>1374</v>
          </cell>
          <cell r="Q80">
            <v>19.35211267605634</v>
          </cell>
          <cell r="R80">
            <v>6</v>
          </cell>
          <cell r="S80">
            <v>487</v>
          </cell>
          <cell r="T80" t="str">
            <v>1/13   KC</v>
          </cell>
          <cell r="U80">
            <v>89.11</v>
          </cell>
          <cell r="X80" t="str">
            <v>2/24  KC</v>
          </cell>
          <cell r="Y80">
            <v>26.58</v>
          </cell>
          <cell r="Z80" t="str">
            <v xml:space="preserve">1/16OE  </v>
          </cell>
          <cell r="AA80">
            <v>20.52</v>
          </cell>
          <cell r="AB80" t="str">
            <v>2/24  KC</v>
          </cell>
          <cell r="AC80">
            <v>16.59</v>
          </cell>
          <cell r="AH80">
            <v>152.80000000000001</v>
          </cell>
          <cell r="AI80">
            <v>142.10400000000001</v>
          </cell>
          <cell r="AJ80">
            <v>7.0000000000000007E-2</v>
          </cell>
          <cell r="AK80">
            <v>2.5000000000000001E-3</v>
          </cell>
          <cell r="AL80">
            <v>1.4999999999999999E-2</v>
          </cell>
          <cell r="AM80">
            <v>0</v>
          </cell>
          <cell r="AN80">
            <v>0.01</v>
          </cell>
          <cell r="AO80">
            <v>1.3999999999999999E-2</v>
          </cell>
          <cell r="AQ80">
            <v>2.5000000000000001E-2</v>
          </cell>
          <cell r="AS80">
            <v>3</v>
          </cell>
          <cell r="AT80">
            <v>3</v>
          </cell>
          <cell r="AU80">
            <v>9</v>
          </cell>
          <cell r="AV80">
            <v>1.1000000000000001</v>
          </cell>
          <cell r="AW80">
            <v>70</v>
          </cell>
        </row>
        <row r="81">
          <cell r="K81" t="str">
            <v>ExportKohlsBig One SolidUSAHand41x71M</v>
          </cell>
          <cell r="M81">
            <v>340</v>
          </cell>
          <cell r="N81">
            <v>450</v>
          </cell>
          <cell r="O81">
            <v>0.88</v>
          </cell>
          <cell r="P81">
            <v>1374</v>
          </cell>
          <cell r="Q81">
            <v>19.35211267605634</v>
          </cell>
          <cell r="R81">
            <v>6</v>
          </cell>
          <cell r="S81">
            <v>487</v>
          </cell>
          <cell r="T81" t="str">
            <v>1/13   KC</v>
          </cell>
          <cell r="U81">
            <v>89.11</v>
          </cell>
          <cell r="V81">
            <v>0</v>
          </cell>
          <cell r="W81">
            <v>0</v>
          </cell>
          <cell r="X81" t="str">
            <v>2/24  KC</v>
          </cell>
          <cell r="Y81">
            <v>26.58</v>
          </cell>
          <cell r="Z81" t="str">
            <v xml:space="preserve">1/16OE  </v>
          </cell>
          <cell r="AA81">
            <v>20.52</v>
          </cell>
          <cell r="AB81" t="str">
            <v>2/24  KC</v>
          </cell>
          <cell r="AC81">
            <v>16.59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152.80000000000001</v>
          </cell>
          <cell r="AI81">
            <v>142.10400000000001</v>
          </cell>
          <cell r="AJ81">
            <v>7.0000000000000007E-2</v>
          </cell>
          <cell r="AK81">
            <v>2.5000000000000001E-3</v>
          </cell>
          <cell r="AL81">
            <v>1.4999999999999999E-2</v>
          </cell>
          <cell r="AM81">
            <v>0</v>
          </cell>
          <cell r="AN81">
            <v>0.01</v>
          </cell>
          <cell r="AO81">
            <v>1.3999999999999999E-2</v>
          </cell>
          <cell r="AP81">
            <v>0</v>
          </cell>
          <cell r="AQ81">
            <v>2.5000000000000001E-2</v>
          </cell>
          <cell r="AR81">
            <v>0</v>
          </cell>
          <cell r="AS81">
            <v>3</v>
          </cell>
          <cell r="AT81">
            <v>3</v>
          </cell>
          <cell r="AU81">
            <v>9</v>
          </cell>
          <cell r="AV81">
            <v>1.1000000000000001</v>
          </cell>
          <cell r="AW81">
            <v>70</v>
          </cell>
        </row>
        <row r="82">
          <cell r="K82" t="str">
            <v>ExportKohlsBig One SolidUSAHand41x71D</v>
          </cell>
          <cell r="M82">
            <v>340</v>
          </cell>
          <cell r="N82">
            <v>450</v>
          </cell>
          <cell r="O82">
            <v>0.88</v>
          </cell>
          <cell r="P82">
            <v>1374</v>
          </cell>
          <cell r="Q82">
            <v>19.35211267605634</v>
          </cell>
          <cell r="R82">
            <v>6</v>
          </cell>
          <cell r="S82">
            <v>487</v>
          </cell>
          <cell r="T82" t="str">
            <v>1/13   KC</v>
          </cell>
          <cell r="U82">
            <v>89.11</v>
          </cell>
          <cell r="V82">
            <v>0</v>
          </cell>
          <cell r="W82">
            <v>0</v>
          </cell>
          <cell r="X82" t="str">
            <v>2/24  KC</v>
          </cell>
          <cell r="Y82">
            <v>26.58</v>
          </cell>
          <cell r="Z82" t="str">
            <v xml:space="preserve">1/16OE  </v>
          </cell>
          <cell r="AA82">
            <v>20.52</v>
          </cell>
          <cell r="AB82" t="str">
            <v>2/24  KC</v>
          </cell>
          <cell r="AC82">
            <v>16.59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152.80000000000001</v>
          </cell>
          <cell r="AI82">
            <v>142.10400000000001</v>
          </cell>
          <cell r="AJ82">
            <v>7.0000000000000007E-2</v>
          </cell>
          <cell r="AK82">
            <v>2.5000000000000001E-3</v>
          </cell>
          <cell r="AL82">
            <v>1.4999999999999999E-2</v>
          </cell>
          <cell r="AM82">
            <v>0</v>
          </cell>
          <cell r="AN82">
            <v>0.01</v>
          </cell>
          <cell r="AO82">
            <v>1.3999999999999999E-2</v>
          </cell>
          <cell r="AP82">
            <v>0</v>
          </cell>
          <cell r="AQ82">
            <v>2.5000000000000001E-2</v>
          </cell>
          <cell r="AR82">
            <v>0</v>
          </cell>
          <cell r="AS82">
            <v>3</v>
          </cell>
          <cell r="AT82">
            <v>3</v>
          </cell>
          <cell r="AU82">
            <v>9</v>
          </cell>
          <cell r="AV82">
            <v>1.1000000000000001</v>
          </cell>
          <cell r="AW82">
            <v>70</v>
          </cell>
        </row>
        <row r="83">
          <cell r="K83" t="str">
            <v>ExportKohlsBig One SolidUSAWash30x30L</v>
          </cell>
          <cell r="M83">
            <v>340</v>
          </cell>
          <cell r="N83">
            <v>450</v>
          </cell>
          <cell r="O83">
            <v>0.88</v>
          </cell>
          <cell r="P83">
            <v>750</v>
          </cell>
          <cell r="Q83">
            <v>25</v>
          </cell>
          <cell r="R83">
            <v>7</v>
          </cell>
          <cell r="S83">
            <v>526</v>
          </cell>
          <cell r="T83" t="str">
            <v>1/13   KC</v>
          </cell>
          <cell r="U83">
            <v>37.11</v>
          </cell>
          <cell r="X83" t="str">
            <v>2/24  KC</v>
          </cell>
          <cell r="Y83">
            <v>10.72</v>
          </cell>
          <cell r="Z83" t="str">
            <v xml:space="preserve">1/16OE  </v>
          </cell>
          <cell r="AA83">
            <v>7.774</v>
          </cell>
          <cell r="AB83" t="str">
            <v>2/24  KC</v>
          </cell>
          <cell r="AC83">
            <v>4.5999999999999996</v>
          </cell>
          <cell r="AH83">
            <v>60.204000000000001</v>
          </cell>
          <cell r="AI83">
            <v>52.979520000000001</v>
          </cell>
          <cell r="AJ83">
            <v>0.12</v>
          </cell>
          <cell r="AK83">
            <v>2.5000000000000001E-3</v>
          </cell>
          <cell r="AL83">
            <v>1.4999999999999999E-2</v>
          </cell>
          <cell r="AM83">
            <v>0</v>
          </cell>
          <cell r="AN83">
            <v>0.01</v>
          </cell>
          <cell r="AO83">
            <v>1.3999999999999999E-2</v>
          </cell>
          <cell r="AQ83">
            <v>2.5000000000000001E-2</v>
          </cell>
          <cell r="AS83">
            <v>3</v>
          </cell>
          <cell r="AT83">
            <v>3</v>
          </cell>
          <cell r="AU83">
            <v>9</v>
          </cell>
          <cell r="AV83">
            <v>1.1000000000000001</v>
          </cell>
          <cell r="AW83">
            <v>70</v>
          </cell>
        </row>
        <row r="84">
          <cell r="K84" t="str">
            <v>ExportKohlsBig One SolidUSAWash30x30M</v>
          </cell>
          <cell r="M84">
            <v>340</v>
          </cell>
          <cell r="N84">
            <v>450</v>
          </cell>
          <cell r="O84">
            <v>0.88</v>
          </cell>
          <cell r="P84">
            <v>750</v>
          </cell>
          <cell r="Q84">
            <v>25</v>
          </cell>
          <cell r="R84">
            <v>7</v>
          </cell>
          <cell r="S84">
            <v>526</v>
          </cell>
          <cell r="T84" t="str">
            <v>1/13   KC</v>
          </cell>
          <cell r="U84">
            <v>37.11</v>
          </cell>
          <cell r="V84">
            <v>0</v>
          </cell>
          <cell r="W84">
            <v>0</v>
          </cell>
          <cell r="X84" t="str">
            <v>2/24  KC</v>
          </cell>
          <cell r="Y84">
            <v>10.72</v>
          </cell>
          <cell r="Z84" t="str">
            <v xml:space="preserve">1/16OE  </v>
          </cell>
          <cell r="AA84">
            <v>7.774</v>
          </cell>
          <cell r="AB84" t="str">
            <v>2/24  KC</v>
          </cell>
          <cell r="AC84">
            <v>4.5999999999999996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60.204000000000001</v>
          </cell>
          <cell r="AI84">
            <v>52.979520000000001</v>
          </cell>
          <cell r="AJ84">
            <v>0.12</v>
          </cell>
          <cell r="AK84">
            <v>2.5000000000000001E-3</v>
          </cell>
          <cell r="AL84">
            <v>1.4999999999999999E-2</v>
          </cell>
          <cell r="AM84">
            <v>0</v>
          </cell>
          <cell r="AN84">
            <v>0.01</v>
          </cell>
          <cell r="AO84">
            <v>1.3999999999999999E-2</v>
          </cell>
          <cell r="AP84">
            <v>0</v>
          </cell>
          <cell r="AQ84">
            <v>2.5000000000000001E-2</v>
          </cell>
          <cell r="AR84">
            <v>0</v>
          </cell>
          <cell r="AS84">
            <v>3</v>
          </cell>
          <cell r="AT84">
            <v>3</v>
          </cell>
          <cell r="AU84">
            <v>9</v>
          </cell>
          <cell r="AV84">
            <v>1.1000000000000001</v>
          </cell>
          <cell r="AW84">
            <v>70</v>
          </cell>
        </row>
        <row r="85">
          <cell r="K85" t="str">
            <v>ExportKohlsBig One SolidUSAWash30x30D</v>
          </cell>
          <cell r="M85">
            <v>340</v>
          </cell>
          <cell r="N85">
            <v>450</v>
          </cell>
          <cell r="O85">
            <v>0.88</v>
          </cell>
          <cell r="P85">
            <v>750</v>
          </cell>
          <cell r="Q85">
            <v>25</v>
          </cell>
          <cell r="R85">
            <v>7</v>
          </cell>
          <cell r="S85">
            <v>526</v>
          </cell>
          <cell r="T85" t="str">
            <v>1/13   KC</v>
          </cell>
          <cell r="U85">
            <v>37.11</v>
          </cell>
          <cell r="V85">
            <v>0</v>
          </cell>
          <cell r="W85">
            <v>0</v>
          </cell>
          <cell r="X85" t="str">
            <v>2/24  KC</v>
          </cell>
          <cell r="Y85">
            <v>10.72</v>
          </cell>
          <cell r="Z85" t="str">
            <v xml:space="preserve">1/16OE  </v>
          </cell>
          <cell r="AA85">
            <v>7.774</v>
          </cell>
          <cell r="AB85" t="str">
            <v>2/24  KC</v>
          </cell>
          <cell r="AC85">
            <v>4.5999999999999996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60.204000000000001</v>
          </cell>
          <cell r="AI85">
            <v>52.979520000000001</v>
          </cell>
          <cell r="AJ85">
            <v>0.12</v>
          </cell>
          <cell r="AK85">
            <v>2.5000000000000001E-3</v>
          </cell>
          <cell r="AL85">
            <v>1.4999999999999999E-2</v>
          </cell>
          <cell r="AM85">
            <v>0</v>
          </cell>
          <cell r="AN85">
            <v>0.01</v>
          </cell>
          <cell r="AO85">
            <v>1.3999999999999999E-2</v>
          </cell>
          <cell r="AP85">
            <v>0</v>
          </cell>
          <cell r="AQ85">
            <v>2.5000000000000001E-2</v>
          </cell>
          <cell r="AR85">
            <v>0</v>
          </cell>
          <cell r="AS85">
            <v>3</v>
          </cell>
          <cell r="AT85">
            <v>3</v>
          </cell>
          <cell r="AU85">
            <v>9</v>
          </cell>
          <cell r="AV85">
            <v>1.1000000000000001</v>
          </cell>
          <cell r="AW85">
            <v>70</v>
          </cell>
        </row>
        <row r="86">
          <cell r="K86" t="str">
            <v>ExportIst New Buyer00Bath76x137L</v>
          </cell>
          <cell r="M86">
            <v>280</v>
          </cell>
          <cell r="N86">
            <v>520</v>
          </cell>
          <cell r="O86">
            <v>0.88</v>
          </cell>
          <cell r="P86">
            <v>2652</v>
          </cell>
          <cell r="Q86">
            <v>19.357664233576642</v>
          </cell>
          <cell r="R86">
            <v>3</v>
          </cell>
          <cell r="S86">
            <v>528</v>
          </cell>
          <cell r="T86" t="str">
            <v>1/13  Comb</v>
          </cell>
          <cell r="U86">
            <v>415.87</v>
          </cell>
          <cell r="X86" t="str">
            <v>2/30  KC</v>
          </cell>
          <cell r="Y86">
            <v>71.28</v>
          </cell>
          <cell r="Z86" t="str">
            <v xml:space="preserve">1/16OE  </v>
          </cell>
          <cell r="AA86">
            <v>67.712000000000003</v>
          </cell>
          <cell r="AB86" t="str">
            <v>2/20  Gas Mer</v>
          </cell>
          <cell r="AC86">
            <v>36.33</v>
          </cell>
          <cell r="AH86">
            <v>591.19200000000001</v>
          </cell>
          <cell r="AI86">
            <v>549.80855999999994</v>
          </cell>
          <cell r="AJ86">
            <v>7.0000000000000007E-2</v>
          </cell>
          <cell r="AK86">
            <v>2.5000000000000001E-3</v>
          </cell>
          <cell r="AL86">
            <v>1.4999999999999999E-2</v>
          </cell>
          <cell r="AM86">
            <v>0</v>
          </cell>
          <cell r="AN86">
            <v>0.01</v>
          </cell>
          <cell r="AO86">
            <v>1.3999999999999999E-2</v>
          </cell>
          <cell r="AQ86">
            <v>2.5000000000000001E-2</v>
          </cell>
          <cell r="AS86">
            <v>3</v>
          </cell>
          <cell r="AT86">
            <v>3</v>
          </cell>
          <cell r="AU86">
            <v>9</v>
          </cell>
          <cell r="AV86">
            <v>1.1000000000000001</v>
          </cell>
          <cell r="AW86">
            <v>70</v>
          </cell>
        </row>
        <row r="87">
          <cell r="K87" t="str">
            <v>ExportIst New Buyer00Bath76x137M</v>
          </cell>
          <cell r="M87">
            <v>280</v>
          </cell>
          <cell r="N87">
            <v>520</v>
          </cell>
          <cell r="O87">
            <v>0.88</v>
          </cell>
          <cell r="P87">
            <v>2652</v>
          </cell>
          <cell r="Q87">
            <v>19.357664233576642</v>
          </cell>
          <cell r="R87">
            <v>3</v>
          </cell>
          <cell r="S87">
            <v>528</v>
          </cell>
          <cell r="T87" t="str">
            <v>1/13  Comb</v>
          </cell>
          <cell r="U87">
            <v>415.87</v>
          </cell>
          <cell r="V87">
            <v>0</v>
          </cell>
          <cell r="W87">
            <v>0</v>
          </cell>
          <cell r="X87" t="str">
            <v>2/30  KC</v>
          </cell>
          <cell r="Y87">
            <v>71.28</v>
          </cell>
          <cell r="Z87" t="str">
            <v xml:space="preserve">1/16OE  </v>
          </cell>
          <cell r="AA87">
            <v>67.712000000000003</v>
          </cell>
          <cell r="AB87" t="str">
            <v>2/20  Gas Mer</v>
          </cell>
          <cell r="AC87">
            <v>36.33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591.19200000000001</v>
          </cell>
          <cell r="AI87">
            <v>549.80855999999994</v>
          </cell>
          <cell r="AJ87">
            <v>7.0000000000000007E-2</v>
          </cell>
          <cell r="AK87">
            <v>2.5000000000000001E-3</v>
          </cell>
          <cell r="AL87">
            <v>1.4999999999999999E-2</v>
          </cell>
          <cell r="AM87">
            <v>0</v>
          </cell>
          <cell r="AN87">
            <v>0.01</v>
          </cell>
          <cell r="AO87">
            <v>1.3999999999999999E-2</v>
          </cell>
          <cell r="AP87">
            <v>0</v>
          </cell>
          <cell r="AQ87">
            <v>2.5000000000000001E-2</v>
          </cell>
          <cell r="AR87">
            <v>0</v>
          </cell>
          <cell r="AS87">
            <v>3</v>
          </cell>
          <cell r="AT87">
            <v>3</v>
          </cell>
          <cell r="AU87">
            <v>9</v>
          </cell>
          <cell r="AV87">
            <v>1.1000000000000001</v>
          </cell>
          <cell r="AW87">
            <v>70</v>
          </cell>
        </row>
        <row r="88">
          <cell r="K88" t="str">
            <v>ExportIst New Buyer00Bath76x137D</v>
          </cell>
          <cell r="M88">
            <v>280</v>
          </cell>
          <cell r="N88">
            <v>520</v>
          </cell>
          <cell r="O88">
            <v>0.88</v>
          </cell>
          <cell r="P88">
            <v>2652</v>
          </cell>
          <cell r="Q88">
            <v>19.357664233576642</v>
          </cell>
          <cell r="R88">
            <v>3</v>
          </cell>
          <cell r="S88">
            <v>528</v>
          </cell>
          <cell r="T88" t="str">
            <v>1/13  Comb</v>
          </cell>
          <cell r="U88">
            <v>415.87</v>
          </cell>
          <cell r="V88">
            <v>0</v>
          </cell>
          <cell r="W88">
            <v>0</v>
          </cell>
          <cell r="X88" t="str">
            <v>2/30  KC</v>
          </cell>
          <cell r="Y88">
            <v>71.28</v>
          </cell>
          <cell r="Z88" t="str">
            <v xml:space="preserve">1/16OE  </v>
          </cell>
          <cell r="AA88">
            <v>67.712000000000003</v>
          </cell>
          <cell r="AB88" t="str">
            <v>2/20  Gas Mer</v>
          </cell>
          <cell r="AC88">
            <v>36.33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591.19200000000001</v>
          </cell>
          <cell r="AI88">
            <v>549.80855999999994</v>
          </cell>
          <cell r="AJ88">
            <v>7.0000000000000007E-2</v>
          </cell>
          <cell r="AK88">
            <v>2.5000000000000001E-3</v>
          </cell>
          <cell r="AL88">
            <v>1.4999999999999999E-2</v>
          </cell>
          <cell r="AM88">
            <v>0</v>
          </cell>
          <cell r="AN88">
            <v>0.01</v>
          </cell>
          <cell r="AO88">
            <v>1.3999999999999999E-2</v>
          </cell>
          <cell r="AP88">
            <v>0</v>
          </cell>
          <cell r="AQ88">
            <v>2.5000000000000001E-2</v>
          </cell>
          <cell r="AR88">
            <v>0</v>
          </cell>
          <cell r="AS88">
            <v>3</v>
          </cell>
          <cell r="AT88">
            <v>3</v>
          </cell>
          <cell r="AU88">
            <v>9</v>
          </cell>
          <cell r="AV88">
            <v>1.1000000000000001</v>
          </cell>
          <cell r="AW88">
            <v>70</v>
          </cell>
        </row>
        <row r="89">
          <cell r="K89" t="str">
            <v>ExportIst New Buyer00Hand41x76L</v>
          </cell>
          <cell r="M89">
            <v>340</v>
          </cell>
          <cell r="N89">
            <v>450</v>
          </cell>
          <cell r="O89">
            <v>0.88</v>
          </cell>
          <cell r="P89">
            <v>1557</v>
          </cell>
          <cell r="Q89">
            <v>20.486842105263158</v>
          </cell>
          <cell r="R89">
            <v>6</v>
          </cell>
          <cell r="S89">
            <v>522</v>
          </cell>
          <cell r="T89" t="str">
            <v>1/13  Comb</v>
          </cell>
          <cell r="U89">
            <v>107.55</v>
          </cell>
          <cell r="X89" t="str">
            <v>2/30  KC</v>
          </cell>
          <cell r="Y89">
            <v>21.15</v>
          </cell>
          <cell r="Z89" t="str">
            <v xml:space="preserve">1/16OE  </v>
          </cell>
          <cell r="AA89">
            <v>21.649000000000001</v>
          </cell>
          <cell r="AB89" t="str">
            <v>2/20  Gas Mer</v>
          </cell>
          <cell r="AC89">
            <v>13.05</v>
          </cell>
          <cell r="AH89">
            <v>163.399</v>
          </cell>
          <cell r="AI89">
            <v>151.96106999999998</v>
          </cell>
          <cell r="AJ89">
            <v>7.0000000000000007E-2</v>
          </cell>
          <cell r="AK89">
            <v>2.5000000000000001E-3</v>
          </cell>
          <cell r="AL89">
            <v>1.4999999999999999E-2</v>
          </cell>
          <cell r="AM89">
            <v>0</v>
          </cell>
          <cell r="AN89">
            <v>0.01</v>
          </cell>
          <cell r="AO89">
            <v>1.3999999999999999E-2</v>
          </cell>
          <cell r="AQ89">
            <v>2.5000000000000001E-2</v>
          </cell>
          <cell r="AS89">
            <v>3</v>
          </cell>
          <cell r="AT89">
            <v>3</v>
          </cell>
          <cell r="AU89">
            <v>9</v>
          </cell>
          <cell r="AV89">
            <v>1.1000000000000001</v>
          </cell>
          <cell r="AW89">
            <v>70</v>
          </cell>
        </row>
        <row r="90">
          <cell r="K90" t="str">
            <v>ExportIst New Buyer00Hand41x76M</v>
          </cell>
          <cell r="M90">
            <v>340</v>
          </cell>
          <cell r="N90">
            <v>450</v>
          </cell>
          <cell r="O90">
            <v>0.88</v>
          </cell>
          <cell r="P90">
            <v>1557</v>
          </cell>
          <cell r="Q90">
            <v>20.486842105263158</v>
          </cell>
          <cell r="R90">
            <v>6</v>
          </cell>
          <cell r="S90">
            <v>522</v>
          </cell>
          <cell r="T90" t="str">
            <v>1/13  Comb</v>
          </cell>
          <cell r="U90">
            <v>107.55</v>
          </cell>
          <cell r="V90">
            <v>0</v>
          </cell>
          <cell r="W90">
            <v>0</v>
          </cell>
          <cell r="X90" t="str">
            <v>2/30  KC</v>
          </cell>
          <cell r="Y90">
            <v>21.15</v>
          </cell>
          <cell r="Z90" t="str">
            <v xml:space="preserve">1/16OE  </v>
          </cell>
          <cell r="AA90">
            <v>21.649000000000001</v>
          </cell>
          <cell r="AB90" t="str">
            <v>2/20  Gas Mer</v>
          </cell>
          <cell r="AC90">
            <v>13.05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163.399</v>
          </cell>
          <cell r="AI90">
            <v>151.96106999999998</v>
          </cell>
          <cell r="AJ90">
            <v>7.0000000000000007E-2</v>
          </cell>
          <cell r="AK90">
            <v>2.5000000000000001E-3</v>
          </cell>
          <cell r="AL90">
            <v>1.4999999999999999E-2</v>
          </cell>
          <cell r="AM90">
            <v>0</v>
          </cell>
          <cell r="AN90">
            <v>0.01</v>
          </cell>
          <cell r="AO90">
            <v>1.3999999999999999E-2</v>
          </cell>
          <cell r="AP90">
            <v>0</v>
          </cell>
          <cell r="AQ90">
            <v>2.5000000000000001E-2</v>
          </cell>
          <cell r="AR90">
            <v>0</v>
          </cell>
          <cell r="AS90">
            <v>3</v>
          </cell>
          <cell r="AT90">
            <v>3</v>
          </cell>
          <cell r="AU90">
            <v>9</v>
          </cell>
          <cell r="AV90">
            <v>1.1000000000000001</v>
          </cell>
          <cell r="AW90">
            <v>70</v>
          </cell>
        </row>
        <row r="91">
          <cell r="K91" t="str">
            <v>ExportIst New Buyer00Hand41x76D</v>
          </cell>
          <cell r="M91">
            <v>340</v>
          </cell>
          <cell r="N91">
            <v>450</v>
          </cell>
          <cell r="O91">
            <v>0.88</v>
          </cell>
          <cell r="P91">
            <v>1557</v>
          </cell>
          <cell r="Q91">
            <v>20.486842105263158</v>
          </cell>
          <cell r="R91">
            <v>6</v>
          </cell>
          <cell r="S91">
            <v>522</v>
          </cell>
          <cell r="T91" t="str">
            <v>1/13  Comb</v>
          </cell>
          <cell r="U91">
            <v>107.55</v>
          </cell>
          <cell r="V91">
            <v>0</v>
          </cell>
          <cell r="W91">
            <v>0</v>
          </cell>
          <cell r="X91" t="str">
            <v>2/30  KC</v>
          </cell>
          <cell r="Y91">
            <v>21.15</v>
          </cell>
          <cell r="Z91" t="str">
            <v xml:space="preserve">1/16OE  </v>
          </cell>
          <cell r="AA91">
            <v>21.649000000000001</v>
          </cell>
          <cell r="AB91" t="str">
            <v>2/20  Gas Mer</v>
          </cell>
          <cell r="AC91">
            <v>13.05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163.399</v>
          </cell>
          <cell r="AI91">
            <v>151.96106999999998</v>
          </cell>
          <cell r="AJ91">
            <v>7.0000000000000007E-2</v>
          </cell>
          <cell r="AK91">
            <v>2.5000000000000001E-3</v>
          </cell>
          <cell r="AL91">
            <v>1.4999999999999999E-2</v>
          </cell>
          <cell r="AM91">
            <v>0</v>
          </cell>
          <cell r="AN91">
            <v>0.01</v>
          </cell>
          <cell r="AO91">
            <v>1.3999999999999999E-2</v>
          </cell>
          <cell r="AP91">
            <v>0</v>
          </cell>
          <cell r="AQ91">
            <v>2.5000000000000001E-2</v>
          </cell>
          <cell r="AR91">
            <v>0</v>
          </cell>
          <cell r="AS91">
            <v>3</v>
          </cell>
          <cell r="AT91">
            <v>3</v>
          </cell>
          <cell r="AU91">
            <v>9</v>
          </cell>
          <cell r="AV91">
            <v>1.1000000000000001</v>
          </cell>
          <cell r="AW91">
            <v>70</v>
          </cell>
        </row>
        <row r="92">
          <cell r="K92" t="str">
            <v>ExportIst New Buyer00Wash33x33L</v>
          </cell>
          <cell r="M92">
            <v>340</v>
          </cell>
          <cell r="N92">
            <v>450</v>
          </cell>
          <cell r="O92">
            <v>0.88</v>
          </cell>
          <cell r="P92">
            <v>846</v>
          </cell>
          <cell r="Q92">
            <v>25.636363636363637</v>
          </cell>
          <cell r="R92">
            <v>7</v>
          </cell>
          <cell r="S92">
            <v>524</v>
          </cell>
          <cell r="T92" t="str">
            <v>1/13  Comb</v>
          </cell>
          <cell r="U92">
            <v>36.76</v>
          </cell>
          <cell r="X92" t="str">
            <v>2/30  KC</v>
          </cell>
          <cell r="Y92">
            <v>8.4499999999999993</v>
          </cell>
          <cell r="Z92" t="str">
            <v xml:space="preserve">1/16OE  </v>
          </cell>
          <cell r="AA92">
            <v>8.9339999999999993</v>
          </cell>
          <cell r="AB92" t="str">
            <v>2/20  Gas Mer</v>
          </cell>
          <cell r="AC92">
            <v>7.2619999999999996</v>
          </cell>
          <cell r="AH92">
            <v>61.405999999999992</v>
          </cell>
          <cell r="AI92">
            <v>57.107579999999992</v>
          </cell>
          <cell r="AJ92">
            <v>7.0000000000000007E-2</v>
          </cell>
          <cell r="AK92">
            <v>2.5000000000000001E-3</v>
          </cell>
          <cell r="AL92">
            <v>1.4999999999999999E-2</v>
          </cell>
          <cell r="AM92">
            <v>0</v>
          </cell>
          <cell r="AN92">
            <v>0.01</v>
          </cell>
          <cell r="AO92">
            <v>1.3999999999999999E-2</v>
          </cell>
          <cell r="AQ92">
            <v>2.5000000000000001E-2</v>
          </cell>
          <cell r="AS92">
            <v>3</v>
          </cell>
          <cell r="AT92">
            <v>3</v>
          </cell>
          <cell r="AU92">
            <v>9</v>
          </cell>
          <cell r="AV92">
            <v>1.1000000000000001</v>
          </cell>
          <cell r="AW92">
            <v>70</v>
          </cell>
        </row>
        <row r="93">
          <cell r="K93" t="str">
            <v>ExportIst New Buyer00Wash33x33M</v>
          </cell>
          <cell r="M93">
            <v>340</v>
          </cell>
          <cell r="N93">
            <v>450</v>
          </cell>
          <cell r="O93">
            <v>0.88</v>
          </cell>
          <cell r="P93">
            <v>846</v>
          </cell>
          <cell r="Q93">
            <v>25.636363636363637</v>
          </cell>
          <cell r="R93">
            <v>7</v>
          </cell>
          <cell r="S93">
            <v>524</v>
          </cell>
          <cell r="T93" t="str">
            <v>1/13  Comb</v>
          </cell>
          <cell r="U93">
            <v>36.76</v>
          </cell>
          <cell r="V93">
            <v>0</v>
          </cell>
          <cell r="W93">
            <v>0</v>
          </cell>
          <cell r="X93" t="str">
            <v>2/30  KC</v>
          </cell>
          <cell r="Y93">
            <v>8.4499999999999993</v>
          </cell>
          <cell r="Z93" t="str">
            <v xml:space="preserve">1/16OE  </v>
          </cell>
          <cell r="AA93">
            <v>8.9339999999999993</v>
          </cell>
          <cell r="AB93" t="str">
            <v>2/20  Gas Mer</v>
          </cell>
          <cell r="AC93">
            <v>7.2619999999999996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61.405999999999992</v>
          </cell>
          <cell r="AI93">
            <v>57.107579999999992</v>
          </cell>
          <cell r="AJ93">
            <v>7.0000000000000007E-2</v>
          </cell>
          <cell r="AK93">
            <v>2.5000000000000001E-3</v>
          </cell>
          <cell r="AL93">
            <v>1.4999999999999999E-2</v>
          </cell>
          <cell r="AM93">
            <v>0</v>
          </cell>
          <cell r="AN93">
            <v>0.01</v>
          </cell>
          <cell r="AO93">
            <v>1.3999999999999999E-2</v>
          </cell>
          <cell r="AP93">
            <v>0</v>
          </cell>
          <cell r="AQ93">
            <v>2.5000000000000001E-2</v>
          </cell>
          <cell r="AR93">
            <v>0</v>
          </cell>
          <cell r="AS93">
            <v>3</v>
          </cell>
          <cell r="AT93">
            <v>3</v>
          </cell>
          <cell r="AU93">
            <v>9</v>
          </cell>
          <cell r="AV93">
            <v>1.1000000000000001</v>
          </cell>
          <cell r="AW93">
            <v>70</v>
          </cell>
        </row>
        <row r="94">
          <cell r="K94" t="str">
            <v>ExportIst New Buyer00Wash33x33D</v>
          </cell>
          <cell r="M94">
            <v>340</v>
          </cell>
          <cell r="N94">
            <v>450</v>
          </cell>
          <cell r="O94">
            <v>0.88</v>
          </cell>
          <cell r="P94">
            <v>846</v>
          </cell>
          <cell r="Q94">
            <v>25.636363636363637</v>
          </cell>
          <cell r="R94">
            <v>7</v>
          </cell>
          <cell r="S94">
            <v>524</v>
          </cell>
          <cell r="T94" t="str">
            <v>1/13  Comb</v>
          </cell>
          <cell r="U94">
            <v>36.76</v>
          </cell>
          <cell r="V94">
            <v>0</v>
          </cell>
          <cell r="W94">
            <v>0</v>
          </cell>
          <cell r="X94" t="str">
            <v>2/30  KC</v>
          </cell>
          <cell r="Y94">
            <v>8.4499999999999993</v>
          </cell>
          <cell r="Z94" t="str">
            <v xml:space="preserve">1/16OE  </v>
          </cell>
          <cell r="AA94">
            <v>8.9339999999999993</v>
          </cell>
          <cell r="AB94" t="str">
            <v>2/20  Gas Mer</v>
          </cell>
          <cell r="AC94">
            <v>7.2619999999999996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61.405999999999992</v>
          </cell>
          <cell r="AI94">
            <v>57.107579999999992</v>
          </cell>
          <cell r="AJ94">
            <v>7.0000000000000007E-2</v>
          </cell>
          <cell r="AK94">
            <v>2.5000000000000001E-3</v>
          </cell>
          <cell r="AL94">
            <v>1.4999999999999999E-2</v>
          </cell>
          <cell r="AM94">
            <v>0</v>
          </cell>
          <cell r="AN94">
            <v>0.01</v>
          </cell>
          <cell r="AO94">
            <v>1.3999999999999999E-2</v>
          </cell>
          <cell r="AP94">
            <v>0</v>
          </cell>
          <cell r="AQ94">
            <v>2.5000000000000001E-2</v>
          </cell>
          <cell r="AR94">
            <v>0</v>
          </cell>
          <cell r="AS94">
            <v>3</v>
          </cell>
          <cell r="AT94">
            <v>3</v>
          </cell>
          <cell r="AU94">
            <v>9</v>
          </cell>
          <cell r="AV94">
            <v>1.1000000000000001</v>
          </cell>
          <cell r="AW94">
            <v>70</v>
          </cell>
        </row>
        <row r="95">
          <cell r="K95" t="str">
            <v>Export2nd New Buyer00Bath76x137L</v>
          </cell>
          <cell r="M95">
            <v>280</v>
          </cell>
          <cell r="N95">
            <v>520</v>
          </cell>
          <cell r="O95">
            <v>0.88</v>
          </cell>
          <cell r="P95">
            <v>2652</v>
          </cell>
          <cell r="Q95">
            <v>19.357664233576642</v>
          </cell>
          <cell r="R95">
            <v>3</v>
          </cell>
          <cell r="S95">
            <v>528</v>
          </cell>
          <cell r="T95" t="str">
            <v>1/13  Comb</v>
          </cell>
          <cell r="U95">
            <v>415.87</v>
          </cell>
          <cell r="X95" t="str">
            <v>2/30  KC</v>
          </cell>
          <cell r="Y95">
            <v>71.28</v>
          </cell>
          <cell r="Z95" t="str">
            <v xml:space="preserve">1/16OE  </v>
          </cell>
          <cell r="AA95">
            <v>67.712000000000003</v>
          </cell>
          <cell r="AB95" t="str">
            <v>2/20  Gas Mer</v>
          </cell>
          <cell r="AC95">
            <v>36.33</v>
          </cell>
          <cell r="AH95">
            <v>591.19200000000001</v>
          </cell>
          <cell r="AI95">
            <v>549.80855999999994</v>
          </cell>
          <cell r="AJ95">
            <v>7.0000000000000007E-2</v>
          </cell>
          <cell r="AK95">
            <v>2.5000000000000001E-3</v>
          </cell>
          <cell r="AL95">
            <v>1.4999999999999999E-2</v>
          </cell>
          <cell r="AM95">
            <v>0</v>
          </cell>
          <cell r="AN95">
            <v>0.01</v>
          </cell>
          <cell r="AO95">
            <v>1.3999999999999999E-2</v>
          </cell>
          <cell r="AQ95">
            <v>2.5000000000000001E-2</v>
          </cell>
          <cell r="AS95">
            <v>3</v>
          </cell>
          <cell r="AT95">
            <v>3</v>
          </cell>
          <cell r="AU95">
            <v>9</v>
          </cell>
          <cell r="AV95">
            <v>1.1000000000000001</v>
          </cell>
          <cell r="AW95">
            <v>70</v>
          </cell>
        </row>
        <row r="96">
          <cell r="K96" t="str">
            <v>Export2nd New Buyer00Bath76x137M</v>
          </cell>
          <cell r="M96">
            <v>280</v>
          </cell>
          <cell r="N96">
            <v>520</v>
          </cell>
          <cell r="O96">
            <v>0.88</v>
          </cell>
          <cell r="P96">
            <v>2652</v>
          </cell>
          <cell r="Q96">
            <v>19.357664233576642</v>
          </cell>
          <cell r="R96">
            <v>3</v>
          </cell>
          <cell r="S96">
            <v>528</v>
          </cell>
          <cell r="T96" t="str">
            <v>1/13  Comb</v>
          </cell>
          <cell r="U96">
            <v>415.87</v>
          </cell>
          <cell r="V96">
            <v>0</v>
          </cell>
          <cell r="W96">
            <v>0</v>
          </cell>
          <cell r="X96" t="str">
            <v>2/30  KC</v>
          </cell>
          <cell r="Y96">
            <v>71.28</v>
          </cell>
          <cell r="Z96" t="str">
            <v xml:space="preserve">1/16OE  </v>
          </cell>
          <cell r="AA96">
            <v>67.712000000000003</v>
          </cell>
          <cell r="AB96" t="str">
            <v>2/20  Gas Mer</v>
          </cell>
          <cell r="AC96">
            <v>36.33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591.19200000000001</v>
          </cell>
          <cell r="AI96">
            <v>549.80855999999994</v>
          </cell>
          <cell r="AJ96">
            <v>7.0000000000000007E-2</v>
          </cell>
          <cell r="AK96">
            <v>2.5000000000000001E-3</v>
          </cell>
          <cell r="AL96">
            <v>1.4999999999999999E-2</v>
          </cell>
          <cell r="AM96">
            <v>0</v>
          </cell>
          <cell r="AN96">
            <v>0.01</v>
          </cell>
          <cell r="AO96">
            <v>1.3999999999999999E-2</v>
          </cell>
          <cell r="AP96">
            <v>0</v>
          </cell>
          <cell r="AQ96">
            <v>2.5000000000000001E-2</v>
          </cell>
          <cell r="AR96">
            <v>0</v>
          </cell>
          <cell r="AS96">
            <v>3</v>
          </cell>
          <cell r="AT96">
            <v>3</v>
          </cell>
          <cell r="AU96">
            <v>9</v>
          </cell>
          <cell r="AV96">
            <v>1.1000000000000001</v>
          </cell>
          <cell r="AW96">
            <v>70</v>
          </cell>
        </row>
        <row r="97">
          <cell r="K97" t="str">
            <v>Export2nd New Buyer00Bath76x137D</v>
          </cell>
          <cell r="M97">
            <v>280</v>
          </cell>
          <cell r="N97">
            <v>520</v>
          </cell>
          <cell r="O97">
            <v>0.88</v>
          </cell>
          <cell r="P97">
            <v>2652</v>
          </cell>
          <cell r="Q97">
            <v>19.357664233576642</v>
          </cell>
          <cell r="R97">
            <v>3</v>
          </cell>
          <cell r="S97">
            <v>528</v>
          </cell>
          <cell r="T97" t="str">
            <v>1/13  Comb</v>
          </cell>
          <cell r="U97">
            <v>415.87</v>
          </cell>
          <cell r="V97">
            <v>0</v>
          </cell>
          <cell r="W97">
            <v>0</v>
          </cell>
          <cell r="X97" t="str">
            <v>2/30  KC</v>
          </cell>
          <cell r="Y97">
            <v>71.28</v>
          </cell>
          <cell r="Z97" t="str">
            <v xml:space="preserve">1/16OE  </v>
          </cell>
          <cell r="AA97">
            <v>67.712000000000003</v>
          </cell>
          <cell r="AB97" t="str">
            <v>2/20  Gas Mer</v>
          </cell>
          <cell r="AC97">
            <v>36.33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591.19200000000001</v>
          </cell>
          <cell r="AI97">
            <v>549.80855999999994</v>
          </cell>
          <cell r="AJ97">
            <v>7.0000000000000007E-2</v>
          </cell>
          <cell r="AK97">
            <v>2.5000000000000001E-3</v>
          </cell>
          <cell r="AL97">
            <v>1.4999999999999999E-2</v>
          </cell>
          <cell r="AM97">
            <v>0</v>
          </cell>
          <cell r="AN97">
            <v>0.01</v>
          </cell>
          <cell r="AO97">
            <v>1.3999999999999999E-2</v>
          </cell>
          <cell r="AP97">
            <v>0</v>
          </cell>
          <cell r="AQ97">
            <v>2.5000000000000001E-2</v>
          </cell>
          <cell r="AR97">
            <v>0</v>
          </cell>
          <cell r="AS97">
            <v>3</v>
          </cell>
          <cell r="AT97">
            <v>3</v>
          </cell>
          <cell r="AU97">
            <v>9</v>
          </cell>
          <cell r="AV97">
            <v>1.1000000000000001</v>
          </cell>
          <cell r="AW97">
            <v>70</v>
          </cell>
        </row>
        <row r="98">
          <cell r="K98" t="str">
            <v>Export2nd New Buyer00Hand41x76L</v>
          </cell>
          <cell r="M98">
            <v>340</v>
          </cell>
          <cell r="N98">
            <v>450</v>
          </cell>
          <cell r="O98">
            <v>0.88</v>
          </cell>
          <cell r="P98">
            <v>1557</v>
          </cell>
          <cell r="Q98">
            <v>20.486842105263158</v>
          </cell>
          <cell r="R98">
            <v>6</v>
          </cell>
          <cell r="S98">
            <v>522</v>
          </cell>
          <cell r="T98" t="str">
            <v>1/13  Comb</v>
          </cell>
          <cell r="U98">
            <v>107.55</v>
          </cell>
          <cell r="X98" t="str">
            <v>2/30  KC</v>
          </cell>
          <cell r="Y98">
            <v>21.15</v>
          </cell>
          <cell r="Z98" t="str">
            <v xml:space="preserve">1/16OE  </v>
          </cell>
          <cell r="AA98">
            <v>21.649000000000001</v>
          </cell>
          <cell r="AB98" t="str">
            <v>2/20  Gas Mer</v>
          </cell>
          <cell r="AC98">
            <v>13.05</v>
          </cell>
          <cell r="AH98">
            <v>163.399</v>
          </cell>
          <cell r="AI98">
            <v>151.96106999999998</v>
          </cell>
          <cell r="AJ98">
            <v>7.0000000000000007E-2</v>
          </cell>
          <cell r="AK98">
            <v>2.5000000000000001E-3</v>
          </cell>
          <cell r="AL98">
            <v>1.4999999999999999E-2</v>
          </cell>
          <cell r="AM98">
            <v>0</v>
          </cell>
          <cell r="AN98">
            <v>0.01</v>
          </cell>
          <cell r="AO98">
            <v>1.3999999999999999E-2</v>
          </cell>
          <cell r="AQ98">
            <v>2.5000000000000001E-2</v>
          </cell>
          <cell r="AS98">
            <v>3</v>
          </cell>
          <cell r="AT98">
            <v>3</v>
          </cell>
          <cell r="AU98">
            <v>9</v>
          </cell>
          <cell r="AV98">
            <v>1.1000000000000001</v>
          </cell>
          <cell r="AW98">
            <v>70</v>
          </cell>
        </row>
        <row r="99">
          <cell r="K99" t="str">
            <v>Export2nd New Buyer00Hand41x76M</v>
          </cell>
          <cell r="M99">
            <v>340</v>
          </cell>
          <cell r="N99">
            <v>450</v>
          </cell>
          <cell r="O99">
            <v>0.88</v>
          </cell>
          <cell r="P99">
            <v>1557</v>
          </cell>
          <cell r="Q99">
            <v>20.486842105263158</v>
          </cell>
          <cell r="R99">
            <v>6</v>
          </cell>
          <cell r="S99">
            <v>522</v>
          </cell>
          <cell r="T99" t="str">
            <v>1/13  Comb</v>
          </cell>
          <cell r="U99">
            <v>107.55</v>
          </cell>
          <cell r="V99">
            <v>0</v>
          </cell>
          <cell r="W99">
            <v>0</v>
          </cell>
          <cell r="X99" t="str">
            <v>2/30  KC</v>
          </cell>
          <cell r="Y99">
            <v>21.15</v>
          </cell>
          <cell r="Z99" t="str">
            <v xml:space="preserve">1/16OE  </v>
          </cell>
          <cell r="AA99">
            <v>21.649000000000001</v>
          </cell>
          <cell r="AB99" t="str">
            <v>2/20  Gas Mer</v>
          </cell>
          <cell r="AC99">
            <v>13.05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163.399</v>
          </cell>
          <cell r="AI99">
            <v>151.96106999999998</v>
          </cell>
          <cell r="AJ99">
            <v>7.0000000000000007E-2</v>
          </cell>
          <cell r="AK99">
            <v>2.5000000000000001E-3</v>
          </cell>
          <cell r="AL99">
            <v>1.4999999999999999E-2</v>
          </cell>
          <cell r="AM99">
            <v>0</v>
          </cell>
          <cell r="AN99">
            <v>0.01</v>
          </cell>
          <cell r="AO99">
            <v>1.3999999999999999E-2</v>
          </cell>
          <cell r="AP99">
            <v>0</v>
          </cell>
          <cell r="AQ99">
            <v>2.5000000000000001E-2</v>
          </cell>
          <cell r="AR99">
            <v>0</v>
          </cell>
          <cell r="AS99">
            <v>3</v>
          </cell>
          <cell r="AT99">
            <v>3</v>
          </cell>
          <cell r="AU99">
            <v>9</v>
          </cell>
          <cell r="AV99">
            <v>1.1000000000000001</v>
          </cell>
          <cell r="AW99">
            <v>70</v>
          </cell>
        </row>
        <row r="100">
          <cell r="K100" t="str">
            <v>Export2nd New Buyer00Hand41x76D</v>
          </cell>
          <cell r="M100">
            <v>340</v>
          </cell>
          <cell r="N100">
            <v>450</v>
          </cell>
          <cell r="O100">
            <v>0.88</v>
          </cell>
          <cell r="P100">
            <v>1557</v>
          </cell>
          <cell r="Q100">
            <v>20.486842105263158</v>
          </cell>
          <cell r="R100">
            <v>6</v>
          </cell>
          <cell r="S100">
            <v>522</v>
          </cell>
          <cell r="T100" t="str">
            <v>1/13  Comb</v>
          </cell>
          <cell r="U100">
            <v>107.55</v>
          </cell>
          <cell r="V100">
            <v>0</v>
          </cell>
          <cell r="W100">
            <v>0</v>
          </cell>
          <cell r="X100" t="str">
            <v>2/30  KC</v>
          </cell>
          <cell r="Y100">
            <v>21.15</v>
          </cell>
          <cell r="Z100" t="str">
            <v xml:space="preserve">1/16OE  </v>
          </cell>
          <cell r="AA100">
            <v>21.649000000000001</v>
          </cell>
          <cell r="AB100" t="str">
            <v>2/20  Gas Mer</v>
          </cell>
          <cell r="AC100">
            <v>13.05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163.399</v>
          </cell>
          <cell r="AI100">
            <v>151.96106999999998</v>
          </cell>
          <cell r="AJ100">
            <v>7.0000000000000007E-2</v>
          </cell>
          <cell r="AK100">
            <v>2.5000000000000001E-3</v>
          </cell>
          <cell r="AL100">
            <v>1.4999999999999999E-2</v>
          </cell>
          <cell r="AM100">
            <v>0</v>
          </cell>
          <cell r="AN100">
            <v>0.01</v>
          </cell>
          <cell r="AO100">
            <v>1.3999999999999999E-2</v>
          </cell>
          <cell r="AP100">
            <v>0</v>
          </cell>
          <cell r="AQ100">
            <v>2.5000000000000001E-2</v>
          </cell>
          <cell r="AR100">
            <v>0</v>
          </cell>
          <cell r="AS100">
            <v>3</v>
          </cell>
          <cell r="AT100">
            <v>3</v>
          </cell>
          <cell r="AU100">
            <v>9</v>
          </cell>
          <cell r="AV100">
            <v>1.1000000000000001</v>
          </cell>
          <cell r="AW100">
            <v>70</v>
          </cell>
        </row>
        <row r="101">
          <cell r="K101" t="str">
            <v>Export2nd New Buyer00Wash33x33L</v>
          </cell>
          <cell r="M101">
            <v>340</v>
          </cell>
          <cell r="N101">
            <v>450</v>
          </cell>
          <cell r="O101">
            <v>0.88</v>
          </cell>
          <cell r="P101">
            <v>846</v>
          </cell>
          <cell r="Q101">
            <v>25.636363636363637</v>
          </cell>
          <cell r="R101">
            <v>7</v>
          </cell>
          <cell r="S101">
            <v>524</v>
          </cell>
          <cell r="T101" t="str">
            <v>1/13  Comb</v>
          </cell>
          <cell r="U101">
            <v>36.76</v>
          </cell>
          <cell r="X101" t="str">
            <v>2/30  KC</v>
          </cell>
          <cell r="Y101">
            <v>8.4499999999999993</v>
          </cell>
          <cell r="Z101" t="str">
            <v xml:space="preserve">1/16OE  </v>
          </cell>
          <cell r="AA101">
            <v>8.9339999999999993</v>
          </cell>
          <cell r="AB101" t="str">
            <v>2/20  Gas Mer</v>
          </cell>
          <cell r="AC101">
            <v>7.2619999999999996</v>
          </cell>
          <cell r="AH101">
            <v>61.405999999999992</v>
          </cell>
          <cell r="AI101">
            <v>57.107579999999992</v>
          </cell>
          <cell r="AJ101">
            <v>7.0000000000000007E-2</v>
          </cell>
          <cell r="AK101">
            <v>2.5000000000000001E-3</v>
          </cell>
          <cell r="AL101">
            <v>1.4999999999999999E-2</v>
          </cell>
          <cell r="AM101">
            <v>0</v>
          </cell>
          <cell r="AN101">
            <v>0.01</v>
          </cell>
          <cell r="AO101">
            <v>1.3999999999999999E-2</v>
          </cell>
          <cell r="AQ101">
            <v>2.5000000000000001E-2</v>
          </cell>
          <cell r="AS101">
            <v>3</v>
          </cell>
          <cell r="AT101">
            <v>3</v>
          </cell>
          <cell r="AU101">
            <v>9</v>
          </cell>
          <cell r="AV101">
            <v>1.1000000000000001</v>
          </cell>
          <cell r="AW101">
            <v>70</v>
          </cell>
        </row>
        <row r="102">
          <cell r="K102" t="str">
            <v>Export2nd New Buyer00Wash33x33M</v>
          </cell>
          <cell r="M102">
            <v>340</v>
          </cell>
          <cell r="N102">
            <v>450</v>
          </cell>
          <cell r="O102">
            <v>0.88</v>
          </cell>
          <cell r="P102">
            <v>846</v>
          </cell>
          <cell r="Q102">
            <v>25.636363636363637</v>
          </cell>
          <cell r="R102">
            <v>7</v>
          </cell>
          <cell r="S102">
            <v>524</v>
          </cell>
          <cell r="T102" t="str">
            <v>1/13  Comb</v>
          </cell>
          <cell r="U102">
            <v>36.76</v>
          </cell>
          <cell r="V102">
            <v>0</v>
          </cell>
          <cell r="W102">
            <v>0</v>
          </cell>
          <cell r="X102" t="str">
            <v>2/30  KC</v>
          </cell>
          <cell r="Y102">
            <v>8.4499999999999993</v>
          </cell>
          <cell r="Z102" t="str">
            <v xml:space="preserve">1/16OE  </v>
          </cell>
          <cell r="AA102">
            <v>8.9339999999999993</v>
          </cell>
          <cell r="AB102" t="str">
            <v>2/20  Gas Mer</v>
          </cell>
          <cell r="AC102">
            <v>7.2619999999999996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61.405999999999992</v>
          </cell>
          <cell r="AI102">
            <v>57.107579999999992</v>
          </cell>
          <cell r="AJ102">
            <v>7.0000000000000007E-2</v>
          </cell>
          <cell r="AK102">
            <v>2.5000000000000001E-3</v>
          </cell>
          <cell r="AL102">
            <v>1.4999999999999999E-2</v>
          </cell>
          <cell r="AM102">
            <v>0</v>
          </cell>
          <cell r="AN102">
            <v>0.01</v>
          </cell>
          <cell r="AO102">
            <v>1.3999999999999999E-2</v>
          </cell>
          <cell r="AP102">
            <v>0</v>
          </cell>
          <cell r="AQ102">
            <v>2.5000000000000001E-2</v>
          </cell>
          <cell r="AR102">
            <v>0</v>
          </cell>
          <cell r="AS102">
            <v>3</v>
          </cell>
          <cell r="AT102">
            <v>3</v>
          </cell>
          <cell r="AU102">
            <v>9</v>
          </cell>
          <cell r="AV102">
            <v>1.1000000000000001</v>
          </cell>
          <cell r="AW102">
            <v>70</v>
          </cell>
        </row>
        <row r="103">
          <cell r="K103" t="str">
            <v>Export2nd New Buyer00Wash33x33D</v>
          </cell>
          <cell r="M103">
            <v>340</v>
          </cell>
          <cell r="N103">
            <v>450</v>
          </cell>
          <cell r="O103">
            <v>0.88</v>
          </cell>
          <cell r="P103">
            <v>846</v>
          </cell>
          <cell r="Q103">
            <v>25.636363636363637</v>
          </cell>
          <cell r="R103">
            <v>7</v>
          </cell>
          <cell r="S103">
            <v>524</v>
          </cell>
          <cell r="T103" t="str">
            <v>1/13  Comb</v>
          </cell>
          <cell r="U103">
            <v>36.76</v>
          </cell>
          <cell r="V103">
            <v>0</v>
          </cell>
          <cell r="W103">
            <v>0</v>
          </cell>
          <cell r="X103" t="str">
            <v>2/30  KC</v>
          </cell>
          <cell r="Y103">
            <v>8.4499999999999993</v>
          </cell>
          <cell r="Z103" t="str">
            <v xml:space="preserve">1/16OE  </v>
          </cell>
          <cell r="AA103">
            <v>8.9339999999999993</v>
          </cell>
          <cell r="AB103" t="str">
            <v>2/20  Gas Mer</v>
          </cell>
          <cell r="AC103">
            <v>7.2619999999999996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61.405999999999992</v>
          </cell>
          <cell r="AI103">
            <v>57.107579999999992</v>
          </cell>
          <cell r="AJ103">
            <v>7.0000000000000007E-2</v>
          </cell>
          <cell r="AK103">
            <v>2.5000000000000001E-3</v>
          </cell>
          <cell r="AL103">
            <v>1.4999999999999999E-2</v>
          </cell>
          <cell r="AM103">
            <v>0</v>
          </cell>
          <cell r="AN103">
            <v>0.01</v>
          </cell>
          <cell r="AO103">
            <v>1.3999999999999999E-2</v>
          </cell>
          <cell r="AP103">
            <v>0</v>
          </cell>
          <cell r="AQ103">
            <v>2.5000000000000001E-2</v>
          </cell>
          <cell r="AR103">
            <v>0</v>
          </cell>
          <cell r="AS103">
            <v>3</v>
          </cell>
          <cell r="AT103">
            <v>3</v>
          </cell>
          <cell r="AU103">
            <v>9</v>
          </cell>
          <cell r="AV103">
            <v>1.1000000000000001</v>
          </cell>
          <cell r="AW103">
            <v>70</v>
          </cell>
        </row>
        <row r="104">
          <cell r="K104" t="str">
            <v>Export3rd New Buyer00Bath0x0L</v>
          </cell>
          <cell r="M104">
            <v>280</v>
          </cell>
          <cell r="N104">
            <v>520</v>
          </cell>
          <cell r="O104">
            <v>0.88</v>
          </cell>
          <cell r="P104">
            <v>2652</v>
          </cell>
          <cell r="Q104">
            <v>0</v>
          </cell>
          <cell r="R104">
            <v>3</v>
          </cell>
          <cell r="S104">
            <v>528</v>
          </cell>
          <cell r="T104" t="str">
            <v>1/13  Comb</v>
          </cell>
          <cell r="U104">
            <v>415.87</v>
          </cell>
          <cell r="X104" t="str">
            <v>2/30  KC</v>
          </cell>
          <cell r="Y104">
            <v>71.28</v>
          </cell>
          <cell r="Z104" t="str">
            <v xml:space="preserve">1/16OE  </v>
          </cell>
          <cell r="AA104">
            <v>67.712000000000003</v>
          </cell>
          <cell r="AB104" t="str">
            <v>2/20  Gas Mer</v>
          </cell>
          <cell r="AC104">
            <v>36.33</v>
          </cell>
          <cell r="AH104">
            <v>591.19200000000001</v>
          </cell>
          <cell r="AI104">
            <v>591.19200000000001</v>
          </cell>
          <cell r="AO104">
            <v>1.3999999999999999E-2</v>
          </cell>
          <cell r="AQ104">
            <v>2.5000000000000001E-2</v>
          </cell>
          <cell r="AS104">
            <v>3</v>
          </cell>
          <cell r="AT104">
            <v>3</v>
          </cell>
          <cell r="AU104">
            <v>9</v>
          </cell>
          <cell r="AV104">
            <v>1.1000000000000001</v>
          </cell>
          <cell r="AW104">
            <v>70</v>
          </cell>
        </row>
        <row r="105">
          <cell r="K105" t="str">
            <v>Export3rd New Buyer00Bath0x0M</v>
          </cell>
          <cell r="M105">
            <v>280</v>
          </cell>
          <cell r="N105">
            <v>520</v>
          </cell>
          <cell r="O105">
            <v>0.88</v>
          </cell>
          <cell r="P105">
            <v>2652</v>
          </cell>
          <cell r="Q105">
            <v>0</v>
          </cell>
          <cell r="R105">
            <v>3</v>
          </cell>
          <cell r="S105">
            <v>528</v>
          </cell>
          <cell r="T105" t="str">
            <v>1/13  Comb</v>
          </cell>
          <cell r="U105">
            <v>415.87</v>
          </cell>
          <cell r="V105">
            <v>0</v>
          </cell>
          <cell r="W105">
            <v>0</v>
          </cell>
          <cell r="X105" t="str">
            <v>2/30  KC</v>
          </cell>
          <cell r="Y105">
            <v>71.28</v>
          </cell>
          <cell r="Z105" t="str">
            <v xml:space="preserve">1/16OE  </v>
          </cell>
          <cell r="AA105">
            <v>67.712000000000003</v>
          </cell>
          <cell r="AB105" t="str">
            <v>2/20  Gas Mer</v>
          </cell>
          <cell r="AC105">
            <v>36.33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591.19200000000001</v>
          </cell>
          <cell r="AI105">
            <v>591.19200000000001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1.3999999999999999E-2</v>
          </cell>
          <cell r="AP105">
            <v>0</v>
          </cell>
          <cell r="AQ105">
            <v>2.5000000000000001E-2</v>
          </cell>
          <cell r="AR105">
            <v>0</v>
          </cell>
          <cell r="AS105">
            <v>3</v>
          </cell>
          <cell r="AT105">
            <v>3</v>
          </cell>
          <cell r="AU105">
            <v>9</v>
          </cell>
          <cell r="AV105">
            <v>1.1000000000000001</v>
          </cell>
          <cell r="AW105">
            <v>70</v>
          </cell>
        </row>
        <row r="106">
          <cell r="K106" t="str">
            <v>Export3rd New Buyer00Bath0x0D</v>
          </cell>
          <cell r="M106">
            <v>280</v>
          </cell>
          <cell r="N106">
            <v>520</v>
          </cell>
          <cell r="O106">
            <v>0.88</v>
          </cell>
          <cell r="P106">
            <v>2652</v>
          </cell>
          <cell r="Q106">
            <v>0</v>
          </cell>
          <cell r="R106">
            <v>3</v>
          </cell>
          <cell r="S106">
            <v>528</v>
          </cell>
          <cell r="T106" t="str">
            <v>1/13  Comb</v>
          </cell>
          <cell r="U106">
            <v>415.87</v>
          </cell>
          <cell r="V106">
            <v>0</v>
          </cell>
          <cell r="W106">
            <v>0</v>
          </cell>
          <cell r="X106" t="str">
            <v>2/30  KC</v>
          </cell>
          <cell r="Y106">
            <v>71.28</v>
          </cell>
          <cell r="Z106" t="str">
            <v xml:space="preserve">1/16OE  </v>
          </cell>
          <cell r="AA106">
            <v>67.712000000000003</v>
          </cell>
          <cell r="AB106" t="str">
            <v>2/20  Gas Mer</v>
          </cell>
          <cell r="AC106">
            <v>36.33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591.19200000000001</v>
          </cell>
          <cell r="AI106">
            <v>591.19200000000001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1.3999999999999999E-2</v>
          </cell>
          <cell r="AP106">
            <v>0</v>
          </cell>
          <cell r="AQ106">
            <v>2.5000000000000001E-2</v>
          </cell>
          <cell r="AR106">
            <v>0</v>
          </cell>
          <cell r="AS106">
            <v>3</v>
          </cell>
          <cell r="AT106">
            <v>3</v>
          </cell>
          <cell r="AU106">
            <v>9</v>
          </cell>
          <cell r="AV106">
            <v>1.1000000000000001</v>
          </cell>
          <cell r="AW106">
            <v>70</v>
          </cell>
        </row>
        <row r="107">
          <cell r="K107" t="str">
            <v>DomesticWIL-VapiField Crest0Bath76x147L</v>
          </cell>
          <cell r="M107">
            <v>280</v>
          </cell>
          <cell r="N107">
            <v>520</v>
          </cell>
          <cell r="O107">
            <v>0.88</v>
          </cell>
          <cell r="P107">
            <v>3540</v>
          </cell>
          <cell r="Q107">
            <v>24.081632653061224</v>
          </cell>
          <cell r="R107">
            <v>3</v>
          </cell>
          <cell r="S107">
            <v>690</v>
          </cell>
          <cell r="T107" t="str">
            <v>2/20  Combpima</v>
          </cell>
          <cell r="U107">
            <v>584.72</v>
          </cell>
          <cell r="X107" t="str">
            <v>2/24  KC</v>
          </cell>
          <cell r="Y107">
            <v>94.18</v>
          </cell>
          <cell r="Z107" t="str">
            <v xml:space="preserve">1/16OE  </v>
          </cell>
          <cell r="AA107">
            <v>93.66</v>
          </cell>
          <cell r="AB107" t="str">
            <v>2/16  KC</v>
          </cell>
          <cell r="AC107">
            <v>51.9</v>
          </cell>
          <cell r="AH107">
            <v>824.46</v>
          </cell>
          <cell r="AI107">
            <v>824.46</v>
          </cell>
          <cell r="AJ107">
            <v>0</v>
          </cell>
          <cell r="AL107">
            <v>1.4999999999999999E-2</v>
          </cell>
          <cell r="AO107">
            <v>1.3999999999999999E-2</v>
          </cell>
          <cell r="AQ107">
            <v>2.5000000000000001E-2</v>
          </cell>
          <cell r="AS107">
            <v>3</v>
          </cell>
          <cell r="AT107">
            <v>3</v>
          </cell>
          <cell r="AV107">
            <v>1.1000000000000001</v>
          </cell>
        </row>
        <row r="108">
          <cell r="K108" t="str">
            <v>DomesticWIL-VapiField Crest0Hand41x76M</v>
          </cell>
          <cell r="M108">
            <v>340</v>
          </cell>
          <cell r="N108">
            <v>450</v>
          </cell>
          <cell r="O108">
            <v>0.88</v>
          </cell>
          <cell r="P108">
            <v>2184</v>
          </cell>
          <cell r="Q108">
            <v>28.736842105263158</v>
          </cell>
          <cell r="R108">
            <v>6</v>
          </cell>
          <cell r="S108">
            <v>668</v>
          </cell>
          <cell r="T108" t="str">
            <v>2/20  Combpima</v>
          </cell>
          <cell r="U108">
            <v>144.19</v>
          </cell>
          <cell r="X108" t="str">
            <v>2/24  KC</v>
          </cell>
          <cell r="Y108">
            <v>27.1</v>
          </cell>
          <cell r="Z108" t="str">
            <v xml:space="preserve">1/16OE  </v>
          </cell>
          <cell r="AA108">
            <v>30.62</v>
          </cell>
          <cell r="AB108" t="str">
            <v>2/16  KC</v>
          </cell>
          <cell r="AC108">
            <v>20.71</v>
          </cell>
          <cell r="AH108">
            <v>222.62</v>
          </cell>
          <cell r="AI108">
            <v>222.62</v>
          </cell>
          <cell r="AJ108">
            <v>0</v>
          </cell>
          <cell r="AL108">
            <v>1.4999999999999999E-2</v>
          </cell>
          <cell r="AO108">
            <v>1.3999999999999999E-2</v>
          </cell>
          <cell r="AQ108">
            <v>2.5000000000000001E-2</v>
          </cell>
          <cell r="AS108">
            <v>3</v>
          </cell>
          <cell r="AT108">
            <v>3</v>
          </cell>
          <cell r="AV108">
            <v>1.1000000000000001</v>
          </cell>
        </row>
        <row r="109">
          <cell r="K109" t="str">
            <v>DomesticWIL-VapiField Crest0Wash33x33D</v>
          </cell>
          <cell r="M109">
            <v>340</v>
          </cell>
          <cell r="N109">
            <v>450</v>
          </cell>
          <cell r="O109">
            <v>0.88</v>
          </cell>
          <cell r="P109">
            <v>984</v>
          </cell>
          <cell r="Q109">
            <v>29.818181818181817</v>
          </cell>
          <cell r="R109">
            <v>7</v>
          </cell>
          <cell r="S109">
            <v>676</v>
          </cell>
          <cell r="T109" t="str">
            <v>2/20  Combpima</v>
          </cell>
          <cell r="U109">
            <v>47.66</v>
          </cell>
          <cell r="X109" t="str">
            <v>2/24  KC</v>
          </cell>
          <cell r="Y109">
            <v>11.09</v>
          </cell>
          <cell r="Z109" t="str">
            <v xml:space="preserve">1/16OE  </v>
          </cell>
          <cell r="AA109">
            <v>11.13</v>
          </cell>
          <cell r="AB109" t="str">
            <v>2/16  KC</v>
          </cell>
          <cell r="AC109">
            <v>8.86</v>
          </cell>
          <cell r="AH109">
            <v>78.739999999999995</v>
          </cell>
          <cell r="AI109">
            <v>78.739999999999995</v>
          </cell>
          <cell r="AJ109">
            <v>0</v>
          </cell>
          <cell r="AL109">
            <v>1.4999999999999999E-2</v>
          </cell>
          <cell r="AO109">
            <v>1.3999999999999999E-2</v>
          </cell>
          <cell r="AQ109">
            <v>2.5000000000000001E-2</v>
          </cell>
          <cell r="AS109">
            <v>3</v>
          </cell>
          <cell r="AT109">
            <v>3</v>
          </cell>
          <cell r="AV109">
            <v>1.1000000000000001</v>
          </cell>
        </row>
        <row r="110">
          <cell r="K110" t="str">
            <v>DomesticZucchiBathrobe0Bathrobe285x100M</v>
          </cell>
          <cell r="M110">
            <v>340</v>
          </cell>
          <cell r="N110">
            <v>450</v>
          </cell>
          <cell r="O110">
            <v>0.88</v>
          </cell>
          <cell r="P110">
            <v>2010</v>
          </cell>
          <cell r="Q110">
            <v>20.100000000000001</v>
          </cell>
          <cell r="R110">
            <v>1</v>
          </cell>
          <cell r="S110">
            <v>420</v>
          </cell>
          <cell r="T110" t="str">
            <v>1/16  KC</v>
          </cell>
          <cell r="U110">
            <v>801.34</v>
          </cell>
          <cell r="X110" t="str">
            <v>2/20  KC</v>
          </cell>
          <cell r="Y110">
            <v>264.73</v>
          </cell>
          <cell r="Z110" t="str">
            <v xml:space="preserve">1/16OE  </v>
          </cell>
          <cell r="AA110">
            <v>249.28</v>
          </cell>
          <cell r="AH110">
            <v>1315.3500000000001</v>
          </cell>
          <cell r="AI110">
            <v>1315.3500000000001</v>
          </cell>
          <cell r="AJ110">
            <v>0</v>
          </cell>
          <cell r="AL110">
            <v>1.4999999999999999E-2</v>
          </cell>
          <cell r="AO110">
            <v>1.3999999999999999E-2</v>
          </cell>
          <cell r="AQ110">
            <v>2.5000000000000001E-2</v>
          </cell>
          <cell r="AS110">
            <v>3</v>
          </cell>
          <cell r="AT110">
            <v>3</v>
          </cell>
          <cell r="AV110">
            <v>1.1000000000000001</v>
          </cell>
        </row>
        <row r="111">
          <cell r="K111" t="str">
            <v>DomesticWIL-VapiKohls Sonama0Bath76x147L</v>
          </cell>
          <cell r="M111">
            <v>280</v>
          </cell>
          <cell r="N111">
            <v>520</v>
          </cell>
          <cell r="O111">
            <v>0.88</v>
          </cell>
          <cell r="P111">
            <v>3540</v>
          </cell>
          <cell r="Q111">
            <v>24.081632653061224</v>
          </cell>
          <cell r="R111">
            <v>3</v>
          </cell>
          <cell r="S111">
            <v>690</v>
          </cell>
          <cell r="T111" t="str">
            <v>2/20  Combpima</v>
          </cell>
          <cell r="U111">
            <v>584.72</v>
          </cell>
          <cell r="X111" t="str">
            <v>2/24  KC</v>
          </cell>
          <cell r="Y111">
            <v>94.18</v>
          </cell>
          <cell r="Z111" t="str">
            <v xml:space="preserve">1/16OE  </v>
          </cell>
          <cell r="AA111">
            <v>93.66</v>
          </cell>
          <cell r="AB111" t="str">
            <v>2/16  KC</v>
          </cell>
          <cell r="AC111">
            <v>51.9</v>
          </cell>
          <cell r="AH111">
            <v>824.46</v>
          </cell>
          <cell r="AI111">
            <v>824.46</v>
          </cell>
          <cell r="AJ111">
            <v>0</v>
          </cell>
          <cell r="AL111">
            <v>1.4999999999999999E-2</v>
          </cell>
          <cell r="AO111">
            <v>1.3999999999999999E-2</v>
          </cell>
          <cell r="AQ111">
            <v>2.5000000000000001E-2</v>
          </cell>
          <cell r="AS111">
            <v>3</v>
          </cell>
          <cell r="AT111">
            <v>3</v>
          </cell>
          <cell r="AV111">
            <v>1.1000000000000001</v>
          </cell>
        </row>
        <row r="112">
          <cell r="K112" t="str">
            <v>DomesticWIL-VapiKohls Sonama0Hand41x76M</v>
          </cell>
          <cell r="M112">
            <v>340</v>
          </cell>
          <cell r="N112">
            <v>450</v>
          </cell>
          <cell r="O112">
            <v>0.88</v>
          </cell>
          <cell r="P112">
            <v>2184</v>
          </cell>
          <cell r="Q112">
            <v>28.736842105263158</v>
          </cell>
          <cell r="R112">
            <v>6</v>
          </cell>
          <cell r="S112">
            <v>668</v>
          </cell>
          <cell r="T112" t="str">
            <v>2/20  Combpima</v>
          </cell>
          <cell r="U112">
            <v>144.19</v>
          </cell>
          <cell r="X112" t="str">
            <v>2/24  KC</v>
          </cell>
          <cell r="Y112">
            <v>27.1</v>
          </cell>
          <cell r="Z112" t="str">
            <v xml:space="preserve">1/16OE  </v>
          </cell>
          <cell r="AA112">
            <v>30.62</v>
          </cell>
          <cell r="AB112" t="str">
            <v>2/16  KC</v>
          </cell>
          <cell r="AC112">
            <v>20.71</v>
          </cell>
          <cell r="AH112">
            <v>222.62</v>
          </cell>
          <cell r="AI112">
            <v>222.62</v>
          </cell>
          <cell r="AJ112">
            <v>0</v>
          </cell>
          <cell r="AL112">
            <v>1.4999999999999999E-2</v>
          </cell>
          <cell r="AO112">
            <v>1.3999999999999999E-2</v>
          </cell>
          <cell r="AQ112">
            <v>2.5000000000000001E-2</v>
          </cell>
          <cell r="AS112">
            <v>3</v>
          </cell>
          <cell r="AT112">
            <v>3</v>
          </cell>
          <cell r="AV112">
            <v>1.1000000000000001</v>
          </cell>
        </row>
        <row r="113">
          <cell r="K113" t="str">
            <v>DomesticWIL-VapiKohls Sonama0Wash33x33D</v>
          </cell>
          <cell r="M113">
            <v>340</v>
          </cell>
          <cell r="N113">
            <v>450</v>
          </cell>
          <cell r="O113">
            <v>0.88</v>
          </cell>
          <cell r="P113">
            <v>984</v>
          </cell>
          <cell r="Q113">
            <v>29.818181818181817</v>
          </cell>
          <cell r="R113">
            <v>7</v>
          </cell>
          <cell r="S113">
            <v>676</v>
          </cell>
          <cell r="T113" t="str">
            <v>2/20  Combpima</v>
          </cell>
          <cell r="U113">
            <v>47.66</v>
          </cell>
          <cell r="X113" t="str">
            <v>2/24  KC</v>
          </cell>
          <cell r="Y113">
            <v>11.09</v>
          </cell>
          <cell r="Z113" t="str">
            <v xml:space="preserve">1/16OE  </v>
          </cell>
          <cell r="AA113">
            <v>11.13</v>
          </cell>
          <cell r="AB113" t="str">
            <v>2/16  KC</v>
          </cell>
          <cell r="AC113">
            <v>8.86</v>
          </cell>
          <cell r="AH113">
            <v>78.739999999999995</v>
          </cell>
          <cell r="AI113">
            <v>78.739999999999995</v>
          </cell>
          <cell r="AJ113">
            <v>0</v>
          </cell>
          <cell r="AL113">
            <v>1.4999999999999999E-2</v>
          </cell>
          <cell r="AO113">
            <v>1.3999999999999999E-2</v>
          </cell>
          <cell r="AQ113">
            <v>2.5000000000000001E-2</v>
          </cell>
          <cell r="AS113">
            <v>3</v>
          </cell>
          <cell r="AT113">
            <v>3</v>
          </cell>
          <cell r="AV113">
            <v>1.1000000000000001</v>
          </cell>
        </row>
        <row r="114">
          <cell r="K114" t="str">
            <v>DomesticWIL-VapiTarget Solid0Bath76x147M</v>
          </cell>
          <cell r="M114">
            <v>280</v>
          </cell>
          <cell r="N114">
            <v>520</v>
          </cell>
          <cell r="O114">
            <v>0.88</v>
          </cell>
          <cell r="P114">
            <v>3540</v>
          </cell>
          <cell r="Q114">
            <v>24.081632653061224</v>
          </cell>
          <cell r="R114">
            <v>3</v>
          </cell>
          <cell r="S114">
            <v>690</v>
          </cell>
          <cell r="T114" t="str">
            <v>2/20  Combpima</v>
          </cell>
          <cell r="U114">
            <v>584.72</v>
          </cell>
          <cell r="X114" t="str">
            <v>2/24  KC</v>
          </cell>
          <cell r="Y114">
            <v>94.18</v>
          </cell>
          <cell r="Z114" t="str">
            <v xml:space="preserve">1/16OE  </v>
          </cell>
          <cell r="AA114">
            <v>93.66</v>
          </cell>
          <cell r="AB114" t="str">
            <v>2/16  KC</v>
          </cell>
          <cell r="AC114">
            <v>51.9</v>
          </cell>
          <cell r="AH114">
            <v>824.46</v>
          </cell>
          <cell r="AI114">
            <v>824.46</v>
          </cell>
          <cell r="AJ114">
            <v>0</v>
          </cell>
          <cell r="AL114">
            <v>1.4999999999999999E-2</v>
          </cell>
          <cell r="AO114">
            <v>1.3999999999999999E-2</v>
          </cell>
          <cell r="AQ114">
            <v>2.5000000000000001E-2</v>
          </cell>
          <cell r="AS114">
            <v>3</v>
          </cell>
          <cell r="AT114">
            <v>3</v>
          </cell>
          <cell r="AV114">
            <v>1.1000000000000001</v>
          </cell>
        </row>
      </sheetData>
      <sheetData sheetId="4" refreshError="1">
        <row r="3">
          <cell r="G3" t="str">
            <v>Final Code</v>
          </cell>
          <cell r="H3" t="str">
            <v>Taken</v>
          </cell>
          <cell r="I3" t="str">
            <v>Cur</v>
          </cell>
          <cell r="J3" t="str">
            <v>Rate 1</v>
          </cell>
          <cell r="K3" t="str">
            <v>Rate 2</v>
          </cell>
          <cell r="L3" t="str">
            <v>Rate 3</v>
          </cell>
          <cell r="M3" t="str">
            <v>Rate 4</v>
          </cell>
        </row>
        <row r="4">
          <cell r="G4" t="str">
            <v>1/13   KC</v>
          </cell>
          <cell r="H4">
            <v>84.5</v>
          </cell>
          <cell r="I4">
            <v>80.02</v>
          </cell>
          <cell r="J4">
            <v>84</v>
          </cell>
          <cell r="K4">
            <v>85</v>
          </cell>
          <cell r="L4">
            <v>85</v>
          </cell>
          <cell r="M4">
            <v>84</v>
          </cell>
        </row>
        <row r="5">
          <cell r="G5" t="str">
            <v>2/24  KC</v>
          </cell>
          <cell r="H5">
            <v>107.5</v>
          </cell>
          <cell r="I5">
            <v>106.97</v>
          </cell>
          <cell r="J5">
            <v>107</v>
          </cell>
          <cell r="K5">
            <v>108</v>
          </cell>
          <cell r="L5">
            <v>108</v>
          </cell>
          <cell r="M5">
            <v>107</v>
          </cell>
        </row>
        <row r="6">
          <cell r="G6" t="str">
            <v xml:space="preserve">1/14OE  </v>
          </cell>
          <cell r="H6">
            <v>75.75</v>
          </cell>
          <cell r="I6">
            <v>71.62</v>
          </cell>
          <cell r="J6">
            <v>76</v>
          </cell>
          <cell r="K6">
            <v>75</v>
          </cell>
          <cell r="L6">
            <v>76</v>
          </cell>
          <cell r="M6">
            <v>76</v>
          </cell>
        </row>
        <row r="7">
          <cell r="G7" t="str">
            <v>2/20  KC</v>
          </cell>
          <cell r="H7">
            <v>107.5</v>
          </cell>
          <cell r="I7">
            <v>100</v>
          </cell>
          <cell r="J7">
            <v>107</v>
          </cell>
          <cell r="K7">
            <v>108</v>
          </cell>
          <cell r="L7">
            <v>108</v>
          </cell>
          <cell r="M7">
            <v>107</v>
          </cell>
        </row>
        <row r="8">
          <cell r="G8" t="str">
            <v>2/20  Comb</v>
          </cell>
          <cell r="H8">
            <v>116.5</v>
          </cell>
          <cell r="I8">
            <v>102.04</v>
          </cell>
          <cell r="J8">
            <v>116</v>
          </cell>
          <cell r="K8">
            <v>117</v>
          </cell>
          <cell r="L8">
            <v>117</v>
          </cell>
          <cell r="M8">
            <v>116</v>
          </cell>
        </row>
        <row r="9">
          <cell r="G9" t="str">
            <v>1/13  Comb</v>
          </cell>
          <cell r="H9">
            <v>96.5</v>
          </cell>
          <cell r="I9">
            <v>97.05</v>
          </cell>
          <cell r="J9">
            <v>96</v>
          </cell>
          <cell r="K9">
            <v>97</v>
          </cell>
          <cell r="L9">
            <v>97</v>
          </cell>
          <cell r="M9">
            <v>96</v>
          </cell>
        </row>
        <row r="10">
          <cell r="G10" t="str">
            <v>1/13  Tend KC</v>
          </cell>
          <cell r="H10">
            <v>87.5</v>
          </cell>
          <cell r="I10">
            <v>83.86</v>
          </cell>
          <cell r="J10">
            <v>87</v>
          </cell>
          <cell r="K10">
            <v>88</v>
          </cell>
          <cell r="L10">
            <v>88</v>
          </cell>
          <cell r="M10">
            <v>87</v>
          </cell>
        </row>
        <row r="11">
          <cell r="G11" t="str">
            <v>1/13  Egy Comb</v>
          </cell>
          <cell r="H11">
            <v>172.09</v>
          </cell>
          <cell r="I11">
            <v>172.09</v>
          </cell>
          <cell r="J11">
            <v>172.09</v>
          </cell>
          <cell r="K11">
            <v>172.09</v>
          </cell>
          <cell r="L11">
            <v>172.09</v>
          </cell>
          <cell r="M11">
            <v>172.09</v>
          </cell>
        </row>
        <row r="12">
          <cell r="G12" t="str">
            <v xml:space="preserve">2/10RF Comb+VIS  </v>
          </cell>
          <cell r="H12">
            <v>94</v>
          </cell>
          <cell r="I12">
            <v>94</v>
          </cell>
          <cell r="J12">
            <v>94</v>
          </cell>
          <cell r="K12">
            <v>94</v>
          </cell>
          <cell r="L12">
            <v>94</v>
          </cell>
          <cell r="M12">
            <v>94</v>
          </cell>
        </row>
        <row r="13">
          <cell r="G13" t="str">
            <v>2/30  KC</v>
          </cell>
          <cell r="H13">
            <v>118.5</v>
          </cell>
          <cell r="I13">
            <v>111.91</v>
          </cell>
          <cell r="J13">
            <v>118</v>
          </cell>
          <cell r="K13">
            <v>119</v>
          </cell>
          <cell r="L13">
            <v>119</v>
          </cell>
          <cell r="M13">
            <v>118</v>
          </cell>
        </row>
        <row r="14">
          <cell r="G14" t="str">
            <v>2/16  Egy Comb</v>
          </cell>
          <cell r="H14">
            <v>142.57</v>
          </cell>
          <cell r="I14">
            <v>142.57</v>
          </cell>
          <cell r="J14">
            <v>142.57</v>
          </cell>
          <cell r="K14">
            <v>142.57</v>
          </cell>
          <cell r="L14">
            <v>142.57</v>
          </cell>
          <cell r="M14">
            <v>142.57</v>
          </cell>
        </row>
        <row r="15">
          <cell r="G15" t="str">
            <v xml:space="preserve">1/11OE  </v>
          </cell>
          <cell r="H15">
            <v>70.75</v>
          </cell>
          <cell r="I15">
            <v>67.5</v>
          </cell>
          <cell r="J15">
            <v>71</v>
          </cell>
          <cell r="K15">
            <v>70</v>
          </cell>
          <cell r="L15">
            <v>71</v>
          </cell>
          <cell r="M15">
            <v>71</v>
          </cell>
        </row>
        <row r="16">
          <cell r="G16" t="str">
            <v xml:space="preserve">1/11.5OE VIS+COT  </v>
          </cell>
          <cell r="H16">
            <v>72.33</v>
          </cell>
          <cell r="I16">
            <v>72.33</v>
          </cell>
          <cell r="J16">
            <v>72.33</v>
          </cell>
          <cell r="K16">
            <v>72.33</v>
          </cell>
          <cell r="L16">
            <v>72.33</v>
          </cell>
          <cell r="M16">
            <v>72.33</v>
          </cell>
        </row>
        <row r="17">
          <cell r="G17" t="str">
            <v xml:space="preserve">1/16OE  </v>
          </cell>
          <cell r="H17">
            <v>77.75</v>
          </cell>
          <cell r="I17">
            <v>78</v>
          </cell>
          <cell r="J17">
            <v>78</v>
          </cell>
          <cell r="K17">
            <v>77</v>
          </cell>
          <cell r="L17">
            <v>78</v>
          </cell>
          <cell r="M17">
            <v>78</v>
          </cell>
        </row>
        <row r="18">
          <cell r="G18" t="str">
            <v>1/16  Comb</v>
          </cell>
          <cell r="H18">
            <v>101.5</v>
          </cell>
          <cell r="I18">
            <v>90</v>
          </cell>
          <cell r="J18">
            <v>101</v>
          </cell>
          <cell r="K18">
            <v>102</v>
          </cell>
          <cell r="L18">
            <v>102</v>
          </cell>
          <cell r="M18">
            <v>101</v>
          </cell>
        </row>
        <row r="19">
          <cell r="G19" t="str">
            <v>2/20  Gas Mer</v>
          </cell>
          <cell r="H19">
            <v>174</v>
          </cell>
          <cell r="I19">
            <v>174</v>
          </cell>
          <cell r="J19">
            <v>174</v>
          </cell>
          <cell r="K19">
            <v>174</v>
          </cell>
          <cell r="L19">
            <v>174</v>
          </cell>
          <cell r="M19">
            <v>174</v>
          </cell>
        </row>
        <row r="20">
          <cell r="G20" t="str">
            <v>2/16  KC</v>
          </cell>
          <cell r="H20">
            <v>97.5</v>
          </cell>
          <cell r="I20">
            <v>87.7</v>
          </cell>
          <cell r="J20">
            <v>97</v>
          </cell>
          <cell r="K20">
            <v>98</v>
          </cell>
          <cell r="L20">
            <v>98</v>
          </cell>
          <cell r="M20">
            <v>97</v>
          </cell>
        </row>
        <row r="21">
          <cell r="G21" t="str">
            <v>/450  Den</v>
          </cell>
          <cell r="H21">
            <v>127.25</v>
          </cell>
          <cell r="I21">
            <v>127.25</v>
          </cell>
          <cell r="J21">
            <v>127.25</v>
          </cell>
          <cell r="K21">
            <v>127.25</v>
          </cell>
          <cell r="L21">
            <v>127.25</v>
          </cell>
          <cell r="M21">
            <v>127.25</v>
          </cell>
        </row>
        <row r="22">
          <cell r="G22" t="str">
            <v>1/16  CombDyed</v>
          </cell>
          <cell r="H22">
            <v>150</v>
          </cell>
          <cell r="I22">
            <v>150</v>
          </cell>
          <cell r="J22">
            <v>150</v>
          </cell>
          <cell r="K22">
            <v>150</v>
          </cell>
          <cell r="L22">
            <v>150</v>
          </cell>
          <cell r="M22">
            <v>150</v>
          </cell>
        </row>
        <row r="23">
          <cell r="G23" t="str">
            <v>2/20  Combpima</v>
          </cell>
          <cell r="H23">
            <v>143.07</v>
          </cell>
          <cell r="I23">
            <v>143.07</v>
          </cell>
          <cell r="J23">
            <v>143.07</v>
          </cell>
          <cell r="K23">
            <v>143.07</v>
          </cell>
          <cell r="L23">
            <v>143.07</v>
          </cell>
          <cell r="M23">
            <v>143.07</v>
          </cell>
        </row>
        <row r="24">
          <cell r="G24" t="str">
            <v>2/24  CombEgpt</v>
          </cell>
          <cell r="H24">
            <v>154</v>
          </cell>
          <cell r="I24">
            <v>154</v>
          </cell>
          <cell r="J24">
            <v>154</v>
          </cell>
          <cell r="K24">
            <v>154</v>
          </cell>
          <cell r="L24">
            <v>154</v>
          </cell>
          <cell r="M24">
            <v>154</v>
          </cell>
        </row>
        <row r="25">
          <cell r="G25" t="str">
            <v>1/16  KC</v>
          </cell>
          <cell r="H25">
            <v>88.5</v>
          </cell>
          <cell r="I25">
            <v>75.62</v>
          </cell>
          <cell r="J25">
            <v>88</v>
          </cell>
          <cell r="K25">
            <v>89</v>
          </cell>
          <cell r="L25">
            <v>89</v>
          </cell>
          <cell r="M25">
            <v>88</v>
          </cell>
        </row>
        <row r="26">
          <cell r="G26" t="str">
            <v>2/24  DyedPattern</v>
          </cell>
          <cell r="H26">
            <v>160</v>
          </cell>
          <cell r="J26">
            <v>160</v>
          </cell>
          <cell r="K26">
            <v>160</v>
          </cell>
          <cell r="L26">
            <v>160</v>
          </cell>
          <cell r="M26">
            <v>160</v>
          </cell>
        </row>
        <row r="27">
          <cell r="G27" t="str">
            <v xml:space="preserve">/  </v>
          </cell>
          <cell r="H27">
            <v>0</v>
          </cell>
        </row>
        <row r="28">
          <cell r="G28" t="str">
            <v xml:space="preserve">/  </v>
          </cell>
          <cell r="H28">
            <v>0</v>
          </cell>
        </row>
        <row r="29">
          <cell r="G29" t="str">
            <v xml:space="preserve">/  </v>
          </cell>
          <cell r="H29">
            <v>0</v>
          </cell>
        </row>
        <row r="30">
          <cell r="G30" t="str">
            <v xml:space="preserve">/  </v>
          </cell>
          <cell r="H30">
            <v>0</v>
          </cell>
        </row>
        <row r="31">
          <cell r="G31" t="str">
            <v xml:space="preserve">/  </v>
          </cell>
          <cell r="H31">
            <v>0</v>
          </cell>
        </row>
        <row r="32">
          <cell r="G32" t="str">
            <v xml:space="preserve">/  </v>
          </cell>
          <cell r="H32">
            <v>0</v>
          </cell>
        </row>
        <row r="33">
          <cell r="G33" t="str">
            <v xml:space="preserve">/  </v>
          </cell>
          <cell r="H33">
            <v>0</v>
          </cell>
        </row>
        <row r="34">
          <cell r="G34" t="str">
            <v xml:space="preserve">/  </v>
          </cell>
          <cell r="H34">
            <v>0</v>
          </cell>
        </row>
        <row r="35">
          <cell r="G35" t="str">
            <v xml:space="preserve">/  </v>
          </cell>
          <cell r="H35">
            <v>0</v>
          </cell>
        </row>
        <row r="36">
          <cell r="G36" t="str">
            <v xml:space="preserve">/  </v>
          </cell>
          <cell r="H36">
            <v>0</v>
          </cell>
        </row>
        <row r="37">
          <cell r="G37" t="str">
            <v xml:space="preserve">/  </v>
          </cell>
          <cell r="H37">
            <v>0</v>
          </cell>
        </row>
        <row r="38">
          <cell r="G38" t="str">
            <v xml:space="preserve">/  </v>
          </cell>
          <cell r="H38">
            <v>0</v>
          </cell>
        </row>
        <row r="39">
          <cell r="G39" t="str">
            <v xml:space="preserve">/  </v>
          </cell>
          <cell r="H39">
            <v>0</v>
          </cell>
        </row>
        <row r="40">
          <cell r="G40" t="str">
            <v xml:space="preserve">/  </v>
          </cell>
          <cell r="H40">
            <v>0</v>
          </cell>
        </row>
        <row r="41">
          <cell r="G41" t="str">
            <v xml:space="preserve">/  </v>
          </cell>
          <cell r="H41">
            <v>0</v>
          </cell>
        </row>
        <row r="42">
          <cell r="G42" t="str">
            <v xml:space="preserve">/  </v>
          </cell>
          <cell r="H42">
            <v>0</v>
          </cell>
        </row>
        <row r="43">
          <cell r="G43">
            <v>0</v>
          </cell>
          <cell r="H43">
            <v>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"/>
      <sheetName val="Sheet1 (2)"/>
      <sheetName val="Sheet1"/>
      <sheetName val="SCHEDULE VI"/>
      <sheetName val="SEPT 08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Working"/>
      <sheetName val="Sheet1"/>
      <sheetName val="Pivot"/>
      <sheetName val="Consumption"/>
      <sheetName val="Qtr-IV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  <sheetName val="comp_rev_exp"/>
      <sheetName val="Excise_on_RM"/>
      <sheetName val="HOUSE_RENT_DEPO_"/>
      <sheetName val="debt schedule"/>
      <sheetName val="comp_rev_exp1"/>
      <sheetName val="Excise_on_RM1"/>
      <sheetName val="HOUSE_RENT_DEPO_1"/>
      <sheetName val="DATA"/>
      <sheetName val="ecc_res"/>
      <sheetName val="Sheet1"/>
      <sheetName val="V.master Oct10"/>
      <sheetName val="Assumptions"/>
      <sheetName val="P&amp;LG"/>
      <sheetName val="Intaccrual"/>
      <sheetName val="SBU"/>
      <sheetName val="Department"/>
      <sheetName val="Designation"/>
      <sheetName val="Group"/>
      <sheetName val="WorkState"/>
      <sheetName val="BS"/>
      <sheetName val="Ind AS Actng Entries"/>
      <sheetName val="Trial Balance"/>
      <sheetName val="para"/>
      <sheetName val="CUTTING"/>
      <sheetName val="SEWING"/>
      <sheetName val="Glnk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tdint"/>
      <sheetName val="P&amp;LSC"/>
      <sheetName val="Ageing Due Date"/>
      <sheetName val="pvr-value"/>
      <sheetName val="Dep"/>
      <sheetName val="Rate analysis"/>
      <sheetName val="Input"/>
      <sheetName val="HOUSE RENT DEPO_"/>
      <sheetName val="Annexure 3A"/>
      <sheetName val="debt_schedule"/>
      <sheetName val="Fill this out first..."/>
      <sheetName val="Loan Data"/>
      <sheetName val="June 03"/>
      <sheetName val="icici"/>
      <sheetName val="Web Rate Query"/>
      <sheetName val="comp_rev_exp2"/>
      <sheetName val="Excise_on_RM2"/>
      <sheetName val="HOUSE_RENT_DEPO_2"/>
      <sheetName val="comp_rev_exp3"/>
      <sheetName val="Excise_on_RM3"/>
      <sheetName val="HOUSE_RENT_DEPO_3"/>
      <sheetName val="debt_schedule1"/>
      <sheetName val="comp_rev_exp4"/>
      <sheetName val="Excise_on_RM4"/>
      <sheetName val="HOUSE_RENT_DEPO_4"/>
      <sheetName val="debt_schedule2"/>
      <sheetName val="comp_rev_exp5"/>
      <sheetName val="Excise_on_RM5"/>
      <sheetName val="HOUSE_RENT_DEPO_5"/>
      <sheetName val="debt_schedule3"/>
      <sheetName val="comp_rev_exp6"/>
      <sheetName val="Excise_on_RM6"/>
      <sheetName val="HOUSE_RENT_DEPO_6"/>
      <sheetName val="debt_schedule4"/>
      <sheetName val="Textile P&amp;L"/>
      <sheetName val="Do not delete"/>
      <sheetName val="Ledger"/>
      <sheetName val="para4"/>
      <sheetName val="TBAL Dahej"/>
      <sheetName val="TBAL DAP"/>
      <sheetName val="Net Trial"/>
      <sheetName val="ACCOUNTS"/>
      <sheetName val="A-General"/>
      <sheetName val="Model"/>
      <sheetName val="RECO"/>
      <sheetName val="July"/>
      <sheetName val="Blore"/>
      <sheetName val="Chnai"/>
      <sheetName val="Pun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.CODE"/>
      <sheetName val="CUTTING"/>
      <sheetName val="SEWING"/>
      <sheetName val="PACKING"/>
      <sheetName val="Sheet1"/>
      <sheetName val="FAB_CODE"/>
      <sheetName val="FAB_CODE1"/>
      <sheetName val="sortpart"/>
      <sheetName val="CostDetails"/>
      <sheetName val="D&amp;C_Pkg"/>
      <sheetName val="Yarn Rates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  <sheetName val="Working"/>
      <sheetName val="debt schedule"/>
      <sheetName val="Excise on RM"/>
    </sheetNames>
    <sheetDataSet>
      <sheetData sheetId="0"/>
      <sheetData sheetId="1"/>
      <sheetData sheetId="2" refreshError="1">
        <row r="4">
          <cell r="AB4" t="str">
            <v>Key3</v>
          </cell>
          <cell r="AC4" t="str">
            <v>Grey Prodn</v>
          </cell>
        </row>
        <row r="5">
          <cell r="AB5" t="str">
            <v>ExportTargetWaverlyUSABath76x142L</v>
          </cell>
          <cell r="AC5">
            <v>240916.36545626423</v>
          </cell>
        </row>
        <row r="6">
          <cell r="AB6" t="str">
            <v>ExportTargetWaverlyUSABath76x142M</v>
          </cell>
          <cell r="AC6">
            <v>96366.546182505685</v>
          </cell>
        </row>
        <row r="7">
          <cell r="AB7" t="str">
            <v>ExportTargetWaverlyUSABath76x142D</v>
          </cell>
          <cell r="AC7">
            <v>144549.81927375856</v>
          </cell>
        </row>
        <row r="8">
          <cell r="AB8" t="str">
            <v>ExportTargetWaverlyUSAHand41x76L</v>
          </cell>
          <cell r="AC8">
            <v>21257.326363788019</v>
          </cell>
        </row>
        <row r="9">
          <cell r="AB9" t="str">
            <v>ExportTargetWaverlyUSAHand41x76M</v>
          </cell>
          <cell r="AC9">
            <v>8502.930545515208</v>
          </cell>
        </row>
        <row r="10">
          <cell r="AB10" t="str">
            <v>ExportTargetWaverlyUSAHand41x76D</v>
          </cell>
          <cell r="AC10">
            <v>12754.395818272813</v>
          </cell>
        </row>
        <row r="11">
          <cell r="AB11" t="str">
            <v>ExportTargetWaverlyUSAWash30x30L</v>
          </cell>
          <cell r="AC11">
            <v>21257.326363788019</v>
          </cell>
        </row>
        <row r="12">
          <cell r="AB12" t="str">
            <v>ExportTargetWaverlyUSAWash30x30M</v>
          </cell>
          <cell r="AC12">
            <v>8502.930545515208</v>
          </cell>
        </row>
        <row r="13">
          <cell r="AB13" t="str">
            <v>ExportTargetWaverlyUSAWash30x30D</v>
          </cell>
          <cell r="AC13">
            <v>12754.395818272813</v>
          </cell>
        </row>
        <row r="14">
          <cell r="AB14" t="str">
            <v>ExportWalmartHome TrendsUSABath76x132L</v>
          </cell>
          <cell r="AC14">
            <v>307050.2696991603</v>
          </cell>
        </row>
        <row r="15">
          <cell r="AB15" t="str">
            <v>ExportWalmartHome TrendsUSABath76x132M</v>
          </cell>
          <cell r="AC15">
            <v>122820.10787966412</v>
          </cell>
        </row>
        <row r="16">
          <cell r="AB16" t="str">
            <v>ExportWalmartHome TrendsUSABath76x132D</v>
          </cell>
          <cell r="AC16">
            <v>184230.16181949619</v>
          </cell>
        </row>
        <row r="17">
          <cell r="AB17" t="str">
            <v>ExportWalmartHome TrendsUSAHand41x69L</v>
          </cell>
          <cell r="AC17">
            <v>27092.670855808265</v>
          </cell>
        </row>
        <row r="18">
          <cell r="AB18" t="str">
            <v>ExportWalmartHome TrendsUSAHand41x69M</v>
          </cell>
          <cell r="AC18">
            <v>10837.068342323306</v>
          </cell>
        </row>
        <row r="19">
          <cell r="AB19" t="str">
            <v>ExportWalmartHome TrendsUSAHand41x69D</v>
          </cell>
          <cell r="AC19">
            <v>16255.602513484959</v>
          </cell>
        </row>
        <row r="20">
          <cell r="AB20" t="str">
            <v>ExportWalmartHome TrendsUSAWash33x33L</v>
          </cell>
          <cell r="AC20">
            <v>27092.670855808265</v>
          </cell>
        </row>
        <row r="21">
          <cell r="AB21" t="str">
            <v>ExportWalmartHome TrendsUSAWash33x33M</v>
          </cell>
          <cell r="AC21">
            <v>10837.068342323306</v>
          </cell>
        </row>
        <row r="22">
          <cell r="AB22" t="str">
            <v>ExportWalmartHome TrendsUSAWash33x33D</v>
          </cell>
          <cell r="AC22">
            <v>16255.602513484959</v>
          </cell>
        </row>
        <row r="23">
          <cell r="AB23" t="str">
            <v>ExportMill WorkingCannon LandmarkUSABath76x137L</v>
          </cell>
          <cell r="AC23">
            <v>30010.343101818384</v>
          </cell>
        </row>
        <row r="24">
          <cell r="AB24" t="str">
            <v>ExportMill WorkingCannon LandmarkUSABath76x137M</v>
          </cell>
          <cell r="AC24">
            <v>12004.137240727354</v>
          </cell>
        </row>
        <row r="25">
          <cell r="AB25" t="str">
            <v>ExportMill WorkingCannon LandmarkUSABath76x137D</v>
          </cell>
          <cell r="AC25">
            <v>18006.205861091028</v>
          </cell>
        </row>
        <row r="26">
          <cell r="AB26" t="str">
            <v>ExportMill WorkingCannon LandmarkUSAHand41x76L</v>
          </cell>
          <cell r="AC26">
            <v>1667.2412834343547</v>
          </cell>
        </row>
        <row r="27">
          <cell r="AB27" t="str">
            <v>ExportMill WorkingCannon LandmarkUSAHand41x76M</v>
          </cell>
          <cell r="AC27">
            <v>666.89651337374175</v>
          </cell>
        </row>
        <row r="28">
          <cell r="AB28" t="str">
            <v>ExportMill WorkingCannon LandmarkUSAHand41x76D</v>
          </cell>
          <cell r="AC28">
            <v>1000.344770060613</v>
          </cell>
        </row>
        <row r="29">
          <cell r="AB29" t="str">
            <v>ExportMill WorkingCannon LandmarkUSAWash33x33L</v>
          </cell>
          <cell r="AC29">
            <v>1667.2412834343547</v>
          </cell>
        </row>
        <row r="30">
          <cell r="AB30" t="str">
            <v>ExportMill WorkingCannon LandmarkUSAWash33x33M</v>
          </cell>
          <cell r="AC30">
            <v>666.89651337374175</v>
          </cell>
        </row>
        <row r="31">
          <cell r="AB31" t="str">
            <v>ExportMill WorkingCannon LandmarkUSAWash33x33D</v>
          </cell>
          <cell r="AC31">
            <v>1000.344770060613</v>
          </cell>
        </row>
        <row r="32">
          <cell r="AB32" t="str">
            <v>ExportMill WorkingCannon MilestoneUSABath76x137L</v>
          </cell>
          <cell r="AC32">
            <v>30010.343101818384</v>
          </cell>
        </row>
        <row r="33">
          <cell r="AB33" t="str">
            <v>ExportMill WorkingCannon MilestoneUSABath76x137M</v>
          </cell>
          <cell r="AC33">
            <v>12004.137240727354</v>
          </cell>
        </row>
        <row r="34">
          <cell r="AB34" t="str">
            <v>ExportMill WorkingCannon MilestoneUSABath76x137D</v>
          </cell>
          <cell r="AC34">
            <v>18006.205861091028</v>
          </cell>
        </row>
        <row r="35">
          <cell r="AB35" t="str">
            <v>ExportMill WorkingCannon MilestoneUSAHand41x76L</v>
          </cell>
          <cell r="AC35">
            <v>1667.2412834343547</v>
          </cell>
        </row>
        <row r="36">
          <cell r="AB36" t="str">
            <v>ExportMill WorkingCannon MilestoneUSAHand41x76M</v>
          </cell>
          <cell r="AC36">
            <v>666.89651337374175</v>
          </cell>
        </row>
        <row r="37">
          <cell r="AB37" t="str">
            <v>ExportMill WorkingCannon MilestoneUSAHand41x76D</v>
          </cell>
          <cell r="AC37">
            <v>1000.344770060613</v>
          </cell>
        </row>
        <row r="38">
          <cell r="AB38" t="str">
            <v>ExportMill WorkingCannon MilestoneUSAWash33x33L</v>
          </cell>
          <cell r="AC38">
            <v>1667.2412834343547</v>
          </cell>
        </row>
        <row r="39">
          <cell r="AB39" t="str">
            <v>ExportMill WorkingCannon MilestoneUSAWash33x33M</v>
          </cell>
          <cell r="AC39">
            <v>666.89651337374175</v>
          </cell>
        </row>
        <row r="40">
          <cell r="AB40" t="str">
            <v>ExportMill WorkingCannon MilestoneUSAWash33x33D</v>
          </cell>
          <cell r="AC40">
            <v>1000.344770060613</v>
          </cell>
        </row>
        <row r="41">
          <cell r="AB41" t="str">
            <v>ExportWelspun USAEsplamaUSABath76x137L</v>
          </cell>
          <cell r="AC41">
            <v>0</v>
          </cell>
        </row>
        <row r="42">
          <cell r="AB42" t="str">
            <v>ExportWelspun USAEsplamaUSABath76x137M</v>
          </cell>
          <cell r="AC42">
            <v>0</v>
          </cell>
        </row>
        <row r="43">
          <cell r="AB43" t="str">
            <v>ExportWelspun USAEsplamaUSABath76x137D</v>
          </cell>
          <cell r="AC43">
            <v>0</v>
          </cell>
        </row>
        <row r="44">
          <cell r="AB44" t="str">
            <v>ExportWelspun USAEsplamaUSAHand41x71L</v>
          </cell>
          <cell r="AC44">
            <v>0</v>
          </cell>
        </row>
        <row r="45">
          <cell r="AB45" t="str">
            <v>ExportWelspun USAEsplamaUSAHand41x71M</v>
          </cell>
          <cell r="AC45">
            <v>0</v>
          </cell>
        </row>
        <row r="46">
          <cell r="AB46" t="str">
            <v>ExportWelspun USAEsplamaUSAHand41x71D</v>
          </cell>
          <cell r="AC46">
            <v>0</v>
          </cell>
        </row>
        <row r="47">
          <cell r="AB47" t="str">
            <v>ExportWelspun USAEsplamaUSAWash33x33L</v>
          </cell>
          <cell r="AC47">
            <v>0</v>
          </cell>
        </row>
        <row r="48">
          <cell r="AB48" t="str">
            <v>ExportWelspun USAEsplamaUSAWash33x33M</v>
          </cell>
          <cell r="AC48">
            <v>0</v>
          </cell>
        </row>
        <row r="49">
          <cell r="AB49" t="str">
            <v>ExportWelspun USAEsplamaUSAWash33x33D</v>
          </cell>
          <cell r="AC49">
            <v>0</v>
          </cell>
        </row>
        <row r="50">
          <cell r="AB50" t="str">
            <v>ExportLNTManorUSABath76x147L</v>
          </cell>
          <cell r="AC50">
            <v>0</v>
          </cell>
        </row>
        <row r="51">
          <cell r="AB51" t="str">
            <v>ExportLNTManorUSABath76x147M</v>
          </cell>
          <cell r="AC51">
            <v>0</v>
          </cell>
        </row>
        <row r="52">
          <cell r="AB52" t="str">
            <v>ExportLNTManorUSABath76x147D</v>
          </cell>
          <cell r="AC52">
            <v>0</v>
          </cell>
        </row>
        <row r="53">
          <cell r="AB53" t="str">
            <v>ExportLNTManorUSAHand51x76L</v>
          </cell>
          <cell r="AC53">
            <v>0</v>
          </cell>
        </row>
        <row r="54">
          <cell r="AB54" t="str">
            <v>ExportLNTManorUSAHand51x76M</v>
          </cell>
          <cell r="AC54">
            <v>0</v>
          </cell>
        </row>
        <row r="55">
          <cell r="AB55" t="str">
            <v>ExportLNTManorUSAHand51x76D</v>
          </cell>
          <cell r="AC55">
            <v>0</v>
          </cell>
        </row>
        <row r="56">
          <cell r="AB56" t="str">
            <v>ExportLNTManorUSAWash33x33L</v>
          </cell>
          <cell r="AC56">
            <v>0</v>
          </cell>
        </row>
        <row r="57">
          <cell r="AB57" t="str">
            <v>ExportLNTManorUSAWash33x33M</v>
          </cell>
          <cell r="AC57">
            <v>0</v>
          </cell>
        </row>
        <row r="58">
          <cell r="AB58" t="str">
            <v>ExportLNTManorUSAWash33x33D</v>
          </cell>
          <cell r="AC58">
            <v>0</v>
          </cell>
        </row>
        <row r="59">
          <cell r="AB59" t="str">
            <v>ExportLNTNewUSABath76x147L</v>
          </cell>
          <cell r="AC59">
            <v>0</v>
          </cell>
        </row>
        <row r="60">
          <cell r="AB60" t="str">
            <v>ExportLNTNewUSABath76x147M</v>
          </cell>
          <cell r="AC60">
            <v>0</v>
          </cell>
        </row>
        <row r="61">
          <cell r="AB61" t="str">
            <v>ExportLNTNewUSABath76x147D</v>
          </cell>
          <cell r="AC61">
            <v>0</v>
          </cell>
        </row>
        <row r="62">
          <cell r="AB62" t="str">
            <v>ExportLNTNewUSAHand51x76L</v>
          </cell>
          <cell r="AC62">
            <v>0</v>
          </cell>
        </row>
        <row r="63">
          <cell r="AB63" t="str">
            <v>ExportLNTNewUSAHand51x76M</v>
          </cell>
          <cell r="AC63">
            <v>0</v>
          </cell>
        </row>
        <row r="64">
          <cell r="AB64" t="str">
            <v>ExportLNTNewUSAHand51x76D</v>
          </cell>
          <cell r="AC64">
            <v>0</v>
          </cell>
        </row>
        <row r="65">
          <cell r="AB65" t="str">
            <v>ExportLNTNewUSAWash33x33L</v>
          </cell>
          <cell r="AC65">
            <v>0</v>
          </cell>
        </row>
        <row r="66">
          <cell r="AB66" t="str">
            <v>ExportLNTNewUSAWash33x33M</v>
          </cell>
          <cell r="AC66">
            <v>0</v>
          </cell>
        </row>
        <row r="67">
          <cell r="AB67" t="str">
            <v>ExportLNTNewUSAWash33x33D</v>
          </cell>
          <cell r="AC67">
            <v>0</v>
          </cell>
        </row>
        <row r="68">
          <cell r="AB68" t="str">
            <v>ExportKohlsBig One StripeUSABath76x137L</v>
          </cell>
          <cell r="AC68">
            <v>0</v>
          </cell>
        </row>
        <row r="69">
          <cell r="AB69" t="str">
            <v>ExportKohlsBig One StripeUSABath76x137M</v>
          </cell>
          <cell r="AC69">
            <v>0</v>
          </cell>
        </row>
        <row r="70">
          <cell r="AB70" t="str">
            <v>ExportKohlsBig One StripeUSABath76x137D</v>
          </cell>
          <cell r="AC70">
            <v>0</v>
          </cell>
        </row>
        <row r="71">
          <cell r="AB71" t="str">
            <v>ExportKohlsBig One StripeUSAHand41x71L</v>
          </cell>
          <cell r="AC71">
            <v>0</v>
          </cell>
        </row>
        <row r="72">
          <cell r="AB72" t="str">
            <v>ExportKohlsBig One StripeUSAHand41x71M</v>
          </cell>
          <cell r="AC72">
            <v>0</v>
          </cell>
        </row>
        <row r="73">
          <cell r="AB73" t="str">
            <v>ExportKohlsBig One StripeUSAHand41x71D</v>
          </cell>
          <cell r="AC73">
            <v>0</v>
          </cell>
        </row>
        <row r="74">
          <cell r="AB74" t="str">
            <v>ExportKohlsBig One StripeUSAWash30x30L</v>
          </cell>
          <cell r="AC74">
            <v>0</v>
          </cell>
        </row>
        <row r="75">
          <cell r="AB75" t="str">
            <v>ExportKohlsBig One StripeUSAWash30x30M</v>
          </cell>
          <cell r="AC75">
            <v>0</v>
          </cell>
        </row>
        <row r="76">
          <cell r="AB76" t="str">
            <v>ExportKohlsBig One StripeUSAWash30x30D</v>
          </cell>
          <cell r="AC76">
            <v>0</v>
          </cell>
        </row>
        <row r="77">
          <cell r="AB77" t="str">
            <v>ExportKohlsBig One SolidUSABath76x137L</v>
          </cell>
          <cell r="AC77">
            <v>311774.12000222428</v>
          </cell>
        </row>
        <row r="78">
          <cell r="AB78" t="str">
            <v>ExportKohlsBig One SolidUSABath76x137M</v>
          </cell>
          <cell r="AC78">
            <v>124709.64800088973</v>
          </cell>
        </row>
        <row r="79">
          <cell r="AB79" t="str">
            <v>ExportKohlsBig One SolidUSABath76x137D</v>
          </cell>
          <cell r="AC79">
            <v>187064.47200133454</v>
          </cell>
        </row>
        <row r="80">
          <cell r="AB80" t="str">
            <v>ExportKohlsBig One SolidUSAHand41x71L</v>
          </cell>
          <cell r="AC80">
            <v>27509.481176666854</v>
          </cell>
        </row>
        <row r="81">
          <cell r="AB81" t="str">
            <v>ExportKohlsBig One SolidUSAHand41x71M</v>
          </cell>
          <cell r="AC81">
            <v>11003.79247066674</v>
          </cell>
        </row>
        <row r="82">
          <cell r="AB82" t="str">
            <v>ExportKohlsBig One SolidUSAHand41x71D</v>
          </cell>
          <cell r="AC82">
            <v>16505.688706000114</v>
          </cell>
        </row>
        <row r="83">
          <cell r="AB83" t="str">
            <v>ExportKohlsBig One SolidUSAWash30x30L</v>
          </cell>
          <cell r="AC83">
            <v>27509.481176666854</v>
          </cell>
        </row>
        <row r="84">
          <cell r="AB84" t="str">
            <v>ExportKohlsBig One SolidUSAWash30x30M</v>
          </cell>
          <cell r="AC84">
            <v>11003.79247066674</v>
          </cell>
        </row>
        <row r="85">
          <cell r="AB85" t="str">
            <v>ExportKohlsBig One SolidUSAWash30x30D</v>
          </cell>
          <cell r="AC85">
            <v>16505.688706000114</v>
          </cell>
        </row>
        <row r="86">
          <cell r="AB86" t="str">
            <v>ExportIst New Buyer00Bath76x137L</v>
          </cell>
          <cell r="AC86">
            <v>0</v>
          </cell>
        </row>
        <row r="87">
          <cell r="AB87" t="str">
            <v>ExportIst New Buyer00Bath76x137M</v>
          </cell>
          <cell r="AC87">
            <v>0</v>
          </cell>
        </row>
        <row r="88">
          <cell r="AB88" t="str">
            <v>ExportIst New Buyer00Bath76x137D</v>
          </cell>
          <cell r="AC88">
            <v>0</v>
          </cell>
        </row>
        <row r="89">
          <cell r="AB89" t="str">
            <v>ExportIst New Buyer00Hand41x76L</v>
          </cell>
          <cell r="AC89">
            <v>0</v>
          </cell>
        </row>
        <row r="90">
          <cell r="AB90" t="str">
            <v>ExportIst New Buyer00Hand41x76M</v>
          </cell>
          <cell r="AC90">
            <v>0</v>
          </cell>
        </row>
        <row r="91">
          <cell r="AB91" t="str">
            <v>ExportIst New Buyer00Hand41x76D</v>
          </cell>
          <cell r="AC91">
            <v>0</v>
          </cell>
        </row>
        <row r="92">
          <cell r="AB92" t="str">
            <v>ExportIst New Buyer00Wash33x33L</v>
          </cell>
          <cell r="AC92">
            <v>0</v>
          </cell>
        </row>
        <row r="93">
          <cell r="AB93" t="str">
            <v>ExportIst New Buyer00Wash33x33M</v>
          </cell>
          <cell r="AC93">
            <v>0</v>
          </cell>
        </row>
        <row r="94">
          <cell r="AB94" t="str">
            <v>ExportIst New Buyer00Wash33x33D</v>
          </cell>
          <cell r="AC94">
            <v>0</v>
          </cell>
        </row>
        <row r="95">
          <cell r="AB95" t="str">
            <v>Export2nd New Buyer00Bath76x137L</v>
          </cell>
          <cell r="AC95">
            <v>0</v>
          </cell>
        </row>
        <row r="96">
          <cell r="AB96" t="str">
            <v>Export2nd New Buyer00Bath76x137M</v>
          </cell>
          <cell r="AC96">
            <v>0</v>
          </cell>
        </row>
        <row r="97">
          <cell r="AB97" t="str">
            <v>Export2nd New Buyer00Bath76x137D</v>
          </cell>
          <cell r="AC97">
            <v>0</v>
          </cell>
        </row>
        <row r="98">
          <cell r="AB98" t="str">
            <v>Export2nd New Buyer00Hand41x76L</v>
          </cell>
          <cell r="AC98">
            <v>0</v>
          </cell>
        </row>
        <row r="99">
          <cell r="AB99" t="str">
            <v>Export2nd New Buyer00Hand41x76M</v>
          </cell>
          <cell r="AC99">
            <v>0</v>
          </cell>
        </row>
        <row r="100">
          <cell r="AB100" t="str">
            <v>Export2nd New Buyer00Hand41x76D</v>
          </cell>
          <cell r="AC100">
            <v>0</v>
          </cell>
        </row>
        <row r="101">
          <cell r="AB101" t="str">
            <v>Export2nd New Buyer00Wash33x33L</v>
          </cell>
          <cell r="AC101">
            <v>0</v>
          </cell>
        </row>
        <row r="102">
          <cell r="AB102" t="str">
            <v>Export2nd New Buyer00Wash33x33M</v>
          </cell>
          <cell r="AC102">
            <v>0</v>
          </cell>
        </row>
        <row r="103">
          <cell r="AB103" t="str">
            <v>Export2nd New Buyer00Wash33x33D</v>
          </cell>
          <cell r="AC103">
            <v>0</v>
          </cell>
        </row>
        <row r="104">
          <cell r="AB104" t="str">
            <v>Export3rd New Buyer00Bath0x0L</v>
          </cell>
          <cell r="AC104">
            <v>0</v>
          </cell>
        </row>
        <row r="105">
          <cell r="AB105" t="str">
            <v>Export3rd New Buyer00Bath0x0M</v>
          </cell>
          <cell r="AC105">
            <v>0</v>
          </cell>
        </row>
        <row r="106">
          <cell r="AB106" t="str">
            <v>Export3rd New Buyer00Bath0x0D</v>
          </cell>
          <cell r="AC106">
            <v>0</v>
          </cell>
        </row>
        <row r="107">
          <cell r="AB107">
            <v>0</v>
          </cell>
          <cell r="AC107">
            <v>0</v>
          </cell>
        </row>
        <row r="108">
          <cell r="AB108">
            <v>0</v>
          </cell>
          <cell r="AC108">
            <v>0</v>
          </cell>
        </row>
        <row r="109">
          <cell r="AB109" t="str">
            <v>DomesticWIL-VapiKohls Sonama0Bath76x147L</v>
          </cell>
          <cell r="AC109">
            <v>327288.83248730964</v>
          </cell>
        </row>
        <row r="110">
          <cell r="AB110" t="str">
            <v>DomesticWIL-VapiKohls Sonama0Hand41x76M</v>
          </cell>
          <cell r="AC110">
            <v>38504.568527918782</v>
          </cell>
        </row>
        <row r="111">
          <cell r="AB111" t="str">
            <v>DomesticWIL-VapiKohls Sonama0Wash33x33D</v>
          </cell>
          <cell r="AC111">
            <v>19252.284263959391</v>
          </cell>
        </row>
        <row r="112">
          <cell r="AB112" t="str">
            <v>DomesticZucchiBathrobe0Bathrobe285x100M</v>
          </cell>
          <cell r="AC112">
            <v>162487.30964467005</v>
          </cell>
        </row>
        <row r="113">
          <cell r="AB113" t="str">
            <v>DomesticWIL-VapiTarget Solid0Bath76x147M</v>
          </cell>
          <cell r="AC113">
            <v>108034.36548223351</v>
          </cell>
        </row>
        <row r="114">
          <cell r="AB114" t="str">
            <v>0000000</v>
          </cell>
          <cell r="AC114">
            <v>0</v>
          </cell>
        </row>
        <row r="115">
          <cell r="AB115" t="str">
            <v>0000000</v>
          </cell>
          <cell r="AC115">
            <v>0</v>
          </cell>
        </row>
        <row r="116">
          <cell r="AB116" t="str">
            <v>0000000</v>
          </cell>
          <cell r="AC116">
            <v>0</v>
          </cell>
        </row>
        <row r="117">
          <cell r="AB117" t="str">
            <v>0000000</v>
          </cell>
          <cell r="AC117">
            <v>0</v>
          </cell>
        </row>
        <row r="118">
          <cell r="AB118" t="str">
            <v>0000000</v>
          </cell>
          <cell r="AC118">
            <v>0</v>
          </cell>
        </row>
        <row r="119">
          <cell r="AB119">
            <v>0</v>
          </cell>
          <cell r="AC119">
            <v>2811866.0869811918</v>
          </cell>
        </row>
        <row r="120">
          <cell r="AB120">
            <v>0</v>
          </cell>
          <cell r="AC120">
            <v>0</v>
          </cell>
        </row>
        <row r="121">
          <cell r="AB121" t="str">
            <v>Key -3</v>
          </cell>
          <cell r="AC121" t="str">
            <v>Total Grey Prodn</v>
          </cell>
        </row>
        <row r="122">
          <cell r="AB122" t="str">
            <v>ExportTargetWaverlyUSABath76x142L</v>
          </cell>
          <cell r="AC122">
            <v>240916.36545626423</v>
          </cell>
        </row>
        <row r="123">
          <cell r="AB123" t="str">
            <v>ExportTargetWaverlyUSABath76x142M</v>
          </cell>
          <cell r="AC123">
            <v>96366.546182505685</v>
          </cell>
        </row>
        <row r="124">
          <cell r="AB124" t="str">
            <v>ExportTargetWaverlyUSABath76x142D</v>
          </cell>
          <cell r="AC124">
            <v>144549.81927375856</v>
          </cell>
        </row>
        <row r="125">
          <cell r="AB125" t="str">
            <v>ExportTargetWaverlyUSAHand41x76L</v>
          </cell>
          <cell r="AC125">
            <v>21257.326363788019</v>
          </cell>
        </row>
        <row r="126">
          <cell r="AB126" t="str">
            <v>ExportTargetWaverlyUSAHand41x76M</v>
          </cell>
          <cell r="AC126">
            <v>8502.930545515208</v>
          </cell>
        </row>
        <row r="127">
          <cell r="AB127" t="str">
            <v>ExportTargetWaverlyUSAHand41x76D</v>
          </cell>
          <cell r="AC127">
            <v>12754.395818272813</v>
          </cell>
        </row>
        <row r="128">
          <cell r="AB128" t="str">
            <v>ExportTargetWaverlyUSAWash30x30L</v>
          </cell>
          <cell r="AC128">
            <v>21257.326363788019</v>
          </cell>
        </row>
        <row r="129">
          <cell r="AB129" t="str">
            <v>ExportTargetWaverlyUSAWash30x30M</v>
          </cell>
          <cell r="AC129">
            <v>8502.930545515208</v>
          </cell>
        </row>
        <row r="130">
          <cell r="AB130" t="str">
            <v>ExportTargetWaverlyUSAWash30x30D</v>
          </cell>
          <cell r="AC130">
            <v>12754.395818272813</v>
          </cell>
        </row>
        <row r="131">
          <cell r="AB131" t="str">
            <v>ExportWalmartHome TrendsUSABath76x132L</v>
          </cell>
          <cell r="AC131">
            <v>354288.77272980037</v>
          </cell>
        </row>
        <row r="132">
          <cell r="AB132" t="str">
            <v>ExportWalmartHome TrendsUSABath76x132M</v>
          </cell>
          <cell r="AC132">
            <v>141715.50909192013</v>
          </cell>
        </row>
        <row r="133">
          <cell r="AB133" t="str">
            <v>ExportWalmartHome TrendsUSABath76x132D</v>
          </cell>
          <cell r="AC133">
            <v>212573.26363788021</v>
          </cell>
        </row>
        <row r="134">
          <cell r="AB134" t="str">
            <v>ExportWalmartHome TrendsUSAHand41x69L</v>
          </cell>
          <cell r="AC134">
            <v>31260.774064394151</v>
          </cell>
        </row>
        <row r="135">
          <cell r="AB135" t="str">
            <v>ExportWalmartHome TrendsUSAHand41x69M</v>
          </cell>
          <cell r="AC135">
            <v>12504.30962575766</v>
          </cell>
        </row>
        <row r="136">
          <cell r="AB136" t="str">
            <v>ExportWalmartHome TrendsUSAHand41x69D</v>
          </cell>
          <cell r="AC136">
            <v>18756.464438636489</v>
          </cell>
        </row>
        <row r="137">
          <cell r="AB137" t="str">
            <v>ExportWalmartHome TrendsUSAWash33x33L</v>
          </cell>
          <cell r="AC137">
            <v>31260.774064394151</v>
          </cell>
        </row>
        <row r="138">
          <cell r="AB138" t="str">
            <v>ExportWalmartHome TrendsUSAWash33x33M</v>
          </cell>
          <cell r="AC138">
            <v>12504.30962575766</v>
          </cell>
        </row>
        <row r="139">
          <cell r="AB139" t="str">
            <v>ExportWalmartHome TrendsUSAWash33x33D</v>
          </cell>
          <cell r="AC139">
            <v>18756.464438636489</v>
          </cell>
        </row>
        <row r="140">
          <cell r="AB140" t="str">
            <v>ExportMill WorkingCannon LandmarkUSABath76x137L</v>
          </cell>
          <cell r="AC140">
            <v>30010.343101818384</v>
          </cell>
        </row>
        <row r="141">
          <cell r="AB141" t="str">
            <v>ExportMill WorkingCannon LandmarkUSABath76x137M</v>
          </cell>
          <cell r="AC141">
            <v>12004.137240727354</v>
          </cell>
        </row>
        <row r="142">
          <cell r="AB142" t="str">
            <v>ExportMill WorkingCannon LandmarkUSABath76x137D</v>
          </cell>
          <cell r="AC142">
            <v>18006.205861091028</v>
          </cell>
        </row>
        <row r="143">
          <cell r="AB143" t="str">
            <v>ExportMill WorkingCannon LandmarkUSAHand41x76L</v>
          </cell>
          <cell r="AC143">
            <v>1667.2412834343547</v>
          </cell>
        </row>
        <row r="144">
          <cell r="AB144" t="str">
            <v>ExportMill WorkingCannon LandmarkUSAHand41x76M</v>
          </cell>
          <cell r="AC144">
            <v>666.89651337374175</v>
          </cell>
        </row>
        <row r="145">
          <cell r="AB145" t="str">
            <v>ExportMill WorkingCannon LandmarkUSAHand41x76D</v>
          </cell>
          <cell r="AC145">
            <v>1000.344770060613</v>
          </cell>
        </row>
        <row r="146">
          <cell r="AB146" t="str">
            <v>ExportMill WorkingCannon LandmarkUSAWash33x33L</v>
          </cell>
          <cell r="AC146">
            <v>1667.2412834343547</v>
          </cell>
        </row>
        <row r="147">
          <cell r="AB147" t="str">
            <v>ExportMill WorkingCannon LandmarkUSAWash33x33M</v>
          </cell>
          <cell r="AC147">
            <v>666.89651337374175</v>
          </cell>
        </row>
        <row r="148">
          <cell r="AB148" t="str">
            <v>ExportMill WorkingCannon LandmarkUSAWash33x33D</v>
          </cell>
          <cell r="AC148">
            <v>1000.344770060613</v>
          </cell>
        </row>
        <row r="149">
          <cell r="AB149" t="str">
            <v>ExportMill WorkingCannon MilestoneUSABath76x137L</v>
          </cell>
          <cell r="AC149">
            <v>30010.343101818384</v>
          </cell>
        </row>
        <row r="150">
          <cell r="AB150" t="str">
            <v>ExportMill WorkingCannon MilestoneUSABath76x137M</v>
          </cell>
          <cell r="AC150">
            <v>12004.137240727354</v>
          </cell>
        </row>
        <row r="151">
          <cell r="AB151" t="str">
            <v>ExportMill WorkingCannon MilestoneUSABath76x137D</v>
          </cell>
          <cell r="AC151">
            <v>18006.205861091028</v>
          </cell>
        </row>
        <row r="152">
          <cell r="AB152" t="str">
            <v>ExportMill WorkingCannon MilestoneUSAHand41x76L</v>
          </cell>
          <cell r="AC152">
            <v>1667.2412834343547</v>
          </cell>
        </row>
        <row r="153">
          <cell r="AB153" t="str">
            <v>ExportMill WorkingCannon MilestoneUSAHand41x76M</v>
          </cell>
          <cell r="AC153">
            <v>666.89651337374175</v>
          </cell>
        </row>
        <row r="154">
          <cell r="AB154" t="str">
            <v>ExportMill WorkingCannon MilestoneUSAHand41x76D</v>
          </cell>
          <cell r="AC154">
            <v>1000.344770060613</v>
          </cell>
        </row>
        <row r="155">
          <cell r="AB155" t="str">
            <v>ExportMill WorkingCannon MilestoneUSAWash33x33L</v>
          </cell>
          <cell r="AC155">
            <v>1667.2412834343547</v>
          </cell>
        </row>
        <row r="156">
          <cell r="AB156" t="str">
            <v>ExportMill WorkingCannon MilestoneUSAWash33x33M</v>
          </cell>
          <cell r="AC156">
            <v>666.89651337374175</v>
          </cell>
        </row>
        <row r="157">
          <cell r="AB157" t="str">
            <v>ExportMill WorkingCannon MilestoneUSAWash33x33D</v>
          </cell>
          <cell r="AC157">
            <v>1000.344770060613</v>
          </cell>
        </row>
        <row r="158">
          <cell r="AB158" t="str">
            <v>ExportWelspun USAEsplamaUSABath76x137L</v>
          </cell>
          <cell r="AC158">
            <v>1945.1148306734137</v>
          </cell>
        </row>
        <row r="159">
          <cell r="AB159" t="str">
            <v>ExportWelspun USAEsplamaUSABath76x137M</v>
          </cell>
          <cell r="AC159">
            <v>778.04593226936549</v>
          </cell>
        </row>
        <row r="160">
          <cell r="AB160" t="str">
            <v>ExportWelspun USAEsplamaUSABath76x137D</v>
          </cell>
          <cell r="AC160">
            <v>1167.068898404048</v>
          </cell>
        </row>
        <row r="161">
          <cell r="AB161" t="str">
            <v>ExportWelspun USAEsplamaUSAHand41x71L</v>
          </cell>
          <cell r="AC161">
            <v>555.74709447811813</v>
          </cell>
        </row>
        <row r="162">
          <cell r="AB162" t="str">
            <v>ExportWelspun USAEsplamaUSAHand41x71M</v>
          </cell>
          <cell r="AC162">
            <v>222.29883779124734</v>
          </cell>
        </row>
        <row r="163">
          <cell r="AB163" t="str">
            <v>ExportWelspun USAEsplamaUSAHand41x71D</v>
          </cell>
          <cell r="AC163">
            <v>333.44825668687088</v>
          </cell>
        </row>
        <row r="164">
          <cell r="AB164" t="str">
            <v>ExportWelspun USAEsplamaUSAWash33x33L</v>
          </cell>
          <cell r="AC164">
            <v>277.87354723905906</v>
          </cell>
        </row>
        <row r="165">
          <cell r="AB165" t="str">
            <v>ExportWelspun USAEsplamaUSAWash33x33M</v>
          </cell>
          <cell r="AC165">
            <v>111.14941889562367</v>
          </cell>
        </row>
        <row r="166">
          <cell r="AB166" t="str">
            <v>ExportWelspun USAEsplamaUSAWash33x33D</v>
          </cell>
          <cell r="AC166">
            <v>166.72412834343544</v>
          </cell>
        </row>
        <row r="167">
          <cell r="AB167" t="str">
            <v>ExportLNTManorUSABath76x147L</v>
          </cell>
          <cell r="AC167">
            <v>0</v>
          </cell>
        </row>
        <row r="168">
          <cell r="AB168" t="str">
            <v>ExportLNTManorUSABath76x147M</v>
          </cell>
          <cell r="AC168">
            <v>0</v>
          </cell>
        </row>
        <row r="169">
          <cell r="AB169" t="str">
            <v>ExportLNTManorUSABath76x147D</v>
          </cell>
          <cell r="AC169">
            <v>0</v>
          </cell>
        </row>
        <row r="170">
          <cell r="AB170" t="str">
            <v>ExportLNTManorUSAHand51x76L</v>
          </cell>
          <cell r="AC170">
            <v>0</v>
          </cell>
        </row>
        <row r="171">
          <cell r="AB171" t="str">
            <v>ExportLNTManorUSAHand51x76M</v>
          </cell>
          <cell r="AC171">
            <v>0</v>
          </cell>
        </row>
        <row r="172">
          <cell r="AB172" t="str">
            <v>ExportLNTManorUSAHand51x76D</v>
          </cell>
          <cell r="AC172">
            <v>0</v>
          </cell>
        </row>
        <row r="173">
          <cell r="AB173" t="str">
            <v>ExportLNTManorUSAWash33x33L</v>
          </cell>
          <cell r="AC173">
            <v>0</v>
          </cell>
        </row>
        <row r="174">
          <cell r="AB174" t="str">
            <v>ExportLNTManorUSAWash33x33M</v>
          </cell>
          <cell r="AC174">
            <v>0</v>
          </cell>
        </row>
        <row r="175">
          <cell r="AB175" t="str">
            <v>ExportLNTManorUSAWash33x33D</v>
          </cell>
          <cell r="AC175">
            <v>0</v>
          </cell>
        </row>
        <row r="176">
          <cell r="AB176" t="str">
            <v>ExportLNTNewUSABath76x147L</v>
          </cell>
          <cell r="AC176">
            <v>52518.100428182173</v>
          </cell>
        </row>
        <row r="177">
          <cell r="AB177" t="str">
            <v>ExportLNTNewUSABath76x147M</v>
          </cell>
          <cell r="AC177">
            <v>21007.240171272872</v>
          </cell>
        </row>
        <row r="178">
          <cell r="AB178" t="str">
            <v>ExportLNTNewUSABath76x147D</v>
          </cell>
          <cell r="AC178">
            <v>31510.860256909302</v>
          </cell>
        </row>
        <row r="179">
          <cell r="AB179" t="str">
            <v>ExportLNTNewUSAHand51x76L</v>
          </cell>
          <cell r="AC179">
            <v>2917.6722460101205</v>
          </cell>
        </row>
        <row r="180">
          <cell r="AB180" t="str">
            <v>ExportLNTNewUSAHand51x76M</v>
          </cell>
          <cell r="AC180">
            <v>1167.068898404048</v>
          </cell>
        </row>
        <row r="181">
          <cell r="AB181" t="str">
            <v>ExportLNTNewUSAHand51x76D</v>
          </cell>
          <cell r="AC181">
            <v>1750.6033476060722</v>
          </cell>
        </row>
        <row r="182">
          <cell r="AB182" t="str">
            <v>ExportLNTNewUSAWash33x33L</v>
          </cell>
          <cell r="AC182">
            <v>2917.6722460101205</v>
          </cell>
        </row>
        <row r="183">
          <cell r="AB183" t="str">
            <v>ExportLNTNewUSAWash33x33M</v>
          </cell>
          <cell r="AC183">
            <v>1167.068898404048</v>
          </cell>
        </row>
        <row r="184">
          <cell r="AB184" t="str">
            <v>ExportLNTNewUSAWash33x33D</v>
          </cell>
          <cell r="AC184">
            <v>1750.6033476060722</v>
          </cell>
        </row>
        <row r="185">
          <cell r="AB185" t="str">
            <v>ExportKohlsBig One StripeUSABath76x137L</v>
          </cell>
          <cell r="AC185">
            <v>92115.080909748096</v>
          </cell>
        </row>
        <row r="186">
          <cell r="AB186" t="str">
            <v>ExportKohlsBig One StripeUSABath76x137M</v>
          </cell>
          <cell r="AC186">
            <v>36846.032363899241</v>
          </cell>
        </row>
        <row r="187">
          <cell r="AB187" t="str">
            <v>ExportKohlsBig One StripeUSABath76x137D</v>
          </cell>
          <cell r="AC187">
            <v>55269.048545848855</v>
          </cell>
        </row>
        <row r="188">
          <cell r="AB188" t="str">
            <v>ExportKohlsBig One StripeUSAHand41x71L</v>
          </cell>
          <cell r="AC188">
            <v>8127.8012567424794</v>
          </cell>
        </row>
        <row r="189">
          <cell r="AB189" t="str">
            <v>ExportKohlsBig One StripeUSAHand41x71M</v>
          </cell>
          <cell r="AC189">
            <v>3251.120502696991</v>
          </cell>
        </row>
        <row r="190">
          <cell r="AB190" t="str">
            <v>ExportKohlsBig One StripeUSAHand41x71D</v>
          </cell>
          <cell r="AC190">
            <v>4876.6807540454874</v>
          </cell>
        </row>
        <row r="191">
          <cell r="AB191" t="str">
            <v>ExportKohlsBig One StripeUSAWash30x30L</v>
          </cell>
          <cell r="AC191">
            <v>8127.8012567424794</v>
          </cell>
        </row>
        <row r="192">
          <cell r="AB192" t="str">
            <v>ExportKohlsBig One StripeUSAWash30x30M</v>
          </cell>
          <cell r="AC192">
            <v>3251.120502696991</v>
          </cell>
        </row>
        <row r="193">
          <cell r="AB193" t="str">
            <v>ExportKohlsBig One StripeUSAWash30x30D</v>
          </cell>
          <cell r="AC193">
            <v>4876.6807540454874</v>
          </cell>
        </row>
        <row r="194">
          <cell r="AB194" t="str">
            <v>ExportKohlsBig One SolidUSABath76x137L</v>
          </cell>
          <cell r="AC194">
            <v>311774.12000222428</v>
          </cell>
        </row>
        <row r="195">
          <cell r="AB195" t="str">
            <v>ExportKohlsBig One SolidUSABath76x137M</v>
          </cell>
          <cell r="AC195">
            <v>124709.64800088973</v>
          </cell>
        </row>
        <row r="196">
          <cell r="AB196" t="str">
            <v>ExportKohlsBig One SolidUSABath76x137D</v>
          </cell>
          <cell r="AC196">
            <v>187064.47200133454</v>
          </cell>
        </row>
        <row r="197">
          <cell r="AB197" t="str">
            <v>ExportKohlsBig One SolidUSAHand41x71L</v>
          </cell>
          <cell r="AC197">
            <v>27509.481176666854</v>
          </cell>
        </row>
        <row r="198">
          <cell r="AB198" t="str">
            <v>ExportKohlsBig One SolidUSAHand41x71M</v>
          </cell>
          <cell r="AC198">
            <v>11003.79247066674</v>
          </cell>
        </row>
        <row r="199">
          <cell r="AB199" t="str">
            <v>ExportKohlsBig One SolidUSAHand41x71D</v>
          </cell>
          <cell r="AC199">
            <v>16505.688706000114</v>
          </cell>
        </row>
        <row r="200">
          <cell r="AB200" t="str">
            <v>ExportKohlsBig One SolidUSAWash30x30L</v>
          </cell>
          <cell r="AC200">
            <v>27509.481176666854</v>
          </cell>
        </row>
        <row r="201">
          <cell r="AB201" t="str">
            <v>ExportKohlsBig One SolidUSAWash30x30M</v>
          </cell>
          <cell r="AC201">
            <v>11003.79247066674</v>
          </cell>
        </row>
        <row r="202">
          <cell r="AB202" t="str">
            <v>ExportKohlsBig One SolidUSAWash30x30D</v>
          </cell>
          <cell r="AC202">
            <v>16505.688706000114</v>
          </cell>
        </row>
        <row r="203">
          <cell r="AB203" t="str">
            <v>ExportIst New Buyer00Bath76x137L</v>
          </cell>
          <cell r="AC203">
            <v>200068.95401212256</v>
          </cell>
        </row>
        <row r="204">
          <cell r="AB204" t="str">
            <v>ExportIst New Buyer00Bath76x137M</v>
          </cell>
          <cell r="AC204">
            <v>80027.581604849023</v>
          </cell>
        </row>
        <row r="205">
          <cell r="AB205" t="str">
            <v>ExportIst New Buyer00Bath76x137D</v>
          </cell>
          <cell r="AC205">
            <v>120041.37240727353</v>
          </cell>
        </row>
        <row r="206">
          <cell r="AB206" t="str">
            <v>ExportIst New Buyer00Hand41x76L</v>
          </cell>
          <cell r="AC206">
            <v>11114.941889562366</v>
          </cell>
        </row>
        <row r="207">
          <cell r="AB207" t="str">
            <v>ExportIst New Buyer00Hand41x76M</v>
          </cell>
          <cell r="AC207">
            <v>4445.976755824945</v>
          </cell>
        </row>
        <row r="208">
          <cell r="AB208" t="str">
            <v>ExportIst New Buyer00Hand41x76D</v>
          </cell>
          <cell r="AC208">
            <v>6668.9651337374189</v>
          </cell>
        </row>
        <row r="209">
          <cell r="AB209" t="str">
            <v>ExportIst New Buyer00Wash33x33L</v>
          </cell>
          <cell r="AC209">
            <v>11114.941889562366</v>
          </cell>
        </row>
        <row r="210">
          <cell r="AB210" t="str">
            <v>ExportIst New Buyer00Wash33x33M</v>
          </cell>
          <cell r="AC210">
            <v>4445.976755824945</v>
          </cell>
        </row>
        <row r="211">
          <cell r="AB211" t="str">
            <v>ExportIst New Buyer00Wash33x33D</v>
          </cell>
          <cell r="AC211">
            <v>6668.9651337374189</v>
          </cell>
        </row>
        <row r="212">
          <cell r="AB212" t="str">
            <v>Export2nd New Buyer00Bath76x137L</v>
          </cell>
          <cell r="AC212">
            <v>200068.95401212256</v>
          </cell>
        </row>
        <row r="213">
          <cell r="AB213" t="str">
            <v>Export2nd New Buyer00Bath76x137M</v>
          </cell>
          <cell r="AC213">
            <v>80027.581604849023</v>
          </cell>
        </row>
        <row r="214">
          <cell r="AB214" t="str">
            <v>Export2nd New Buyer00Bath76x137D</v>
          </cell>
          <cell r="AC214">
            <v>120041.37240727353</v>
          </cell>
        </row>
        <row r="215">
          <cell r="AB215" t="str">
            <v>Export2nd New Buyer00Hand41x76L</v>
          </cell>
          <cell r="AC215">
            <v>11114.941889562366</v>
          </cell>
        </row>
        <row r="216">
          <cell r="AB216" t="str">
            <v>Export2nd New Buyer00Hand41x76M</v>
          </cell>
          <cell r="AC216">
            <v>4445.976755824945</v>
          </cell>
        </row>
        <row r="217">
          <cell r="AB217" t="str">
            <v>Export2nd New Buyer00Hand41x76D</v>
          </cell>
          <cell r="AC217">
            <v>6668.9651337374189</v>
          </cell>
        </row>
        <row r="218">
          <cell r="AB218" t="str">
            <v>Export2nd New Buyer00Wash33x33L</v>
          </cell>
          <cell r="AC218">
            <v>11114.941889562366</v>
          </cell>
        </row>
        <row r="219">
          <cell r="AB219" t="str">
            <v>Export2nd New Buyer00Wash33x33M</v>
          </cell>
          <cell r="AC219">
            <v>4445.976755824945</v>
          </cell>
        </row>
        <row r="220">
          <cell r="AB220" t="str">
            <v>Export2nd New Buyer00Wash33x33D</v>
          </cell>
          <cell r="AC220">
            <v>6668.9651337374189</v>
          </cell>
        </row>
        <row r="221">
          <cell r="AB221" t="str">
            <v>Export3rd New Buyer00Bath0x0L</v>
          </cell>
          <cell r="AC221">
            <v>0</v>
          </cell>
        </row>
        <row r="222">
          <cell r="AB222" t="str">
            <v>Export3rd New Buyer00Bath0x0M</v>
          </cell>
          <cell r="AC222">
            <v>0</v>
          </cell>
        </row>
        <row r="223">
          <cell r="AB223" t="str">
            <v>Export3rd New Buyer00Bath0x0D</v>
          </cell>
          <cell r="AC223">
            <v>0</v>
          </cell>
        </row>
        <row r="224">
          <cell r="AB224">
            <v>0</v>
          </cell>
          <cell r="AC224">
            <v>0</v>
          </cell>
        </row>
        <row r="225">
          <cell r="AB225">
            <v>0</v>
          </cell>
          <cell r="AC225">
            <v>0</v>
          </cell>
        </row>
        <row r="226">
          <cell r="AB226" t="str">
            <v>DomesticWIL-VapiKohls Sonama0Bath76x147L</v>
          </cell>
          <cell r="AC226">
            <v>288784.26395939087</v>
          </cell>
        </row>
        <row r="227">
          <cell r="AB227" t="str">
            <v>DomesticWIL-VapiKohls Sonama0Hand41x76M</v>
          </cell>
          <cell r="AC227">
            <v>33974.619289340102</v>
          </cell>
        </row>
        <row r="228">
          <cell r="AB228" t="str">
            <v>DomesticWIL-VapiKohls Sonama0Wash33x33D</v>
          </cell>
          <cell r="AC228">
            <v>16987.309644670051</v>
          </cell>
        </row>
        <row r="229">
          <cell r="AB229" t="str">
            <v>DomesticZucchiBathrobe0Bathrobe285x100M</v>
          </cell>
          <cell r="AC229">
            <v>162487.30964467005</v>
          </cell>
        </row>
        <row r="230">
          <cell r="AB230" t="str">
            <v>DomesticWIL-VapiTarget Solid0Bath76x147M</v>
          </cell>
          <cell r="AC230">
            <v>0</v>
          </cell>
        </row>
        <row r="231">
          <cell r="AB231">
            <v>0</v>
          </cell>
          <cell r="AC231">
            <v>0</v>
          </cell>
        </row>
        <row r="232">
          <cell r="AB232">
            <v>0</v>
          </cell>
          <cell r="AC232">
            <v>0</v>
          </cell>
        </row>
        <row r="233">
          <cell r="AB233">
            <v>0</v>
          </cell>
          <cell r="AC233">
            <v>0</v>
          </cell>
        </row>
        <row r="234">
          <cell r="AB234">
            <v>0</v>
          </cell>
          <cell r="AC234">
            <v>0</v>
          </cell>
        </row>
        <row r="235">
          <cell r="AB235">
            <v>0</v>
          </cell>
          <cell r="AC235">
            <v>0</v>
          </cell>
        </row>
        <row r="236">
          <cell r="AB236">
            <v>0</v>
          </cell>
          <cell r="AC236">
            <v>3997882.7268054346</v>
          </cell>
        </row>
        <row r="237">
          <cell r="AB237">
            <v>0</v>
          </cell>
          <cell r="AC237">
            <v>0</v>
          </cell>
        </row>
        <row r="238">
          <cell r="AB238" t="str">
            <v>Key -3</v>
          </cell>
          <cell r="AC238" t="str">
            <v>Total Grey Prodn</v>
          </cell>
        </row>
        <row r="239">
          <cell r="AB239" t="str">
            <v>ExportTargetWaverlyUSABath76x142L</v>
          </cell>
          <cell r="AC239">
            <v>240916.36545626423</v>
          </cell>
        </row>
        <row r="240">
          <cell r="AB240" t="str">
            <v>ExportTargetWaverlyUSABath76x142M</v>
          </cell>
          <cell r="AC240">
            <v>96366.546182505685</v>
          </cell>
        </row>
        <row r="241">
          <cell r="AB241" t="str">
            <v>ExportTargetWaverlyUSABath76x142D</v>
          </cell>
          <cell r="AC241">
            <v>144549.81927375856</v>
          </cell>
        </row>
        <row r="242">
          <cell r="AB242" t="str">
            <v>ExportTargetWaverlyUSAHand41x76L</v>
          </cell>
          <cell r="AC242">
            <v>21257.326363788019</v>
          </cell>
        </row>
        <row r="243">
          <cell r="AB243" t="str">
            <v>ExportTargetWaverlyUSAHand41x76M</v>
          </cell>
          <cell r="AC243">
            <v>8502.930545515208</v>
          </cell>
        </row>
        <row r="244">
          <cell r="AB244" t="str">
            <v>ExportTargetWaverlyUSAHand41x76D</v>
          </cell>
          <cell r="AC244">
            <v>12754.395818272813</v>
          </cell>
        </row>
        <row r="245">
          <cell r="AB245" t="str">
            <v>ExportTargetWaverlyUSAWash30x30L</v>
          </cell>
          <cell r="AC245">
            <v>21257.326363788019</v>
          </cell>
        </row>
        <row r="246">
          <cell r="AB246" t="str">
            <v>ExportTargetWaverlyUSAWash30x30M</v>
          </cell>
          <cell r="AC246">
            <v>8502.930545515208</v>
          </cell>
        </row>
        <row r="247">
          <cell r="AB247" t="str">
            <v>ExportTargetWaverlyUSAWash30x30D</v>
          </cell>
          <cell r="AC247">
            <v>12754.395818272813</v>
          </cell>
        </row>
        <row r="248">
          <cell r="AB248" t="str">
            <v>ExportWalmartHome TrendsUSABath76x132L</v>
          </cell>
          <cell r="AC248">
            <v>354288.77272980037</v>
          </cell>
        </row>
        <row r="249">
          <cell r="AB249" t="str">
            <v>ExportWalmartHome TrendsUSABath76x132M</v>
          </cell>
          <cell r="AC249">
            <v>141715.50909192013</v>
          </cell>
        </row>
        <row r="250">
          <cell r="AB250" t="str">
            <v>ExportWalmartHome TrendsUSABath76x132D</v>
          </cell>
          <cell r="AC250">
            <v>212573.26363788021</v>
          </cell>
        </row>
        <row r="251">
          <cell r="AB251" t="str">
            <v>ExportWalmartHome TrendsUSAHand41x69L</v>
          </cell>
          <cell r="AC251">
            <v>31260.774064394151</v>
          </cell>
        </row>
        <row r="252">
          <cell r="AB252" t="str">
            <v>ExportWalmartHome TrendsUSAHand41x69M</v>
          </cell>
          <cell r="AC252">
            <v>12504.30962575766</v>
          </cell>
        </row>
        <row r="253">
          <cell r="AB253" t="str">
            <v>ExportWalmartHome TrendsUSAHand41x69D</v>
          </cell>
          <cell r="AC253">
            <v>18756.464438636489</v>
          </cell>
        </row>
        <row r="254">
          <cell r="AB254" t="str">
            <v>ExportWalmartHome TrendsUSAWash33x33L</v>
          </cell>
          <cell r="AC254">
            <v>31260.774064394151</v>
          </cell>
        </row>
        <row r="255">
          <cell r="AB255" t="str">
            <v>ExportWalmartHome TrendsUSAWash33x33M</v>
          </cell>
          <cell r="AC255">
            <v>12504.30962575766</v>
          </cell>
        </row>
        <row r="256">
          <cell r="AB256" t="str">
            <v>ExportWalmartHome TrendsUSAWash33x33D</v>
          </cell>
          <cell r="AC256">
            <v>18756.464438636489</v>
          </cell>
        </row>
        <row r="257">
          <cell r="AB257" t="str">
            <v>ExportMill WorkingCannon LandmarkUSABath76x137L</v>
          </cell>
          <cell r="AC257">
            <v>30010.343101818384</v>
          </cell>
        </row>
        <row r="258">
          <cell r="AB258" t="str">
            <v>ExportMill WorkingCannon LandmarkUSABath76x137M</v>
          </cell>
          <cell r="AC258">
            <v>12004.137240727354</v>
          </cell>
        </row>
        <row r="259">
          <cell r="AB259" t="str">
            <v>ExportMill WorkingCannon LandmarkUSABath76x137D</v>
          </cell>
          <cell r="AC259">
            <v>18006.205861091028</v>
          </cell>
        </row>
        <row r="260">
          <cell r="AB260" t="str">
            <v>ExportMill WorkingCannon LandmarkUSAHand41x76L</v>
          </cell>
          <cell r="AC260">
            <v>1667.2412834343547</v>
          </cell>
        </row>
        <row r="261">
          <cell r="AB261" t="str">
            <v>ExportMill WorkingCannon LandmarkUSAHand41x76M</v>
          </cell>
          <cell r="AC261">
            <v>666.89651337374175</v>
          </cell>
        </row>
        <row r="262">
          <cell r="AB262" t="str">
            <v>ExportMill WorkingCannon LandmarkUSAHand41x76D</v>
          </cell>
          <cell r="AC262">
            <v>1000.3447700606127</v>
          </cell>
        </row>
        <row r="263">
          <cell r="AB263" t="str">
            <v>ExportMill WorkingCannon LandmarkUSAWash33x33L</v>
          </cell>
          <cell r="AC263">
            <v>1667.2412834343547</v>
          </cell>
        </row>
        <row r="264">
          <cell r="AB264" t="str">
            <v>ExportMill WorkingCannon LandmarkUSAWash33x33M</v>
          </cell>
          <cell r="AC264">
            <v>666.89651337374175</v>
          </cell>
        </row>
        <row r="265">
          <cell r="AB265" t="str">
            <v>ExportMill WorkingCannon LandmarkUSAWash33x33D</v>
          </cell>
          <cell r="AC265">
            <v>1000.3447700606127</v>
          </cell>
        </row>
        <row r="266">
          <cell r="AB266" t="str">
            <v>ExportMill WorkingCannon MilestoneUSABath76x137L</v>
          </cell>
          <cell r="AC266">
            <v>30010.343101818384</v>
          </cell>
        </row>
        <row r="267">
          <cell r="AB267" t="str">
            <v>ExportMill WorkingCannon MilestoneUSABath76x137M</v>
          </cell>
          <cell r="AC267">
            <v>12004.137240727354</v>
          </cell>
        </row>
        <row r="268">
          <cell r="AB268" t="str">
            <v>ExportMill WorkingCannon MilestoneUSABath76x137D</v>
          </cell>
          <cell r="AC268">
            <v>18006.205861091028</v>
          </cell>
        </row>
        <row r="269">
          <cell r="AB269" t="str">
            <v>ExportMill WorkingCannon MilestoneUSAHand41x76L</v>
          </cell>
          <cell r="AC269">
            <v>1667.2412834343547</v>
          </cell>
        </row>
        <row r="270">
          <cell r="AB270" t="str">
            <v>ExportMill WorkingCannon MilestoneUSAHand41x76M</v>
          </cell>
          <cell r="AC270">
            <v>666.89651337374175</v>
          </cell>
        </row>
        <row r="271">
          <cell r="AB271" t="str">
            <v>ExportMill WorkingCannon MilestoneUSAHand41x76D</v>
          </cell>
          <cell r="AC271">
            <v>1000.3447700606127</v>
          </cell>
        </row>
        <row r="272">
          <cell r="AB272" t="str">
            <v>ExportMill WorkingCannon MilestoneUSAWash33x33L</v>
          </cell>
          <cell r="AC272">
            <v>1667.2412834343547</v>
          </cell>
        </row>
        <row r="273">
          <cell r="AB273" t="str">
            <v>ExportMill WorkingCannon MilestoneUSAWash33x33M</v>
          </cell>
          <cell r="AC273">
            <v>666.89651337374175</v>
          </cell>
        </row>
        <row r="274">
          <cell r="AB274" t="str">
            <v>ExportMill WorkingCannon MilestoneUSAWash33x33D</v>
          </cell>
          <cell r="AC274">
            <v>1000.3447700606127</v>
          </cell>
        </row>
        <row r="275">
          <cell r="AB275" t="str">
            <v>ExportWelspun USAEsplamaUSABath76x137L</v>
          </cell>
          <cell r="AC275">
            <v>5835.344492020241</v>
          </cell>
        </row>
        <row r="276">
          <cell r="AB276" t="str">
            <v>ExportWelspun USAEsplamaUSABath76x137M</v>
          </cell>
          <cell r="AC276">
            <v>2334.137796808096</v>
          </cell>
        </row>
        <row r="277">
          <cell r="AB277" t="str">
            <v>ExportWelspun USAEsplamaUSABath76x137D</v>
          </cell>
          <cell r="AC277">
            <v>3501.2066952121445</v>
          </cell>
        </row>
        <row r="278">
          <cell r="AB278" t="str">
            <v>ExportWelspun USAEsplamaUSAHand41x71L</v>
          </cell>
          <cell r="AC278">
            <v>1667.2412834343547</v>
          </cell>
        </row>
        <row r="279">
          <cell r="AB279" t="str">
            <v>ExportWelspun USAEsplamaUSAHand41x71M</v>
          </cell>
          <cell r="AC279">
            <v>666.89651337374175</v>
          </cell>
        </row>
        <row r="280">
          <cell r="AB280" t="str">
            <v>ExportWelspun USAEsplamaUSAHand41x71D</v>
          </cell>
          <cell r="AC280">
            <v>1000.3447700606127</v>
          </cell>
        </row>
        <row r="281">
          <cell r="AB281" t="str">
            <v>ExportWelspun USAEsplamaUSAWash33x33L</v>
          </cell>
          <cell r="AC281">
            <v>833.62064171717736</v>
          </cell>
        </row>
        <row r="282">
          <cell r="AB282" t="str">
            <v>ExportWelspun USAEsplamaUSAWash33x33M</v>
          </cell>
          <cell r="AC282">
            <v>333.44825668687088</v>
          </cell>
        </row>
        <row r="283">
          <cell r="AB283" t="str">
            <v>ExportWelspun USAEsplamaUSAWash33x33D</v>
          </cell>
          <cell r="AC283">
            <v>500.17238503030637</v>
          </cell>
        </row>
        <row r="284">
          <cell r="AB284" t="str">
            <v>ExportLNTManorUSABath76x147L</v>
          </cell>
          <cell r="AC284">
            <v>0</v>
          </cell>
        </row>
        <row r="285">
          <cell r="AB285" t="str">
            <v>ExportLNTManorUSABath76x147M</v>
          </cell>
          <cell r="AC285">
            <v>0</v>
          </cell>
        </row>
        <row r="286">
          <cell r="AB286" t="str">
            <v>ExportLNTManorUSABath76x147D</v>
          </cell>
          <cell r="AC286">
            <v>0</v>
          </cell>
        </row>
        <row r="287">
          <cell r="AB287" t="str">
            <v>ExportLNTManorUSAHand51x76L</v>
          </cell>
          <cell r="AC287">
            <v>0</v>
          </cell>
        </row>
        <row r="288">
          <cell r="AB288" t="str">
            <v>ExportLNTManorUSAHand51x76M</v>
          </cell>
          <cell r="AC288">
            <v>0</v>
          </cell>
        </row>
        <row r="289">
          <cell r="AB289" t="str">
            <v>ExportLNTManorUSAHand51x76D</v>
          </cell>
          <cell r="AC289">
            <v>0</v>
          </cell>
        </row>
        <row r="290">
          <cell r="AB290" t="str">
            <v>ExportLNTManorUSAWash33x33L</v>
          </cell>
          <cell r="AC290">
            <v>0</v>
          </cell>
        </row>
        <row r="291">
          <cell r="AB291" t="str">
            <v>ExportLNTManorUSAWash33x33M</v>
          </cell>
          <cell r="AC291">
            <v>0</v>
          </cell>
        </row>
        <row r="292">
          <cell r="AB292" t="str">
            <v>ExportLNTManorUSAWash33x33D</v>
          </cell>
          <cell r="AC292">
            <v>0</v>
          </cell>
        </row>
        <row r="293">
          <cell r="AB293" t="str">
            <v>ExportLNTNewUSABath76x147L</v>
          </cell>
          <cell r="AC293">
            <v>22507.75732636379</v>
          </cell>
        </row>
        <row r="294">
          <cell r="AB294" t="str">
            <v>ExportLNTNewUSABath76x147M</v>
          </cell>
          <cell r="AC294">
            <v>9003.102930545514</v>
          </cell>
        </row>
        <row r="295">
          <cell r="AB295" t="str">
            <v>ExportLNTNewUSABath76x147D</v>
          </cell>
          <cell r="AC295">
            <v>13504.654395818274</v>
          </cell>
        </row>
        <row r="296">
          <cell r="AB296" t="str">
            <v>ExportLNTNewUSAHand51x76L</v>
          </cell>
          <cell r="AC296">
            <v>1250.430962575766</v>
          </cell>
        </row>
        <row r="297">
          <cell r="AB297" t="str">
            <v>ExportLNTNewUSAHand51x76M</v>
          </cell>
          <cell r="AC297">
            <v>500.17238503030637</v>
          </cell>
        </row>
        <row r="298">
          <cell r="AB298" t="str">
            <v>ExportLNTNewUSAHand51x76D</v>
          </cell>
          <cell r="AC298">
            <v>750.25857754545962</v>
          </cell>
        </row>
        <row r="299">
          <cell r="AB299" t="str">
            <v>ExportLNTNewUSAWash33x33L</v>
          </cell>
          <cell r="AC299">
            <v>1250.430962575766</v>
          </cell>
        </row>
        <row r="300">
          <cell r="AB300" t="str">
            <v>ExportLNTNewUSAWash33x33M</v>
          </cell>
          <cell r="AC300">
            <v>500.17238503030637</v>
          </cell>
        </row>
        <row r="301">
          <cell r="AB301" t="str">
            <v>ExportLNTNewUSAWash33x33D</v>
          </cell>
          <cell r="AC301">
            <v>750.25857754545962</v>
          </cell>
        </row>
        <row r="302">
          <cell r="AB302" t="str">
            <v>ExportKohlsBig One StripeUSABath76x137L</v>
          </cell>
          <cell r="AC302">
            <v>92115.080909748096</v>
          </cell>
        </row>
        <row r="303">
          <cell r="AB303" t="str">
            <v>ExportKohlsBig One StripeUSABath76x137M</v>
          </cell>
          <cell r="AC303">
            <v>36846.032363899241</v>
          </cell>
        </row>
        <row r="304">
          <cell r="AB304" t="str">
            <v>ExportKohlsBig One StripeUSABath76x137D</v>
          </cell>
          <cell r="AC304">
            <v>55269.048545848855</v>
          </cell>
        </row>
        <row r="305">
          <cell r="AB305" t="str">
            <v>ExportKohlsBig One StripeUSAHand41x71L</v>
          </cell>
          <cell r="AC305">
            <v>8127.8012567424794</v>
          </cell>
        </row>
        <row r="306">
          <cell r="AB306" t="str">
            <v>ExportKohlsBig One StripeUSAHand41x71M</v>
          </cell>
          <cell r="AC306">
            <v>3251.120502696991</v>
          </cell>
        </row>
        <row r="307">
          <cell r="AB307" t="str">
            <v>ExportKohlsBig One StripeUSAHand41x71D</v>
          </cell>
          <cell r="AC307">
            <v>4876.6807540454874</v>
          </cell>
        </row>
        <row r="308">
          <cell r="AB308" t="str">
            <v>ExportKohlsBig One StripeUSAWash30x30L</v>
          </cell>
          <cell r="AC308">
            <v>8127.8012567424794</v>
          </cell>
        </row>
        <row r="309">
          <cell r="AB309" t="str">
            <v>ExportKohlsBig One StripeUSAWash30x30M</v>
          </cell>
          <cell r="AC309">
            <v>3251.120502696991</v>
          </cell>
        </row>
        <row r="310">
          <cell r="AB310" t="str">
            <v>ExportKohlsBig One StripeUSAWash30x30D</v>
          </cell>
          <cell r="AC310">
            <v>4876.6807540454874</v>
          </cell>
        </row>
        <row r="311">
          <cell r="AB311" t="str">
            <v>ExportKohlsBig One SolidUSABath76x137L</v>
          </cell>
          <cell r="AC311">
            <v>311774.12000222428</v>
          </cell>
        </row>
        <row r="312">
          <cell r="AB312" t="str">
            <v>ExportKohlsBig One SolidUSABath76x137M</v>
          </cell>
          <cell r="AC312">
            <v>124709.64800088973</v>
          </cell>
        </row>
        <row r="313">
          <cell r="AB313" t="str">
            <v>ExportKohlsBig One SolidUSABath76x137D</v>
          </cell>
          <cell r="AC313">
            <v>187064.47200133454</v>
          </cell>
        </row>
        <row r="314">
          <cell r="AB314" t="str">
            <v>ExportKohlsBig One SolidUSAHand41x71L</v>
          </cell>
          <cell r="AC314">
            <v>27509.481176666854</v>
          </cell>
        </row>
        <row r="315">
          <cell r="AB315" t="str">
            <v>ExportKohlsBig One SolidUSAHand41x71M</v>
          </cell>
          <cell r="AC315">
            <v>11003.79247066674</v>
          </cell>
        </row>
        <row r="316">
          <cell r="AB316" t="str">
            <v>ExportKohlsBig One SolidUSAHand41x71D</v>
          </cell>
          <cell r="AC316">
            <v>16505.688706000114</v>
          </cell>
        </row>
        <row r="317">
          <cell r="AB317" t="str">
            <v>ExportKohlsBig One SolidUSAWash30x30L</v>
          </cell>
          <cell r="AC317">
            <v>27509.481176666854</v>
          </cell>
        </row>
        <row r="318">
          <cell r="AB318" t="str">
            <v>ExportKohlsBig One SolidUSAWash30x30M</v>
          </cell>
          <cell r="AC318">
            <v>11003.79247066674</v>
          </cell>
        </row>
        <row r="319">
          <cell r="AB319" t="str">
            <v>ExportKohlsBig One SolidUSAWash30x30D</v>
          </cell>
          <cell r="AC319">
            <v>16505.688706000114</v>
          </cell>
        </row>
        <row r="320">
          <cell r="AB320" t="str">
            <v>ExportIst New Buyer00Bath76x137L</v>
          </cell>
          <cell r="AC320">
            <v>150051.71550909191</v>
          </cell>
        </row>
        <row r="321">
          <cell r="AB321" t="str">
            <v>ExportIst New Buyer00Bath76x137M</v>
          </cell>
          <cell r="AC321">
            <v>60020.686203636767</v>
          </cell>
        </row>
        <row r="322">
          <cell r="AB322" t="str">
            <v>ExportIst New Buyer00Bath76x137D</v>
          </cell>
          <cell r="AC322">
            <v>90031.029305455158</v>
          </cell>
        </row>
        <row r="323">
          <cell r="AB323" t="str">
            <v>ExportIst New Buyer00Hand41x76L</v>
          </cell>
          <cell r="AC323">
            <v>8336.2064171717739</v>
          </cell>
        </row>
        <row r="324">
          <cell r="AB324" t="str">
            <v>ExportIst New Buyer00Hand41x76M</v>
          </cell>
          <cell r="AC324">
            <v>3334.4825668687095</v>
          </cell>
        </row>
        <row r="325">
          <cell r="AB325" t="str">
            <v>ExportIst New Buyer00Hand41x76D</v>
          </cell>
          <cell r="AC325">
            <v>5001.723850303064</v>
          </cell>
        </row>
        <row r="326">
          <cell r="AB326" t="str">
            <v>ExportIst New Buyer00Wash33x33L</v>
          </cell>
          <cell r="AC326">
            <v>8336.2064171717739</v>
          </cell>
        </row>
        <row r="327">
          <cell r="AB327" t="str">
            <v>ExportIst New Buyer00Wash33x33M</v>
          </cell>
          <cell r="AC327">
            <v>3334.4825668687095</v>
          </cell>
        </row>
        <row r="328">
          <cell r="AB328" t="str">
            <v>ExportIst New Buyer00Wash33x33D</v>
          </cell>
          <cell r="AC328">
            <v>5001.723850303064</v>
          </cell>
        </row>
        <row r="329">
          <cell r="AB329" t="str">
            <v>Export2nd New Buyer00Bath76x137L</v>
          </cell>
          <cell r="AC329">
            <v>150051.71550909191</v>
          </cell>
        </row>
        <row r="330">
          <cell r="AB330" t="str">
            <v>Export2nd New Buyer00Bath76x137M</v>
          </cell>
          <cell r="AC330">
            <v>60020.686203636767</v>
          </cell>
        </row>
        <row r="331">
          <cell r="AB331" t="str">
            <v>Export2nd New Buyer00Bath76x137D</v>
          </cell>
          <cell r="AC331">
            <v>90031.029305455158</v>
          </cell>
        </row>
        <row r="332">
          <cell r="AB332" t="str">
            <v>Export2nd New Buyer00Hand41x76L</v>
          </cell>
          <cell r="AC332">
            <v>8336.2064171717739</v>
          </cell>
        </row>
        <row r="333">
          <cell r="AB333" t="str">
            <v>Export2nd New Buyer00Hand41x76M</v>
          </cell>
          <cell r="AC333">
            <v>3334.4825668687095</v>
          </cell>
        </row>
        <row r="334">
          <cell r="AB334" t="str">
            <v>Export2nd New Buyer00Hand41x76D</v>
          </cell>
          <cell r="AC334">
            <v>5001.723850303064</v>
          </cell>
        </row>
        <row r="335">
          <cell r="AB335" t="str">
            <v>Export2nd New Buyer00Wash33x33L</v>
          </cell>
          <cell r="AC335">
            <v>8336.2064171717739</v>
          </cell>
        </row>
        <row r="336">
          <cell r="AB336" t="str">
            <v>Export2nd New Buyer00Wash33x33M</v>
          </cell>
          <cell r="AC336">
            <v>3334.4825668687095</v>
          </cell>
        </row>
        <row r="337">
          <cell r="AB337" t="str">
            <v>Export2nd New Buyer00Wash33x33D</v>
          </cell>
          <cell r="AC337">
            <v>5001.723850303064</v>
          </cell>
        </row>
        <row r="338">
          <cell r="AB338" t="str">
            <v>Export3rd New Buyer00Bath0x0L</v>
          </cell>
          <cell r="AC338">
            <v>0</v>
          </cell>
        </row>
        <row r="339">
          <cell r="AB339" t="str">
            <v>Export3rd New Buyer00Bath0x0M</v>
          </cell>
          <cell r="AC339">
            <v>0</v>
          </cell>
        </row>
        <row r="340">
          <cell r="AB340" t="str">
            <v>Export3rd New Buyer00Bath0x0D</v>
          </cell>
          <cell r="AC340">
            <v>0</v>
          </cell>
        </row>
        <row r="341">
          <cell r="AB341">
            <v>0</v>
          </cell>
          <cell r="AC341">
            <v>0</v>
          </cell>
        </row>
        <row r="342">
          <cell r="AB342">
            <v>0</v>
          </cell>
          <cell r="AC342">
            <v>0</v>
          </cell>
        </row>
        <row r="343">
          <cell r="AB343" t="str">
            <v>DomesticWIL-VapiKohls Sonama0Bath76x147L</v>
          </cell>
          <cell r="AC343">
            <v>288784.26395939087</v>
          </cell>
        </row>
        <row r="344">
          <cell r="AB344" t="str">
            <v>DomesticWIL-VapiKohls Sonama0Hand41x76M</v>
          </cell>
          <cell r="AC344">
            <v>33974.619289340102</v>
          </cell>
        </row>
        <row r="345">
          <cell r="AB345" t="str">
            <v>DomesticWIL-VapiKohls Sonama0Wash33x33D</v>
          </cell>
          <cell r="AC345">
            <v>16987.309644670051</v>
          </cell>
        </row>
        <row r="346">
          <cell r="AB346" t="str">
            <v>DomesticZucchiBathrobe0Bathrobe285x100M</v>
          </cell>
          <cell r="AC346">
            <v>162487.30964467005</v>
          </cell>
        </row>
        <row r="347">
          <cell r="AB347" t="str">
            <v>DomesticWIL-VapiTarget Solid0Bath76x147M</v>
          </cell>
          <cell r="AC347">
            <v>0</v>
          </cell>
        </row>
        <row r="348">
          <cell r="AB348">
            <v>0</v>
          </cell>
          <cell r="AC348">
            <v>0</v>
          </cell>
        </row>
        <row r="349">
          <cell r="AB349">
            <v>0</v>
          </cell>
          <cell r="AC349">
            <v>0</v>
          </cell>
        </row>
        <row r="350">
          <cell r="AB350">
            <v>0</v>
          </cell>
          <cell r="AC350">
            <v>0</v>
          </cell>
        </row>
        <row r="351">
          <cell r="AB351">
            <v>0</v>
          </cell>
          <cell r="AC351">
            <v>0</v>
          </cell>
        </row>
        <row r="352">
          <cell r="AB352">
            <v>0</v>
          </cell>
          <cell r="AC352">
            <v>0</v>
          </cell>
        </row>
        <row r="353">
          <cell r="AB353">
            <v>0</v>
          </cell>
          <cell r="AC353">
            <v>3720009.1795663773</v>
          </cell>
        </row>
        <row r="354">
          <cell r="AB354">
            <v>0</v>
          </cell>
          <cell r="AC354">
            <v>0</v>
          </cell>
        </row>
        <row r="355">
          <cell r="AB355" t="str">
            <v>Key -3</v>
          </cell>
          <cell r="AC355" t="str">
            <v>Total Grey Prodn</v>
          </cell>
        </row>
        <row r="356">
          <cell r="AB356" t="str">
            <v>ExportTargetWaverlyUSABath76x142L</v>
          </cell>
          <cell r="AC356">
            <v>240916.36545626423</v>
          </cell>
        </row>
        <row r="357">
          <cell r="AB357" t="str">
            <v>ExportTargetWaverlyUSABath76x142M</v>
          </cell>
          <cell r="AC357">
            <v>96366.546182505685</v>
          </cell>
        </row>
        <row r="358">
          <cell r="AB358" t="str">
            <v>ExportTargetWaverlyUSABath76x142D</v>
          </cell>
          <cell r="AC358">
            <v>144549.81927375856</v>
          </cell>
        </row>
        <row r="359">
          <cell r="AB359" t="str">
            <v>ExportTargetWaverlyUSAHand41x76L</v>
          </cell>
          <cell r="AC359">
            <v>21257.326363788019</v>
          </cell>
        </row>
        <row r="360">
          <cell r="AB360" t="str">
            <v>ExportTargetWaverlyUSAHand41x76M</v>
          </cell>
          <cell r="AC360">
            <v>8502.930545515208</v>
          </cell>
        </row>
        <row r="361">
          <cell r="AB361" t="str">
            <v>ExportTargetWaverlyUSAHand41x76D</v>
          </cell>
          <cell r="AC361">
            <v>12754.395818272813</v>
          </cell>
        </row>
        <row r="362">
          <cell r="AB362" t="str">
            <v>ExportTargetWaverlyUSAWash30x30L</v>
          </cell>
          <cell r="AC362">
            <v>21257.326363788019</v>
          </cell>
        </row>
        <row r="363">
          <cell r="AB363" t="str">
            <v>ExportTargetWaverlyUSAWash30x30M</v>
          </cell>
          <cell r="AC363">
            <v>8502.930545515208</v>
          </cell>
        </row>
        <row r="364">
          <cell r="AB364" t="str">
            <v>ExportTargetWaverlyUSAWash30x30D</v>
          </cell>
          <cell r="AC364">
            <v>12754.395818272813</v>
          </cell>
        </row>
        <row r="365">
          <cell r="AB365" t="str">
            <v>ExportWalmartHome TrendsUSABath76x132L</v>
          </cell>
          <cell r="AC365">
            <v>354288.77272980037</v>
          </cell>
        </row>
        <row r="366">
          <cell r="AB366" t="str">
            <v>ExportWalmartHome TrendsUSABath76x132M</v>
          </cell>
          <cell r="AC366">
            <v>141715.50909192013</v>
          </cell>
        </row>
        <row r="367">
          <cell r="AB367" t="str">
            <v>ExportWalmartHome TrendsUSABath76x132D</v>
          </cell>
          <cell r="AC367">
            <v>212573.26363788021</v>
          </cell>
        </row>
        <row r="368">
          <cell r="AB368" t="str">
            <v>ExportWalmartHome TrendsUSAHand41x69L</v>
          </cell>
          <cell r="AC368">
            <v>31260.774064394151</v>
          </cell>
        </row>
        <row r="369">
          <cell r="AB369" t="str">
            <v>ExportWalmartHome TrendsUSAHand41x69M</v>
          </cell>
          <cell r="AC369">
            <v>12504.30962575766</v>
          </cell>
        </row>
        <row r="370">
          <cell r="AB370" t="str">
            <v>ExportWalmartHome TrendsUSAHand41x69D</v>
          </cell>
          <cell r="AC370">
            <v>18756.464438636489</v>
          </cell>
        </row>
        <row r="371">
          <cell r="AB371" t="str">
            <v>ExportWalmartHome TrendsUSAWash33x33L</v>
          </cell>
          <cell r="AC371">
            <v>31260.774064394151</v>
          </cell>
        </row>
        <row r="372">
          <cell r="AB372" t="str">
            <v>ExportWalmartHome TrendsUSAWash33x33M</v>
          </cell>
          <cell r="AC372">
            <v>12504.30962575766</v>
          </cell>
        </row>
        <row r="373">
          <cell r="AB373" t="str">
            <v>ExportWalmartHome TrendsUSAWash33x33D</v>
          </cell>
          <cell r="AC373">
            <v>18756.464438636489</v>
          </cell>
        </row>
        <row r="374">
          <cell r="AB374" t="str">
            <v>ExportMill WorkingCannon LandmarkUSABath76x137L</v>
          </cell>
          <cell r="AC374">
            <v>30010.343101818384</v>
          </cell>
        </row>
        <row r="375">
          <cell r="AB375" t="str">
            <v>ExportMill WorkingCannon LandmarkUSABath76x137M</v>
          </cell>
          <cell r="AC375">
            <v>12004.137240727354</v>
          </cell>
        </row>
        <row r="376">
          <cell r="AB376" t="str">
            <v>ExportMill WorkingCannon LandmarkUSABath76x137D</v>
          </cell>
          <cell r="AC376">
            <v>18006.205861091028</v>
          </cell>
        </row>
        <row r="377">
          <cell r="AB377" t="str">
            <v>ExportMill WorkingCannon LandmarkUSAHand41x76L</v>
          </cell>
          <cell r="AC377">
            <v>1667.2412834343547</v>
          </cell>
        </row>
        <row r="378">
          <cell r="AB378" t="str">
            <v>ExportMill WorkingCannon LandmarkUSAHand41x76M</v>
          </cell>
          <cell r="AC378">
            <v>666.89651337374175</v>
          </cell>
        </row>
        <row r="379">
          <cell r="AB379" t="str">
            <v>ExportMill WorkingCannon LandmarkUSAHand41x76D</v>
          </cell>
          <cell r="AC379">
            <v>1000.3447700606127</v>
          </cell>
        </row>
        <row r="380">
          <cell r="AB380" t="str">
            <v>ExportMill WorkingCannon LandmarkUSAWash33x33L</v>
          </cell>
          <cell r="AC380">
            <v>1667.2412834343547</v>
          </cell>
        </row>
        <row r="381">
          <cell r="AB381" t="str">
            <v>ExportMill WorkingCannon LandmarkUSAWash33x33M</v>
          </cell>
          <cell r="AC381">
            <v>666.89651337374175</v>
          </cell>
        </row>
        <row r="382">
          <cell r="AB382" t="str">
            <v>ExportMill WorkingCannon LandmarkUSAWash33x33D</v>
          </cell>
          <cell r="AC382">
            <v>1000.3447700606127</v>
          </cell>
        </row>
        <row r="383">
          <cell r="AB383" t="str">
            <v>ExportMill WorkingCannon MilestoneUSABath76x137L</v>
          </cell>
          <cell r="AC383">
            <v>30010.343101818384</v>
          </cell>
        </row>
        <row r="384">
          <cell r="AB384" t="str">
            <v>ExportMill WorkingCannon MilestoneUSABath76x137M</v>
          </cell>
          <cell r="AC384">
            <v>12004.137240727354</v>
          </cell>
        </row>
        <row r="385">
          <cell r="AB385" t="str">
            <v>ExportMill WorkingCannon MilestoneUSABath76x137D</v>
          </cell>
          <cell r="AC385">
            <v>18006.205861091028</v>
          </cell>
        </row>
        <row r="386">
          <cell r="AB386" t="str">
            <v>ExportMill WorkingCannon MilestoneUSAHand41x76L</v>
          </cell>
          <cell r="AC386">
            <v>1667.2412834343547</v>
          </cell>
        </row>
        <row r="387">
          <cell r="AB387" t="str">
            <v>ExportMill WorkingCannon MilestoneUSAHand41x76M</v>
          </cell>
          <cell r="AC387">
            <v>666.89651337374175</v>
          </cell>
        </row>
        <row r="388">
          <cell r="AB388" t="str">
            <v>ExportMill WorkingCannon MilestoneUSAHand41x76D</v>
          </cell>
          <cell r="AC388">
            <v>1000.3447700606127</v>
          </cell>
        </row>
        <row r="389">
          <cell r="AB389" t="str">
            <v>ExportMill WorkingCannon MilestoneUSAWash33x33L</v>
          </cell>
          <cell r="AC389">
            <v>1667.2412834343547</v>
          </cell>
        </row>
        <row r="390">
          <cell r="AB390" t="str">
            <v>ExportMill WorkingCannon MilestoneUSAWash33x33M</v>
          </cell>
          <cell r="AC390">
            <v>666.89651337374175</v>
          </cell>
        </row>
        <row r="391">
          <cell r="AB391" t="str">
            <v>ExportMill WorkingCannon MilestoneUSAWash33x33D</v>
          </cell>
          <cell r="AC391">
            <v>1000.3447700606127</v>
          </cell>
        </row>
        <row r="392">
          <cell r="AB392" t="str">
            <v>ExportWelspun USAEsplamaUSABath76x137L</v>
          </cell>
          <cell r="AC392">
            <v>5835.344492020241</v>
          </cell>
        </row>
        <row r="393">
          <cell r="AB393" t="str">
            <v>ExportWelspun USAEsplamaUSABath76x137M</v>
          </cell>
          <cell r="AC393">
            <v>2334.137796808096</v>
          </cell>
        </row>
        <row r="394">
          <cell r="AB394" t="str">
            <v>ExportWelspun USAEsplamaUSABath76x137D</v>
          </cell>
          <cell r="AC394">
            <v>3501.2066952121445</v>
          </cell>
        </row>
        <row r="395">
          <cell r="AB395" t="str">
            <v>ExportWelspun USAEsplamaUSAHand41x71L</v>
          </cell>
          <cell r="AC395">
            <v>1667.2412834343547</v>
          </cell>
        </row>
        <row r="396">
          <cell r="AB396" t="str">
            <v>ExportWelspun USAEsplamaUSAHand41x71M</v>
          </cell>
          <cell r="AC396">
            <v>666.89651337374175</v>
          </cell>
        </row>
        <row r="397">
          <cell r="AB397" t="str">
            <v>ExportWelspun USAEsplamaUSAHand41x71D</v>
          </cell>
          <cell r="AC397">
            <v>1000.3447700606127</v>
          </cell>
        </row>
        <row r="398">
          <cell r="AB398" t="str">
            <v>ExportWelspun USAEsplamaUSAWash33x33L</v>
          </cell>
          <cell r="AC398">
            <v>833.62064171717736</v>
          </cell>
        </row>
        <row r="399">
          <cell r="AB399" t="str">
            <v>ExportWelspun USAEsplamaUSAWash33x33M</v>
          </cell>
          <cell r="AC399">
            <v>333.44825668687088</v>
          </cell>
        </row>
        <row r="400">
          <cell r="AB400" t="str">
            <v>ExportWelspun USAEsplamaUSAWash33x33D</v>
          </cell>
          <cell r="AC400">
            <v>500.17238503030637</v>
          </cell>
        </row>
        <row r="401">
          <cell r="AB401" t="str">
            <v>ExportLNTManorUSABath76x147L</v>
          </cell>
          <cell r="AC401">
            <v>0</v>
          </cell>
        </row>
        <row r="402">
          <cell r="AB402" t="str">
            <v>ExportLNTManorUSABath76x147M</v>
          </cell>
          <cell r="AC402">
            <v>0</v>
          </cell>
        </row>
        <row r="403">
          <cell r="AB403" t="str">
            <v>ExportLNTManorUSABath76x147D</v>
          </cell>
          <cell r="AC403">
            <v>0</v>
          </cell>
        </row>
        <row r="404">
          <cell r="AB404" t="str">
            <v>ExportLNTManorUSAHand51x76L</v>
          </cell>
          <cell r="AC404">
            <v>0</v>
          </cell>
        </row>
        <row r="405">
          <cell r="AB405" t="str">
            <v>ExportLNTManorUSAHand51x76M</v>
          </cell>
          <cell r="AC405">
            <v>0</v>
          </cell>
        </row>
        <row r="406">
          <cell r="AB406" t="str">
            <v>ExportLNTManorUSAHand51x76D</v>
          </cell>
          <cell r="AC406">
            <v>0</v>
          </cell>
        </row>
        <row r="407">
          <cell r="AB407" t="str">
            <v>ExportLNTManorUSAWash33x33L</v>
          </cell>
          <cell r="AC407">
            <v>0</v>
          </cell>
        </row>
        <row r="408">
          <cell r="AB408" t="str">
            <v>ExportLNTManorUSAWash33x33M</v>
          </cell>
          <cell r="AC408">
            <v>0</v>
          </cell>
        </row>
        <row r="409">
          <cell r="AB409" t="str">
            <v>ExportLNTManorUSAWash33x33D</v>
          </cell>
          <cell r="AC409">
            <v>0</v>
          </cell>
        </row>
        <row r="410">
          <cell r="AB410" t="str">
            <v>ExportLNTNewUSABath76x147L</v>
          </cell>
          <cell r="AC410">
            <v>22507.75732636379</v>
          </cell>
        </row>
        <row r="411">
          <cell r="AB411" t="str">
            <v>ExportLNTNewUSABath76x147M</v>
          </cell>
          <cell r="AC411">
            <v>9003.102930545514</v>
          </cell>
        </row>
        <row r="412">
          <cell r="AB412" t="str">
            <v>ExportLNTNewUSABath76x147D</v>
          </cell>
          <cell r="AC412">
            <v>13504.654395818274</v>
          </cell>
        </row>
        <row r="413">
          <cell r="AB413" t="str">
            <v>ExportLNTNewUSAHand51x76L</v>
          </cell>
          <cell r="AC413">
            <v>1250.430962575766</v>
          </cell>
        </row>
        <row r="414">
          <cell r="AB414" t="str">
            <v>ExportLNTNewUSAHand51x76M</v>
          </cell>
          <cell r="AC414">
            <v>500.17238503030637</v>
          </cell>
        </row>
        <row r="415">
          <cell r="AB415" t="str">
            <v>ExportLNTNewUSAHand51x76D</v>
          </cell>
          <cell r="AC415">
            <v>750.25857754545962</v>
          </cell>
        </row>
        <row r="416">
          <cell r="AB416" t="str">
            <v>ExportLNTNewUSAWash33x33L</v>
          </cell>
          <cell r="AC416">
            <v>1250.430962575766</v>
          </cell>
        </row>
        <row r="417">
          <cell r="AB417" t="str">
            <v>ExportLNTNewUSAWash33x33M</v>
          </cell>
          <cell r="AC417">
            <v>500.17238503030637</v>
          </cell>
        </row>
        <row r="418">
          <cell r="AB418" t="str">
            <v>ExportLNTNewUSAWash33x33D</v>
          </cell>
          <cell r="AC418">
            <v>750.25857754545962</v>
          </cell>
        </row>
        <row r="419">
          <cell r="AB419" t="str">
            <v>ExportKohlsBig One StripeUSABath76x137L</v>
          </cell>
          <cell r="AC419">
            <v>92115.080909748096</v>
          </cell>
        </row>
        <row r="420">
          <cell r="AB420" t="str">
            <v>ExportKohlsBig One StripeUSABath76x137M</v>
          </cell>
          <cell r="AC420">
            <v>36846.032363899241</v>
          </cell>
        </row>
        <row r="421">
          <cell r="AB421" t="str">
            <v>ExportKohlsBig One StripeUSABath76x137D</v>
          </cell>
          <cell r="AC421">
            <v>55269.048545848855</v>
          </cell>
        </row>
        <row r="422">
          <cell r="AB422" t="str">
            <v>ExportKohlsBig One StripeUSAHand41x71L</v>
          </cell>
          <cell r="AC422">
            <v>8127.8012567424794</v>
          </cell>
        </row>
        <row r="423">
          <cell r="AB423" t="str">
            <v>ExportKohlsBig One StripeUSAHand41x71M</v>
          </cell>
          <cell r="AC423">
            <v>3251.120502696991</v>
          </cell>
        </row>
        <row r="424">
          <cell r="AB424" t="str">
            <v>ExportKohlsBig One StripeUSAHand41x71D</v>
          </cell>
          <cell r="AC424">
            <v>4876.6807540454874</v>
          </cell>
        </row>
        <row r="425">
          <cell r="AB425" t="str">
            <v>ExportKohlsBig One StripeUSAWash30x30L</v>
          </cell>
          <cell r="AC425">
            <v>8127.8012567424794</v>
          </cell>
        </row>
        <row r="426">
          <cell r="AB426" t="str">
            <v>ExportKohlsBig One StripeUSAWash30x30M</v>
          </cell>
          <cell r="AC426">
            <v>3251.120502696991</v>
          </cell>
        </row>
        <row r="427">
          <cell r="AB427" t="str">
            <v>ExportKohlsBig One StripeUSAWash30x30D</v>
          </cell>
          <cell r="AC427">
            <v>4876.6807540454874</v>
          </cell>
        </row>
        <row r="428">
          <cell r="AB428" t="str">
            <v>ExportKohlsBig One SolidUSABath76x137L</v>
          </cell>
          <cell r="AC428">
            <v>311774.12000222428</v>
          </cell>
        </row>
        <row r="429">
          <cell r="AB429" t="str">
            <v>ExportKohlsBig One SolidUSABath76x137M</v>
          </cell>
          <cell r="AC429">
            <v>124709.64800088973</v>
          </cell>
        </row>
        <row r="430">
          <cell r="AB430" t="str">
            <v>ExportKohlsBig One SolidUSABath76x137D</v>
          </cell>
          <cell r="AC430">
            <v>187064.47200133454</v>
          </cell>
        </row>
        <row r="431">
          <cell r="AB431" t="str">
            <v>ExportKohlsBig One SolidUSAHand41x71L</v>
          </cell>
          <cell r="AC431">
            <v>27509.481176666854</v>
          </cell>
        </row>
        <row r="432">
          <cell r="AB432" t="str">
            <v>ExportKohlsBig One SolidUSAHand41x71M</v>
          </cell>
          <cell r="AC432">
            <v>11003.79247066674</v>
          </cell>
        </row>
        <row r="433">
          <cell r="AB433" t="str">
            <v>ExportKohlsBig One SolidUSAHand41x71D</v>
          </cell>
          <cell r="AC433">
            <v>16505.688706000114</v>
          </cell>
        </row>
        <row r="434">
          <cell r="AB434" t="str">
            <v>ExportKohlsBig One SolidUSAWash30x30L</v>
          </cell>
          <cell r="AC434">
            <v>27509.481176666854</v>
          </cell>
        </row>
        <row r="435">
          <cell r="AB435" t="str">
            <v>ExportKohlsBig One SolidUSAWash30x30M</v>
          </cell>
          <cell r="AC435">
            <v>11003.79247066674</v>
          </cell>
        </row>
        <row r="436">
          <cell r="AB436" t="str">
            <v>ExportKohlsBig One SolidUSAWash30x30D</v>
          </cell>
          <cell r="AC436">
            <v>16505.688706000114</v>
          </cell>
        </row>
        <row r="437">
          <cell r="AB437" t="str">
            <v>ExportIst New Buyer00Bath76x137L</v>
          </cell>
          <cell r="AC437">
            <v>150051.71550909191</v>
          </cell>
        </row>
        <row r="438">
          <cell r="AB438" t="str">
            <v>ExportIst New Buyer00Bath76x137M</v>
          </cell>
          <cell r="AC438">
            <v>60020.686203636767</v>
          </cell>
        </row>
        <row r="439">
          <cell r="AB439" t="str">
            <v>ExportIst New Buyer00Bath76x137D</v>
          </cell>
          <cell r="AC439">
            <v>90031.029305455158</v>
          </cell>
        </row>
        <row r="440">
          <cell r="AB440" t="str">
            <v>ExportIst New Buyer00Hand41x76L</v>
          </cell>
          <cell r="AC440">
            <v>8336.2064171717739</v>
          </cell>
        </row>
        <row r="441">
          <cell r="AB441" t="str">
            <v>ExportIst New Buyer00Hand41x76M</v>
          </cell>
          <cell r="AC441">
            <v>3334.4825668687095</v>
          </cell>
        </row>
        <row r="442">
          <cell r="AB442" t="str">
            <v>ExportIst New Buyer00Hand41x76D</v>
          </cell>
          <cell r="AC442">
            <v>5001.723850303064</v>
          </cell>
        </row>
        <row r="443">
          <cell r="AB443" t="str">
            <v>ExportIst New Buyer00Wash33x33L</v>
          </cell>
          <cell r="AC443">
            <v>8336.2064171717739</v>
          </cell>
        </row>
        <row r="444">
          <cell r="AB444" t="str">
            <v>ExportIst New Buyer00Wash33x33M</v>
          </cell>
          <cell r="AC444">
            <v>3334.4825668687095</v>
          </cell>
        </row>
        <row r="445">
          <cell r="AB445" t="str">
            <v>ExportIst New Buyer00Wash33x33D</v>
          </cell>
          <cell r="AC445">
            <v>5001.723850303064</v>
          </cell>
        </row>
        <row r="446">
          <cell r="AB446" t="str">
            <v>Export2nd New Buyer00Bath76x137L</v>
          </cell>
          <cell r="AC446">
            <v>150051.71550909191</v>
          </cell>
        </row>
        <row r="447">
          <cell r="AB447" t="str">
            <v>Export2nd New Buyer00Bath76x137M</v>
          </cell>
          <cell r="AC447">
            <v>60020.686203636767</v>
          </cell>
        </row>
        <row r="448">
          <cell r="AB448" t="str">
            <v>Export2nd New Buyer00Bath76x137D</v>
          </cell>
          <cell r="AC448">
            <v>90031.029305455158</v>
          </cell>
        </row>
        <row r="449">
          <cell r="AB449" t="str">
            <v>Export2nd New Buyer00Hand41x76L</v>
          </cell>
          <cell r="AC449">
            <v>8336.2064171717739</v>
          </cell>
        </row>
        <row r="450">
          <cell r="AB450" t="str">
            <v>Export2nd New Buyer00Hand41x76M</v>
          </cell>
          <cell r="AC450">
            <v>3334.4825668687095</v>
          </cell>
        </row>
        <row r="451">
          <cell r="AB451" t="str">
            <v>Export2nd New Buyer00Hand41x76D</v>
          </cell>
          <cell r="AC451">
            <v>5001.723850303064</v>
          </cell>
        </row>
        <row r="452">
          <cell r="AB452" t="str">
            <v>Export2nd New Buyer00Wash33x33L</v>
          </cell>
          <cell r="AC452">
            <v>8336.2064171717739</v>
          </cell>
        </row>
        <row r="453">
          <cell r="AB453" t="str">
            <v>Export2nd New Buyer00Wash33x33M</v>
          </cell>
          <cell r="AC453">
            <v>3334.4825668687095</v>
          </cell>
        </row>
        <row r="454">
          <cell r="AB454" t="str">
            <v>Export2nd New Buyer00Wash33x33D</v>
          </cell>
          <cell r="AC454">
            <v>5001.723850303064</v>
          </cell>
        </row>
        <row r="455">
          <cell r="AB455" t="str">
            <v>Export3rd New Buyer00Bath0x0L</v>
          </cell>
          <cell r="AC455">
            <v>0</v>
          </cell>
        </row>
        <row r="456">
          <cell r="AB456" t="str">
            <v>Export3rd New Buyer00Bath0x0M</v>
          </cell>
          <cell r="AC456">
            <v>0</v>
          </cell>
        </row>
        <row r="457">
          <cell r="AB457" t="str">
            <v>Export3rd New Buyer00Bath0x0D</v>
          </cell>
          <cell r="AC457">
            <v>0</v>
          </cell>
        </row>
        <row r="458">
          <cell r="AB458">
            <v>0</v>
          </cell>
          <cell r="AC458">
            <v>0</v>
          </cell>
        </row>
        <row r="459">
          <cell r="AB459">
            <v>0</v>
          </cell>
          <cell r="AC459">
            <v>0</v>
          </cell>
        </row>
        <row r="460">
          <cell r="AB460" t="str">
            <v>DomesticWIL-VapiKohls Sonama0Bath76x147L</v>
          </cell>
          <cell r="AC460">
            <v>0</v>
          </cell>
        </row>
        <row r="461">
          <cell r="AB461" t="str">
            <v>DomesticWIL-VapiKohls Sonama0Hand41x76M</v>
          </cell>
          <cell r="AC461">
            <v>0</v>
          </cell>
        </row>
        <row r="462">
          <cell r="AB462" t="str">
            <v>DomesticWIL-VapiKohls Sonama0Wash33x33D</v>
          </cell>
          <cell r="AC462">
            <v>0</v>
          </cell>
        </row>
        <row r="463">
          <cell r="AB463" t="str">
            <v>DomesticZucchiBathrobe0Bathrobe285x100M</v>
          </cell>
          <cell r="AC463">
            <v>114233.50253807107</v>
          </cell>
        </row>
        <row r="464">
          <cell r="AB464" t="str">
            <v>DomesticWIL-VapiTarget Solid0Bath76x147M</v>
          </cell>
          <cell r="AC464">
            <v>108034.36548223351</v>
          </cell>
        </row>
        <row r="465">
          <cell r="AB465">
            <v>0</v>
          </cell>
          <cell r="AC465">
            <v>0</v>
          </cell>
        </row>
        <row r="466">
          <cell r="AB466">
            <v>0</v>
          </cell>
          <cell r="AC466">
            <v>0</v>
          </cell>
        </row>
        <row r="467">
          <cell r="AB467">
            <v>0</v>
          </cell>
          <cell r="AC467">
            <v>0</v>
          </cell>
        </row>
        <row r="468">
          <cell r="AB468">
            <v>0</v>
          </cell>
          <cell r="AC468">
            <v>0</v>
          </cell>
        </row>
        <row r="469">
          <cell r="AB469">
            <v>0</v>
          </cell>
          <cell r="AC469">
            <v>0</v>
          </cell>
        </row>
        <row r="470">
          <cell r="AB470">
            <v>0</v>
          </cell>
          <cell r="AC470">
            <v>3440043.5450486103</v>
          </cell>
        </row>
      </sheetData>
      <sheetData sheetId="3" refreshError="1">
        <row r="4">
          <cell r="AB4" t="str">
            <v>Key3</v>
          </cell>
          <cell r="AC4" t="str">
            <v>Q1 Sales</v>
          </cell>
          <cell r="AD4" t="str">
            <v>Q2 Sales</v>
          </cell>
          <cell r="AE4" t="str">
            <v>Q3 Sales</v>
          </cell>
          <cell r="AF4" t="str">
            <v>Q4 Sales</v>
          </cell>
          <cell r="AG4" t="str">
            <v>Full Year</v>
          </cell>
        </row>
        <row r="5">
          <cell r="AB5" t="str">
            <v>ExportTargetWaverlyUSABath76x142L</v>
          </cell>
          <cell r="AC5">
            <v>216750</v>
          </cell>
          <cell r="AD5">
            <v>216750</v>
          </cell>
          <cell r="AE5">
            <v>216750</v>
          </cell>
          <cell r="AF5">
            <v>216750</v>
          </cell>
          <cell r="AG5">
            <v>867000</v>
          </cell>
        </row>
        <row r="6">
          <cell r="AB6" t="str">
            <v>ExportTargetWaverlyUSABath76x142M</v>
          </cell>
          <cell r="AC6">
            <v>86700</v>
          </cell>
          <cell r="AD6">
            <v>86700</v>
          </cell>
          <cell r="AE6">
            <v>86700</v>
          </cell>
          <cell r="AF6">
            <v>86700</v>
          </cell>
          <cell r="AG6">
            <v>346800</v>
          </cell>
        </row>
        <row r="7">
          <cell r="AB7" t="str">
            <v>ExportTargetWaverlyUSABath76x142D</v>
          </cell>
          <cell r="AC7">
            <v>130050</v>
          </cell>
          <cell r="AD7">
            <v>130050</v>
          </cell>
          <cell r="AE7">
            <v>130050</v>
          </cell>
          <cell r="AF7">
            <v>130050</v>
          </cell>
          <cell r="AG7">
            <v>520200</v>
          </cell>
        </row>
        <row r="8">
          <cell r="AB8" t="str">
            <v>ExportTargetWaverlyUSAHand41x76L</v>
          </cell>
          <cell r="AC8">
            <v>19125</v>
          </cell>
          <cell r="AD8">
            <v>19125</v>
          </cell>
          <cell r="AE8">
            <v>19125</v>
          </cell>
          <cell r="AF8">
            <v>19125</v>
          </cell>
          <cell r="AG8">
            <v>76500</v>
          </cell>
        </row>
        <row r="9">
          <cell r="AB9" t="str">
            <v>ExportTargetWaverlyUSAHand41x76M</v>
          </cell>
          <cell r="AC9">
            <v>7650</v>
          </cell>
          <cell r="AD9">
            <v>7650</v>
          </cell>
          <cell r="AE9">
            <v>7650</v>
          </cell>
          <cell r="AF9">
            <v>7650</v>
          </cell>
          <cell r="AG9">
            <v>30600</v>
          </cell>
        </row>
        <row r="10">
          <cell r="AB10" t="str">
            <v>ExportTargetWaverlyUSAHand41x76D</v>
          </cell>
          <cell r="AC10">
            <v>11475</v>
          </cell>
          <cell r="AD10">
            <v>11475</v>
          </cell>
          <cell r="AE10">
            <v>11475</v>
          </cell>
          <cell r="AF10">
            <v>11475</v>
          </cell>
          <cell r="AG10">
            <v>45900</v>
          </cell>
        </row>
        <row r="11">
          <cell r="AB11" t="str">
            <v>ExportTargetWaverlyUSAWash30x30L</v>
          </cell>
          <cell r="AC11">
            <v>19125</v>
          </cell>
          <cell r="AD11">
            <v>19125</v>
          </cell>
          <cell r="AE11">
            <v>19125</v>
          </cell>
          <cell r="AF11">
            <v>19125</v>
          </cell>
          <cell r="AG11">
            <v>76500</v>
          </cell>
        </row>
        <row r="12">
          <cell r="AB12" t="str">
            <v>ExportTargetWaverlyUSAWash30x30M</v>
          </cell>
          <cell r="AC12">
            <v>7650</v>
          </cell>
          <cell r="AD12">
            <v>7650</v>
          </cell>
          <cell r="AE12">
            <v>7650</v>
          </cell>
          <cell r="AF12">
            <v>7650</v>
          </cell>
          <cell r="AG12">
            <v>30600</v>
          </cell>
        </row>
        <row r="13">
          <cell r="AB13" t="str">
            <v>ExportTargetWaverlyUSAWash30x30D</v>
          </cell>
          <cell r="AC13">
            <v>11475</v>
          </cell>
          <cell r="AD13">
            <v>11475</v>
          </cell>
          <cell r="AE13">
            <v>11475</v>
          </cell>
          <cell r="AF13">
            <v>11475</v>
          </cell>
          <cell r="AG13">
            <v>45900</v>
          </cell>
        </row>
        <row r="14">
          <cell r="AB14" t="str">
            <v>ExportWalmartHome TrendsUSABath76x132L</v>
          </cell>
          <cell r="AC14">
            <v>276250</v>
          </cell>
          <cell r="AD14">
            <v>318750</v>
          </cell>
          <cell r="AE14">
            <v>318750</v>
          </cell>
          <cell r="AF14">
            <v>318750</v>
          </cell>
          <cell r="AG14">
            <v>1232500</v>
          </cell>
        </row>
        <row r="15">
          <cell r="AB15" t="str">
            <v>ExportWalmartHome TrendsUSABath76x132M</v>
          </cell>
          <cell r="AC15">
            <v>110500</v>
          </cell>
          <cell r="AD15">
            <v>127500</v>
          </cell>
          <cell r="AE15">
            <v>127500</v>
          </cell>
          <cell r="AF15">
            <v>127500</v>
          </cell>
          <cell r="AG15">
            <v>493000</v>
          </cell>
        </row>
        <row r="16">
          <cell r="AB16" t="str">
            <v>ExportWalmartHome TrendsUSABath76x132D</v>
          </cell>
          <cell r="AC16">
            <v>165750</v>
          </cell>
          <cell r="AD16">
            <v>191250</v>
          </cell>
          <cell r="AE16">
            <v>191250</v>
          </cell>
          <cell r="AF16">
            <v>191250</v>
          </cell>
          <cell r="AG16">
            <v>739500</v>
          </cell>
        </row>
        <row r="17">
          <cell r="AB17" t="str">
            <v>ExportWalmartHome TrendsUSAHand41x69L</v>
          </cell>
          <cell r="AC17">
            <v>24375</v>
          </cell>
          <cell r="AD17">
            <v>28125</v>
          </cell>
          <cell r="AE17">
            <v>28125</v>
          </cell>
          <cell r="AF17">
            <v>28125</v>
          </cell>
          <cell r="AG17">
            <v>108750</v>
          </cell>
        </row>
        <row r="18">
          <cell r="AB18" t="str">
            <v>ExportWalmartHome TrendsUSAHand41x69M</v>
          </cell>
          <cell r="AC18">
            <v>9750</v>
          </cell>
          <cell r="AD18">
            <v>11250</v>
          </cell>
          <cell r="AE18">
            <v>11250</v>
          </cell>
          <cell r="AF18">
            <v>11250</v>
          </cell>
          <cell r="AG18">
            <v>43500</v>
          </cell>
        </row>
        <row r="19">
          <cell r="AB19" t="str">
            <v>ExportWalmartHome TrendsUSAHand41x69D</v>
          </cell>
          <cell r="AC19">
            <v>14625</v>
          </cell>
          <cell r="AD19">
            <v>16875</v>
          </cell>
          <cell r="AE19">
            <v>16875</v>
          </cell>
          <cell r="AF19">
            <v>16875</v>
          </cell>
          <cell r="AG19">
            <v>65250</v>
          </cell>
        </row>
        <row r="20">
          <cell r="AB20" t="str">
            <v>ExportWalmartHome TrendsUSAWash33x33L</v>
          </cell>
          <cell r="AC20">
            <v>24375</v>
          </cell>
          <cell r="AD20">
            <v>28125</v>
          </cell>
          <cell r="AE20">
            <v>28125</v>
          </cell>
          <cell r="AF20">
            <v>28125</v>
          </cell>
          <cell r="AG20">
            <v>108750</v>
          </cell>
        </row>
        <row r="21">
          <cell r="AB21" t="str">
            <v>ExportWalmartHome TrendsUSAWash33x33M</v>
          </cell>
          <cell r="AC21">
            <v>9750</v>
          </cell>
          <cell r="AD21">
            <v>11250</v>
          </cell>
          <cell r="AE21">
            <v>11250</v>
          </cell>
          <cell r="AF21">
            <v>11250</v>
          </cell>
          <cell r="AG21">
            <v>43500</v>
          </cell>
        </row>
        <row r="22">
          <cell r="AB22" t="str">
            <v>ExportWalmartHome TrendsUSAWash33x33D</v>
          </cell>
          <cell r="AC22">
            <v>14625</v>
          </cell>
          <cell r="AD22">
            <v>16875</v>
          </cell>
          <cell r="AE22">
            <v>16875</v>
          </cell>
          <cell r="AF22">
            <v>16875</v>
          </cell>
          <cell r="AG22">
            <v>65250</v>
          </cell>
        </row>
        <row r="23">
          <cell r="AB23" t="str">
            <v>ExportMill WorkingCannon LandmarkUSABath76x137L</v>
          </cell>
          <cell r="AC23">
            <v>27000</v>
          </cell>
          <cell r="AD23">
            <v>27000</v>
          </cell>
          <cell r="AE23">
            <v>27000</v>
          </cell>
          <cell r="AF23">
            <v>27000</v>
          </cell>
          <cell r="AG23">
            <v>108000</v>
          </cell>
        </row>
        <row r="24">
          <cell r="AB24" t="str">
            <v>ExportMill WorkingCannon LandmarkUSABath76x137M</v>
          </cell>
          <cell r="AC24">
            <v>10800</v>
          </cell>
          <cell r="AD24">
            <v>10800</v>
          </cell>
          <cell r="AE24">
            <v>10800</v>
          </cell>
          <cell r="AF24">
            <v>10800</v>
          </cell>
          <cell r="AG24">
            <v>43200</v>
          </cell>
        </row>
        <row r="25">
          <cell r="AB25" t="str">
            <v>ExportMill WorkingCannon LandmarkUSABath76x137D</v>
          </cell>
          <cell r="AC25">
            <v>16200</v>
          </cell>
          <cell r="AD25">
            <v>16200</v>
          </cell>
          <cell r="AE25">
            <v>16200</v>
          </cell>
          <cell r="AF25">
            <v>16200</v>
          </cell>
          <cell r="AG25">
            <v>64800</v>
          </cell>
        </row>
        <row r="26">
          <cell r="AB26" t="str">
            <v>ExportMill WorkingCannon LandmarkUSAHand41x76L</v>
          </cell>
          <cell r="AC26">
            <v>1500</v>
          </cell>
          <cell r="AD26">
            <v>1500</v>
          </cell>
          <cell r="AE26">
            <v>1500</v>
          </cell>
          <cell r="AF26">
            <v>1500</v>
          </cell>
          <cell r="AG26">
            <v>6000</v>
          </cell>
        </row>
        <row r="27">
          <cell r="AB27" t="str">
            <v>ExportMill WorkingCannon LandmarkUSAHand41x76M</v>
          </cell>
          <cell r="AC27">
            <v>600</v>
          </cell>
          <cell r="AD27">
            <v>600</v>
          </cell>
          <cell r="AE27">
            <v>600</v>
          </cell>
          <cell r="AF27">
            <v>600</v>
          </cell>
          <cell r="AG27">
            <v>2400</v>
          </cell>
        </row>
        <row r="28">
          <cell r="AB28" t="str">
            <v>ExportMill WorkingCannon LandmarkUSAHand41x76D</v>
          </cell>
          <cell r="AC28">
            <v>900</v>
          </cell>
          <cell r="AD28">
            <v>900</v>
          </cell>
          <cell r="AE28">
            <v>900</v>
          </cell>
          <cell r="AF28">
            <v>900</v>
          </cell>
          <cell r="AG28">
            <v>3600</v>
          </cell>
        </row>
        <row r="29">
          <cell r="AB29" t="str">
            <v>ExportMill WorkingCannon LandmarkUSAWash33x33L</v>
          </cell>
          <cell r="AC29">
            <v>1500</v>
          </cell>
          <cell r="AD29">
            <v>1500</v>
          </cell>
          <cell r="AE29">
            <v>1500</v>
          </cell>
          <cell r="AF29">
            <v>1500</v>
          </cell>
          <cell r="AG29">
            <v>6000</v>
          </cell>
        </row>
        <row r="30">
          <cell r="AB30" t="str">
            <v>ExportMill WorkingCannon LandmarkUSAWash33x33M</v>
          </cell>
          <cell r="AC30">
            <v>600</v>
          </cell>
          <cell r="AD30">
            <v>600</v>
          </cell>
          <cell r="AE30">
            <v>600</v>
          </cell>
          <cell r="AF30">
            <v>600</v>
          </cell>
          <cell r="AG30">
            <v>2400</v>
          </cell>
        </row>
        <row r="31">
          <cell r="AB31" t="str">
            <v>ExportMill WorkingCannon LandmarkUSAWash33x33D</v>
          </cell>
          <cell r="AC31">
            <v>900</v>
          </cell>
          <cell r="AD31">
            <v>900</v>
          </cell>
          <cell r="AE31">
            <v>900</v>
          </cell>
          <cell r="AF31">
            <v>900</v>
          </cell>
          <cell r="AG31">
            <v>3600</v>
          </cell>
        </row>
        <row r="32">
          <cell r="AB32" t="str">
            <v>ExportMill WorkingCannon MilestoneUSABath76x137L</v>
          </cell>
          <cell r="AC32">
            <v>27000</v>
          </cell>
          <cell r="AD32">
            <v>27000</v>
          </cell>
          <cell r="AE32">
            <v>27000</v>
          </cell>
          <cell r="AF32">
            <v>27000</v>
          </cell>
          <cell r="AG32">
            <v>108000</v>
          </cell>
        </row>
        <row r="33">
          <cell r="AB33" t="str">
            <v>ExportMill WorkingCannon MilestoneUSABath76x137M</v>
          </cell>
          <cell r="AC33">
            <v>10800</v>
          </cell>
          <cell r="AD33">
            <v>10800</v>
          </cell>
          <cell r="AE33">
            <v>10800</v>
          </cell>
          <cell r="AF33">
            <v>10800</v>
          </cell>
          <cell r="AG33">
            <v>43200</v>
          </cell>
        </row>
        <row r="34">
          <cell r="AB34" t="str">
            <v>ExportMill WorkingCannon MilestoneUSABath76x137D</v>
          </cell>
          <cell r="AC34">
            <v>16200</v>
          </cell>
          <cell r="AD34">
            <v>16200</v>
          </cell>
          <cell r="AE34">
            <v>16200</v>
          </cell>
          <cell r="AF34">
            <v>16200</v>
          </cell>
          <cell r="AG34">
            <v>64800</v>
          </cell>
        </row>
        <row r="35">
          <cell r="AB35" t="str">
            <v>ExportMill WorkingCannon MilestoneUSAHand41x76L</v>
          </cell>
          <cell r="AC35">
            <v>1500</v>
          </cell>
          <cell r="AD35">
            <v>1500</v>
          </cell>
          <cell r="AE35">
            <v>1500</v>
          </cell>
          <cell r="AF35">
            <v>1500</v>
          </cell>
          <cell r="AG35">
            <v>6000</v>
          </cell>
        </row>
        <row r="36">
          <cell r="AB36" t="str">
            <v>ExportMill WorkingCannon MilestoneUSAHand41x76M</v>
          </cell>
          <cell r="AC36">
            <v>600</v>
          </cell>
          <cell r="AD36">
            <v>600</v>
          </cell>
          <cell r="AE36">
            <v>600</v>
          </cell>
          <cell r="AF36">
            <v>600</v>
          </cell>
          <cell r="AG36">
            <v>2400</v>
          </cell>
        </row>
        <row r="37">
          <cell r="AB37" t="str">
            <v>ExportMill WorkingCannon MilestoneUSAHand41x76D</v>
          </cell>
          <cell r="AC37">
            <v>900</v>
          </cell>
          <cell r="AD37">
            <v>900</v>
          </cell>
          <cell r="AE37">
            <v>900</v>
          </cell>
          <cell r="AF37">
            <v>900</v>
          </cell>
          <cell r="AG37">
            <v>3600</v>
          </cell>
        </row>
        <row r="38">
          <cell r="AB38" t="str">
            <v>ExportMill WorkingCannon MilestoneUSAWash33x33L</v>
          </cell>
          <cell r="AC38">
            <v>1500</v>
          </cell>
          <cell r="AD38">
            <v>1500</v>
          </cell>
          <cell r="AE38">
            <v>1500</v>
          </cell>
          <cell r="AF38">
            <v>1500</v>
          </cell>
          <cell r="AG38">
            <v>6000</v>
          </cell>
        </row>
        <row r="39">
          <cell r="AB39" t="str">
            <v>ExportMill WorkingCannon MilestoneUSAWash33x33M</v>
          </cell>
          <cell r="AC39">
            <v>600</v>
          </cell>
          <cell r="AD39">
            <v>600</v>
          </cell>
          <cell r="AE39">
            <v>600</v>
          </cell>
          <cell r="AF39">
            <v>600</v>
          </cell>
          <cell r="AG39">
            <v>2400</v>
          </cell>
        </row>
        <row r="40">
          <cell r="AB40" t="str">
            <v>ExportMill WorkingCannon MilestoneUSAWash33x33D</v>
          </cell>
          <cell r="AC40">
            <v>900</v>
          </cell>
          <cell r="AD40">
            <v>900</v>
          </cell>
          <cell r="AE40">
            <v>900</v>
          </cell>
          <cell r="AF40">
            <v>900</v>
          </cell>
          <cell r="AG40">
            <v>3600</v>
          </cell>
        </row>
        <row r="41">
          <cell r="AB41" t="str">
            <v>ExportWelspun USAEsplamaUSABath76x137L</v>
          </cell>
          <cell r="AC41">
            <v>0</v>
          </cell>
          <cell r="AD41">
            <v>1750</v>
          </cell>
          <cell r="AE41">
            <v>5250</v>
          </cell>
          <cell r="AF41">
            <v>5250</v>
          </cell>
          <cell r="AG41">
            <v>12250</v>
          </cell>
        </row>
        <row r="42">
          <cell r="AB42" t="str">
            <v>ExportWelspun USAEsplamaUSABath76x137M</v>
          </cell>
          <cell r="AC42">
            <v>0</v>
          </cell>
          <cell r="AD42">
            <v>700</v>
          </cell>
          <cell r="AE42">
            <v>2100</v>
          </cell>
          <cell r="AF42">
            <v>2100</v>
          </cell>
          <cell r="AG42">
            <v>4900</v>
          </cell>
        </row>
        <row r="43">
          <cell r="AB43" t="str">
            <v>ExportWelspun USAEsplamaUSABath76x137D</v>
          </cell>
          <cell r="AC43">
            <v>0</v>
          </cell>
          <cell r="AD43">
            <v>1050</v>
          </cell>
          <cell r="AE43">
            <v>3150</v>
          </cell>
          <cell r="AF43">
            <v>3150</v>
          </cell>
          <cell r="AG43">
            <v>7350</v>
          </cell>
        </row>
        <row r="44">
          <cell r="AB44" t="str">
            <v>ExportWelspun USAEsplamaUSAHand41x71L</v>
          </cell>
          <cell r="AC44">
            <v>0</v>
          </cell>
          <cell r="AD44">
            <v>500</v>
          </cell>
          <cell r="AE44">
            <v>1500</v>
          </cell>
          <cell r="AF44">
            <v>1500</v>
          </cell>
          <cell r="AG44">
            <v>3500</v>
          </cell>
        </row>
        <row r="45">
          <cell r="AB45" t="str">
            <v>ExportWelspun USAEsplamaUSAHand41x71M</v>
          </cell>
          <cell r="AC45">
            <v>0</v>
          </cell>
          <cell r="AD45">
            <v>200</v>
          </cell>
          <cell r="AE45">
            <v>600</v>
          </cell>
          <cell r="AF45">
            <v>600</v>
          </cell>
          <cell r="AG45">
            <v>1400</v>
          </cell>
        </row>
        <row r="46">
          <cell r="AB46" t="str">
            <v>ExportWelspun USAEsplamaUSAHand41x71D</v>
          </cell>
          <cell r="AC46">
            <v>0</v>
          </cell>
          <cell r="AD46">
            <v>300</v>
          </cell>
          <cell r="AE46">
            <v>900</v>
          </cell>
          <cell r="AF46">
            <v>900</v>
          </cell>
          <cell r="AG46">
            <v>2100</v>
          </cell>
        </row>
        <row r="47">
          <cell r="AB47" t="str">
            <v>ExportWelspun USAEsplamaUSAWash33x33L</v>
          </cell>
          <cell r="AC47">
            <v>0</v>
          </cell>
          <cell r="AD47">
            <v>250</v>
          </cell>
          <cell r="AE47">
            <v>750</v>
          </cell>
          <cell r="AF47">
            <v>750</v>
          </cell>
          <cell r="AG47">
            <v>1750</v>
          </cell>
        </row>
        <row r="48">
          <cell r="AB48" t="str">
            <v>ExportWelspun USAEsplamaUSAWash33x33M</v>
          </cell>
          <cell r="AC48">
            <v>0</v>
          </cell>
          <cell r="AD48">
            <v>100</v>
          </cell>
          <cell r="AE48">
            <v>300</v>
          </cell>
          <cell r="AF48">
            <v>300</v>
          </cell>
          <cell r="AG48">
            <v>700</v>
          </cell>
        </row>
        <row r="49">
          <cell r="AB49" t="str">
            <v>ExportWelspun USAEsplamaUSAWash33x33D</v>
          </cell>
          <cell r="AC49">
            <v>0</v>
          </cell>
          <cell r="AD49">
            <v>150</v>
          </cell>
          <cell r="AE49">
            <v>450</v>
          </cell>
          <cell r="AF49">
            <v>450</v>
          </cell>
          <cell r="AG49">
            <v>1050</v>
          </cell>
        </row>
        <row r="50">
          <cell r="AB50" t="str">
            <v>ExportLNTManorUSABath76x147L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B51" t="str">
            <v>ExportLNTManorUSABath76x147M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B52" t="str">
            <v>ExportLNTManorUSABath76x147D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B53" t="str">
            <v>ExportLNTManorUSAHand51x76L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B54" t="str">
            <v>ExportLNTManorUSAHand51x76M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B55" t="str">
            <v>ExportLNTManorUSAHand51x76D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B56" t="str">
            <v>ExportLNTManorUSAWash33x33L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B57" t="str">
            <v>ExportLNTManorUSAWash33x33M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AB58" t="str">
            <v>ExportLNTManorUSAWash33x33D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B59" t="str">
            <v>ExportLNTNewUSABath76x147L</v>
          </cell>
          <cell r="AC59">
            <v>0</v>
          </cell>
          <cell r="AD59">
            <v>47250</v>
          </cell>
          <cell r="AE59">
            <v>20250</v>
          </cell>
          <cell r="AF59">
            <v>20250</v>
          </cell>
          <cell r="AG59">
            <v>87750</v>
          </cell>
        </row>
        <row r="60">
          <cell r="AB60" t="str">
            <v>ExportLNTNewUSABath76x147M</v>
          </cell>
          <cell r="AC60">
            <v>0</v>
          </cell>
          <cell r="AD60">
            <v>18900</v>
          </cell>
          <cell r="AE60">
            <v>8100</v>
          </cell>
          <cell r="AF60">
            <v>8100</v>
          </cell>
          <cell r="AG60">
            <v>35100</v>
          </cell>
        </row>
        <row r="61">
          <cell r="AB61" t="str">
            <v>ExportLNTNewUSABath76x147D</v>
          </cell>
          <cell r="AC61">
            <v>0</v>
          </cell>
          <cell r="AD61">
            <v>28350</v>
          </cell>
          <cell r="AE61">
            <v>12150</v>
          </cell>
          <cell r="AF61">
            <v>12150</v>
          </cell>
          <cell r="AG61">
            <v>52650</v>
          </cell>
        </row>
        <row r="62">
          <cell r="AB62" t="str">
            <v>ExportLNTNewUSAHand51x76L</v>
          </cell>
          <cell r="AC62">
            <v>0</v>
          </cell>
          <cell r="AD62">
            <v>2625</v>
          </cell>
          <cell r="AE62">
            <v>1125</v>
          </cell>
          <cell r="AF62">
            <v>1125</v>
          </cell>
          <cell r="AG62">
            <v>4875</v>
          </cell>
        </row>
        <row r="63">
          <cell r="AB63" t="str">
            <v>ExportLNTNewUSAHand51x76M</v>
          </cell>
          <cell r="AC63">
            <v>0</v>
          </cell>
          <cell r="AD63">
            <v>1050</v>
          </cell>
          <cell r="AE63">
            <v>450</v>
          </cell>
          <cell r="AF63">
            <v>450</v>
          </cell>
          <cell r="AG63">
            <v>1950</v>
          </cell>
        </row>
        <row r="64">
          <cell r="AB64" t="str">
            <v>ExportLNTNewUSAHand51x76D</v>
          </cell>
          <cell r="AC64">
            <v>0</v>
          </cell>
          <cell r="AD64">
            <v>1575</v>
          </cell>
          <cell r="AE64">
            <v>675</v>
          </cell>
          <cell r="AF64">
            <v>675</v>
          </cell>
          <cell r="AG64">
            <v>2925</v>
          </cell>
        </row>
        <row r="65">
          <cell r="AB65" t="str">
            <v>ExportLNTNewUSAWash33x33L</v>
          </cell>
          <cell r="AC65">
            <v>0</v>
          </cell>
          <cell r="AD65">
            <v>2625</v>
          </cell>
          <cell r="AE65">
            <v>1125</v>
          </cell>
          <cell r="AF65">
            <v>1125</v>
          </cell>
          <cell r="AG65">
            <v>4875</v>
          </cell>
        </row>
        <row r="66">
          <cell r="AB66" t="str">
            <v>ExportLNTNewUSAWash33x33M</v>
          </cell>
          <cell r="AC66">
            <v>0</v>
          </cell>
          <cell r="AD66">
            <v>1050</v>
          </cell>
          <cell r="AE66">
            <v>450</v>
          </cell>
          <cell r="AF66">
            <v>450</v>
          </cell>
          <cell r="AG66">
            <v>1950</v>
          </cell>
        </row>
        <row r="67">
          <cell r="AB67" t="str">
            <v>ExportLNTNewUSAWash33x33D</v>
          </cell>
          <cell r="AC67">
            <v>0</v>
          </cell>
          <cell r="AD67">
            <v>1575</v>
          </cell>
          <cell r="AE67">
            <v>675</v>
          </cell>
          <cell r="AF67">
            <v>675</v>
          </cell>
          <cell r="AG67">
            <v>2925</v>
          </cell>
        </row>
        <row r="68">
          <cell r="AB68" t="str">
            <v>ExportKohlsBig One StripeUSABath76x137L</v>
          </cell>
          <cell r="AC68">
            <v>0</v>
          </cell>
          <cell r="AD68">
            <v>82875</v>
          </cell>
          <cell r="AE68">
            <v>82875</v>
          </cell>
          <cell r="AF68">
            <v>82875</v>
          </cell>
          <cell r="AG68">
            <v>248625</v>
          </cell>
        </row>
        <row r="69">
          <cell r="AB69" t="str">
            <v>ExportKohlsBig One StripeUSABath76x137M</v>
          </cell>
          <cell r="AC69">
            <v>0</v>
          </cell>
          <cell r="AD69">
            <v>33150</v>
          </cell>
          <cell r="AE69">
            <v>33150</v>
          </cell>
          <cell r="AF69">
            <v>33150</v>
          </cell>
          <cell r="AG69">
            <v>99450</v>
          </cell>
        </row>
        <row r="70">
          <cell r="AB70" t="str">
            <v>ExportKohlsBig One StripeUSABath76x137D</v>
          </cell>
          <cell r="AC70">
            <v>0</v>
          </cell>
          <cell r="AD70">
            <v>49725</v>
          </cell>
          <cell r="AE70">
            <v>49725</v>
          </cell>
          <cell r="AF70">
            <v>49725</v>
          </cell>
          <cell r="AG70">
            <v>149175</v>
          </cell>
        </row>
        <row r="71">
          <cell r="AB71" t="str">
            <v>ExportKohlsBig One StripeUSAHand41x71L</v>
          </cell>
          <cell r="AC71">
            <v>0</v>
          </cell>
          <cell r="AD71">
            <v>7312.5</v>
          </cell>
          <cell r="AE71">
            <v>7312.5</v>
          </cell>
          <cell r="AF71">
            <v>7312.5</v>
          </cell>
          <cell r="AG71">
            <v>21937.5</v>
          </cell>
        </row>
        <row r="72">
          <cell r="AB72" t="str">
            <v>ExportKohlsBig One StripeUSAHand41x71M</v>
          </cell>
          <cell r="AC72">
            <v>0</v>
          </cell>
          <cell r="AD72">
            <v>2925</v>
          </cell>
          <cell r="AE72">
            <v>2925</v>
          </cell>
          <cell r="AF72">
            <v>2925</v>
          </cell>
          <cell r="AG72">
            <v>8775</v>
          </cell>
        </row>
        <row r="73">
          <cell r="AB73" t="str">
            <v>ExportKohlsBig One StripeUSAHand41x71D</v>
          </cell>
          <cell r="AC73">
            <v>0</v>
          </cell>
          <cell r="AD73">
            <v>4387.5</v>
          </cell>
          <cell r="AE73">
            <v>4387.5</v>
          </cell>
          <cell r="AF73">
            <v>4387.5</v>
          </cell>
          <cell r="AG73">
            <v>13162.5</v>
          </cell>
        </row>
        <row r="74">
          <cell r="AB74" t="str">
            <v>ExportKohlsBig One StripeUSAWash30x30L</v>
          </cell>
          <cell r="AC74">
            <v>0</v>
          </cell>
          <cell r="AD74">
            <v>7312.5</v>
          </cell>
          <cell r="AE74">
            <v>7312.5</v>
          </cell>
          <cell r="AF74">
            <v>7312.5</v>
          </cell>
          <cell r="AG74">
            <v>21937.5</v>
          </cell>
        </row>
        <row r="75">
          <cell r="AB75" t="str">
            <v>ExportKohlsBig One StripeUSAWash30x30M</v>
          </cell>
          <cell r="AC75">
            <v>0</v>
          </cell>
          <cell r="AD75">
            <v>2925</v>
          </cell>
          <cell r="AE75">
            <v>2925</v>
          </cell>
          <cell r="AF75">
            <v>2925</v>
          </cell>
          <cell r="AG75">
            <v>8775</v>
          </cell>
        </row>
        <row r="76">
          <cell r="AB76" t="str">
            <v>ExportKohlsBig One StripeUSAWash30x30D</v>
          </cell>
          <cell r="AC76">
            <v>0</v>
          </cell>
          <cell r="AD76">
            <v>4387.5</v>
          </cell>
          <cell r="AE76">
            <v>4387.5</v>
          </cell>
          <cell r="AF76">
            <v>4387.5</v>
          </cell>
          <cell r="AG76">
            <v>13162.5</v>
          </cell>
        </row>
        <row r="77">
          <cell r="AB77" t="str">
            <v>ExportKohlsBig One SolidUSABath76x137L</v>
          </cell>
          <cell r="AC77">
            <v>280500</v>
          </cell>
          <cell r="AD77">
            <v>280500</v>
          </cell>
          <cell r="AE77">
            <v>280500</v>
          </cell>
          <cell r="AF77">
            <v>280500</v>
          </cell>
          <cell r="AG77">
            <v>1122000</v>
          </cell>
        </row>
        <row r="78">
          <cell r="AB78" t="str">
            <v>ExportKohlsBig One SolidUSABath76x137M</v>
          </cell>
          <cell r="AC78">
            <v>112200</v>
          </cell>
          <cell r="AD78">
            <v>112200</v>
          </cell>
          <cell r="AE78">
            <v>112200</v>
          </cell>
          <cell r="AF78">
            <v>112200</v>
          </cell>
          <cell r="AG78">
            <v>448800</v>
          </cell>
        </row>
        <row r="79">
          <cell r="AB79" t="str">
            <v>ExportKohlsBig One SolidUSABath76x137D</v>
          </cell>
          <cell r="AC79">
            <v>168300</v>
          </cell>
          <cell r="AD79">
            <v>168300</v>
          </cell>
          <cell r="AE79">
            <v>168300</v>
          </cell>
          <cell r="AF79">
            <v>168300</v>
          </cell>
          <cell r="AG79">
            <v>673200</v>
          </cell>
        </row>
        <row r="80">
          <cell r="AB80" t="str">
            <v>ExportKohlsBig One SolidUSAHand41x71L</v>
          </cell>
          <cell r="AC80">
            <v>24750</v>
          </cell>
          <cell r="AD80">
            <v>24750</v>
          </cell>
          <cell r="AE80">
            <v>24750</v>
          </cell>
          <cell r="AF80">
            <v>24750</v>
          </cell>
          <cell r="AG80">
            <v>99000</v>
          </cell>
        </row>
        <row r="81">
          <cell r="AB81" t="str">
            <v>ExportKohlsBig One SolidUSAHand41x71M</v>
          </cell>
          <cell r="AC81">
            <v>9900</v>
          </cell>
          <cell r="AD81">
            <v>9900</v>
          </cell>
          <cell r="AE81">
            <v>9900</v>
          </cell>
          <cell r="AF81">
            <v>9900</v>
          </cell>
          <cell r="AG81">
            <v>39600</v>
          </cell>
        </row>
        <row r="82">
          <cell r="AB82" t="str">
            <v>ExportKohlsBig One SolidUSAHand41x71D</v>
          </cell>
          <cell r="AC82">
            <v>14850</v>
          </cell>
          <cell r="AD82">
            <v>14850</v>
          </cell>
          <cell r="AE82">
            <v>14850</v>
          </cell>
          <cell r="AF82">
            <v>14850</v>
          </cell>
          <cell r="AG82">
            <v>59400</v>
          </cell>
        </row>
        <row r="83">
          <cell r="AB83" t="str">
            <v>ExportKohlsBig One SolidUSAWash30x30L</v>
          </cell>
          <cell r="AC83">
            <v>24750</v>
          </cell>
          <cell r="AD83">
            <v>24750</v>
          </cell>
          <cell r="AE83">
            <v>24750</v>
          </cell>
          <cell r="AF83">
            <v>24750</v>
          </cell>
          <cell r="AG83">
            <v>99000</v>
          </cell>
        </row>
        <row r="84">
          <cell r="AB84" t="str">
            <v>ExportKohlsBig One SolidUSAWash30x30M</v>
          </cell>
          <cell r="AC84">
            <v>9900</v>
          </cell>
          <cell r="AD84">
            <v>9900</v>
          </cell>
          <cell r="AE84">
            <v>9900</v>
          </cell>
          <cell r="AF84">
            <v>9900</v>
          </cell>
          <cell r="AG84">
            <v>39600</v>
          </cell>
        </row>
        <row r="85">
          <cell r="AB85" t="str">
            <v>ExportKohlsBig One SolidUSAWash30x30D</v>
          </cell>
          <cell r="AC85">
            <v>14850</v>
          </cell>
          <cell r="AD85">
            <v>14850</v>
          </cell>
          <cell r="AE85">
            <v>14850</v>
          </cell>
          <cell r="AF85">
            <v>14850</v>
          </cell>
          <cell r="AG85">
            <v>59400</v>
          </cell>
        </row>
        <row r="86">
          <cell r="AB86" t="str">
            <v>ExportIst New Buyer00Bath76x137L</v>
          </cell>
          <cell r="AC86">
            <v>0</v>
          </cell>
          <cell r="AD86">
            <v>180000</v>
          </cell>
          <cell r="AE86">
            <v>135000</v>
          </cell>
          <cell r="AF86">
            <v>135000</v>
          </cell>
          <cell r="AG86">
            <v>450000</v>
          </cell>
        </row>
        <row r="87">
          <cell r="AB87" t="str">
            <v>ExportIst New Buyer00Bath76x137M</v>
          </cell>
          <cell r="AC87">
            <v>0</v>
          </cell>
          <cell r="AD87">
            <v>72000</v>
          </cell>
          <cell r="AE87">
            <v>54000</v>
          </cell>
          <cell r="AF87">
            <v>54000</v>
          </cell>
          <cell r="AG87">
            <v>180000</v>
          </cell>
        </row>
        <row r="88">
          <cell r="AB88" t="str">
            <v>ExportIst New Buyer00Bath76x137D</v>
          </cell>
          <cell r="AC88">
            <v>0</v>
          </cell>
          <cell r="AD88">
            <v>108000</v>
          </cell>
          <cell r="AE88">
            <v>81000</v>
          </cell>
          <cell r="AF88">
            <v>81000</v>
          </cell>
          <cell r="AG88">
            <v>270000</v>
          </cell>
        </row>
        <row r="89">
          <cell r="AB89" t="str">
            <v>ExportIst New Buyer00Hand41x76L</v>
          </cell>
          <cell r="AC89">
            <v>0</v>
          </cell>
          <cell r="AD89">
            <v>10000</v>
          </cell>
          <cell r="AE89">
            <v>7500</v>
          </cell>
          <cell r="AF89">
            <v>7500</v>
          </cell>
          <cell r="AG89">
            <v>25000</v>
          </cell>
        </row>
        <row r="90">
          <cell r="AB90" t="str">
            <v>ExportIst New Buyer00Hand41x76M</v>
          </cell>
          <cell r="AC90">
            <v>0</v>
          </cell>
          <cell r="AD90">
            <v>4000</v>
          </cell>
          <cell r="AE90">
            <v>3000</v>
          </cell>
          <cell r="AF90">
            <v>3000</v>
          </cell>
          <cell r="AG90">
            <v>10000</v>
          </cell>
        </row>
        <row r="91">
          <cell r="AB91" t="str">
            <v>ExportIst New Buyer00Hand41x76D</v>
          </cell>
          <cell r="AC91">
            <v>0</v>
          </cell>
          <cell r="AD91">
            <v>6000</v>
          </cell>
          <cell r="AE91">
            <v>4500</v>
          </cell>
          <cell r="AF91">
            <v>4500</v>
          </cell>
          <cell r="AG91">
            <v>15000</v>
          </cell>
        </row>
        <row r="92">
          <cell r="AB92" t="str">
            <v>ExportIst New Buyer00Wash33x33L</v>
          </cell>
          <cell r="AC92">
            <v>0</v>
          </cell>
          <cell r="AD92">
            <v>10000</v>
          </cell>
          <cell r="AE92">
            <v>7500</v>
          </cell>
          <cell r="AF92">
            <v>7500</v>
          </cell>
          <cell r="AG92">
            <v>25000</v>
          </cell>
        </row>
        <row r="93">
          <cell r="AB93" t="str">
            <v>ExportIst New Buyer00Wash33x33M</v>
          </cell>
          <cell r="AC93">
            <v>0</v>
          </cell>
          <cell r="AD93">
            <v>4000</v>
          </cell>
          <cell r="AE93">
            <v>3000</v>
          </cell>
          <cell r="AF93">
            <v>3000</v>
          </cell>
          <cell r="AG93">
            <v>10000</v>
          </cell>
        </row>
        <row r="94">
          <cell r="AB94" t="str">
            <v>ExportIst New Buyer00Wash33x33D</v>
          </cell>
          <cell r="AC94">
            <v>0</v>
          </cell>
          <cell r="AD94">
            <v>6000</v>
          </cell>
          <cell r="AE94">
            <v>4500</v>
          </cell>
          <cell r="AF94">
            <v>4500</v>
          </cell>
          <cell r="AG94">
            <v>15000</v>
          </cell>
        </row>
        <row r="95">
          <cell r="AB95" t="str">
            <v>Export2nd New Buyer00Bath76x137L</v>
          </cell>
          <cell r="AC95">
            <v>0</v>
          </cell>
          <cell r="AD95">
            <v>180000</v>
          </cell>
          <cell r="AE95">
            <v>135000</v>
          </cell>
          <cell r="AF95">
            <v>135000</v>
          </cell>
          <cell r="AG95">
            <v>450000</v>
          </cell>
        </row>
        <row r="96">
          <cell r="AB96" t="str">
            <v>Export2nd New Buyer00Bath76x137M</v>
          </cell>
          <cell r="AC96">
            <v>0</v>
          </cell>
          <cell r="AD96">
            <v>72000</v>
          </cell>
          <cell r="AE96">
            <v>54000</v>
          </cell>
          <cell r="AF96">
            <v>54000</v>
          </cell>
          <cell r="AG96">
            <v>180000</v>
          </cell>
        </row>
        <row r="97">
          <cell r="AB97" t="str">
            <v>Export2nd New Buyer00Bath76x137D</v>
          </cell>
          <cell r="AC97">
            <v>0</v>
          </cell>
          <cell r="AD97">
            <v>108000</v>
          </cell>
          <cell r="AE97">
            <v>81000</v>
          </cell>
          <cell r="AF97">
            <v>81000</v>
          </cell>
          <cell r="AG97">
            <v>270000</v>
          </cell>
        </row>
        <row r="98">
          <cell r="AB98" t="str">
            <v>Export2nd New Buyer00Hand41x76L</v>
          </cell>
          <cell r="AC98">
            <v>0</v>
          </cell>
          <cell r="AD98">
            <v>10000</v>
          </cell>
          <cell r="AE98">
            <v>7500</v>
          </cell>
          <cell r="AF98">
            <v>7500</v>
          </cell>
          <cell r="AG98">
            <v>25000</v>
          </cell>
        </row>
        <row r="99">
          <cell r="AB99" t="str">
            <v>Export2nd New Buyer00Hand41x76M</v>
          </cell>
          <cell r="AC99">
            <v>0</v>
          </cell>
          <cell r="AD99">
            <v>4000</v>
          </cell>
          <cell r="AE99">
            <v>3000</v>
          </cell>
          <cell r="AF99">
            <v>3000</v>
          </cell>
          <cell r="AG99">
            <v>10000</v>
          </cell>
        </row>
        <row r="100">
          <cell r="AB100" t="str">
            <v>Export2nd New Buyer00Hand41x76D</v>
          </cell>
          <cell r="AC100">
            <v>0</v>
          </cell>
          <cell r="AD100">
            <v>6000</v>
          </cell>
          <cell r="AE100">
            <v>4500</v>
          </cell>
          <cell r="AF100">
            <v>4500</v>
          </cell>
          <cell r="AG100">
            <v>15000</v>
          </cell>
        </row>
        <row r="101">
          <cell r="AB101" t="str">
            <v>Export2nd New Buyer00Wash33x33L</v>
          </cell>
          <cell r="AC101">
            <v>0</v>
          </cell>
          <cell r="AD101">
            <v>10000</v>
          </cell>
          <cell r="AE101">
            <v>7500</v>
          </cell>
          <cell r="AF101">
            <v>7500</v>
          </cell>
          <cell r="AG101">
            <v>25000</v>
          </cell>
        </row>
        <row r="102">
          <cell r="AB102" t="str">
            <v>Export2nd New Buyer00Wash33x33M</v>
          </cell>
          <cell r="AC102">
            <v>0</v>
          </cell>
          <cell r="AD102">
            <v>4000</v>
          </cell>
          <cell r="AE102">
            <v>3000</v>
          </cell>
          <cell r="AF102">
            <v>3000</v>
          </cell>
          <cell r="AG102">
            <v>10000</v>
          </cell>
        </row>
        <row r="103">
          <cell r="AB103" t="str">
            <v>Export2nd New Buyer00Wash33x33D</v>
          </cell>
          <cell r="AC103">
            <v>0</v>
          </cell>
          <cell r="AD103">
            <v>6000</v>
          </cell>
          <cell r="AE103">
            <v>4500</v>
          </cell>
          <cell r="AF103">
            <v>4500</v>
          </cell>
          <cell r="AG103">
            <v>15000</v>
          </cell>
        </row>
        <row r="104">
          <cell r="AB104" t="str">
            <v>Export3rd New Buyer00Bath0x0L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B105" t="str">
            <v>Export3rd New Buyer00Bath0x0M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</row>
        <row r="106">
          <cell r="AB106" t="str">
            <v>Export3rd New Buyer00Bath0x0D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AB108">
            <v>0</v>
          </cell>
          <cell r="AC108">
            <v>1940000</v>
          </cell>
          <cell r="AD108">
            <v>3145000</v>
          </cell>
          <cell r="AE108">
            <v>2895000</v>
          </cell>
          <cell r="AF108">
            <v>2895000</v>
          </cell>
          <cell r="AG108">
            <v>10875000</v>
          </cell>
        </row>
        <row r="109">
          <cell r="AB109" t="str">
            <v>DomesticWIL-VapiKohls Sonama0Bath76x147L</v>
          </cell>
          <cell r="AC109">
            <v>332350</v>
          </cell>
          <cell r="AD109">
            <v>293250</v>
          </cell>
          <cell r="AE109">
            <v>293250</v>
          </cell>
          <cell r="AF109">
            <v>0</v>
          </cell>
          <cell r="AG109">
            <v>918850</v>
          </cell>
        </row>
        <row r="110">
          <cell r="AB110" t="str">
            <v>DomesticWIL-VapiKohls Sonama0Hand41x76M</v>
          </cell>
          <cell r="AC110">
            <v>39100</v>
          </cell>
          <cell r="AD110">
            <v>34500</v>
          </cell>
          <cell r="AE110">
            <v>34500</v>
          </cell>
          <cell r="AF110">
            <v>0</v>
          </cell>
          <cell r="AG110">
            <v>108100</v>
          </cell>
        </row>
        <row r="111">
          <cell r="AB111" t="str">
            <v>DomesticWIL-VapiKohls Sonama0Wash33x33D</v>
          </cell>
          <cell r="AC111">
            <v>19550</v>
          </cell>
          <cell r="AD111">
            <v>17250</v>
          </cell>
          <cell r="AE111">
            <v>17250</v>
          </cell>
          <cell r="AF111">
            <v>0</v>
          </cell>
          <cell r="AG111">
            <v>54050</v>
          </cell>
        </row>
        <row r="112">
          <cell r="AB112" t="str">
            <v>DomesticZucchiBathrobe0Bathrobe285x100M</v>
          </cell>
          <cell r="AC112">
            <v>165000</v>
          </cell>
          <cell r="AD112">
            <v>165000</v>
          </cell>
          <cell r="AE112">
            <v>165000</v>
          </cell>
          <cell r="AF112">
            <v>116000</v>
          </cell>
          <cell r="AG112">
            <v>611000</v>
          </cell>
        </row>
        <row r="113">
          <cell r="AB113" t="str">
            <v>DomesticWIL-VapiTarget Solid0Bath76x147M</v>
          </cell>
          <cell r="AC113">
            <v>109705</v>
          </cell>
          <cell r="AD113">
            <v>0</v>
          </cell>
          <cell r="AE113">
            <v>0</v>
          </cell>
          <cell r="AF113">
            <v>0</v>
          </cell>
          <cell r="AG113">
            <v>109705</v>
          </cell>
        </row>
      </sheetData>
      <sheetData sheetId="4"/>
      <sheetData sheetId="5" refreshError="1">
        <row r="4">
          <cell r="K4" t="str">
            <v>Key -3</v>
          </cell>
          <cell r="L4" t="str">
            <v>Key -2</v>
          </cell>
          <cell r="M4" t="str">
            <v>FRC</v>
          </cell>
          <cell r="N4" t="str">
            <v>Wt Loss</v>
          </cell>
          <cell r="O4" t="str">
            <v>Sizing</v>
          </cell>
          <cell r="P4" t="str">
            <v>Other Loss</v>
          </cell>
          <cell r="Q4" t="str">
            <v>Total Loss</v>
          </cell>
          <cell r="R4" t="str">
            <v>Grey Yield</v>
          </cell>
        </row>
        <row r="5">
          <cell r="K5" t="str">
            <v>ExportTargetWaverlyUSABath76x142L</v>
          </cell>
          <cell r="M5">
            <v>2.5000000000000001E-3</v>
          </cell>
          <cell r="N5">
            <v>6.5000000000000002E-2</v>
          </cell>
          <cell r="O5">
            <v>1.4999999999999999E-2</v>
          </cell>
          <cell r="Q5">
            <v>8.2500000000000004E-2</v>
          </cell>
          <cell r="R5">
            <v>0.91749999999999998</v>
          </cell>
        </row>
        <row r="6">
          <cell r="K6" t="str">
            <v>ExportTargetWaverlyUSABath76x142M</v>
          </cell>
          <cell r="M6">
            <v>2.5000000000000001E-3</v>
          </cell>
          <cell r="N6">
            <v>6.5000000000000002E-2</v>
          </cell>
          <cell r="O6">
            <v>1.4999999999999999E-2</v>
          </cell>
          <cell r="Q6">
            <v>8.2500000000000004E-2</v>
          </cell>
          <cell r="R6">
            <v>0.91749999999999998</v>
          </cell>
        </row>
        <row r="7">
          <cell r="K7" t="str">
            <v>ExportTargetWaverlyUSABath76x142D</v>
          </cell>
          <cell r="M7">
            <v>2.5000000000000001E-3</v>
          </cell>
          <cell r="N7">
            <v>6.5000000000000002E-2</v>
          </cell>
          <cell r="O7">
            <v>1.4999999999999999E-2</v>
          </cell>
          <cell r="Q7">
            <v>8.2500000000000004E-2</v>
          </cell>
          <cell r="R7">
            <v>0.91749999999999998</v>
          </cell>
        </row>
        <row r="8">
          <cell r="K8" t="str">
            <v>ExportTargetWaverlyUSAHand41x76L</v>
          </cell>
          <cell r="M8">
            <v>2.5000000000000001E-3</v>
          </cell>
          <cell r="N8">
            <v>6.5000000000000002E-2</v>
          </cell>
          <cell r="O8">
            <v>1.4999999999999999E-2</v>
          </cell>
          <cell r="Q8">
            <v>8.2500000000000004E-2</v>
          </cell>
          <cell r="R8">
            <v>0.91749999999999998</v>
          </cell>
        </row>
        <row r="9">
          <cell r="K9" t="str">
            <v>ExportTargetWaverlyUSAHand41x76M</v>
          </cell>
          <cell r="M9">
            <v>2.5000000000000001E-3</v>
          </cell>
          <cell r="N9">
            <v>6.5000000000000002E-2</v>
          </cell>
          <cell r="O9">
            <v>1.4999999999999999E-2</v>
          </cell>
          <cell r="Q9">
            <v>8.2500000000000004E-2</v>
          </cell>
          <cell r="R9">
            <v>0.91749999999999998</v>
          </cell>
        </row>
        <row r="10">
          <cell r="K10" t="str">
            <v>ExportTargetWaverlyUSAHand41x76D</v>
          </cell>
          <cell r="M10">
            <v>2.5000000000000001E-3</v>
          </cell>
          <cell r="N10">
            <v>6.5000000000000002E-2</v>
          </cell>
          <cell r="O10">
            <v>1.4999999999999999E-2</v>
          </cell>
          <cell r="Q10">
            <v>8.2500000000000004E-2</v>
          </cell>
          <cell r="R10">
            <v>0.91749999999999998</v>
          </cell>
        </row>
        <row r="11">
          <cell r="K11" t="str">
            <v>ExportTargetWaverlyUSAWash30x30L</v>
          </cell>
          <cell r="M11">
            <v>2.5000000000000001E-3</v>
          </cell>
          <cell r="N11">
            <v>6.5000000000000002E-2</v>
          </cell>
          <cell r="O11">
            <v>1.4999999999999999E-2</v>
          </cell>
          <cell r="Q11">
            <v>8.2500000000000004E-2</v>
          </cell>
          <cell r="R11">
            <v>0.91749999999999998</v>
          </cell>
        </row>
        <row r="12">
          <cell r="K12" t="str">
            <v>ExportTargetWaverlyUSAWash30x30M</v>
          </cell>
          <cell r="M12">
            <v>2.5000000000000001E-3</v>
          </cell>
          <cell r="N12">
            <v>6.5000000000000002E-2</v>
          </cell>
          <cell r="O12">
            <v>1.4999999999999999E-2</v>
          </cell>
          <cell r="Q12">
            <v>8.2500000000000004E-2</v>
          </cell>
          <cell r="R12">
            <v>0.91749999999999998</v>
          </cell>
        </row>
        <row r="13">
          <cell r="K13" t="str">
            <v>ExportTargetWaverlyUSAWash30x30D</v>
          </cell>
          <cell r="M13">
            <v>2.5000000000000001E-3</v>
          </cell>
          <cell r="N13">
            <v>6.5000000000000002E-2</v>
          </cell>
          <cell r="O13">
            <v>1.4999999999999999E-2</v>
          </cell>
          <cell r="Q13">
            <v>8.2500000000000004E-2</v>
          </cell>
          <cell r="R13">
            <v>0.91749999999999998</v>
          </cell>
        </row>
        <row r="14">
          <cell r="K14" t="str">
            <v>ExportWalmartHome TrendsUSABath76x132L</v>
          </cell>
          <cell r="M14">
            <v>2.5000000000000001E-3</v>
          </cell>
          <cell r="N14">
            <v>6.5000000000000002E-2</v>
          </cell>
          <cell r="O14">
            <v>1.4999999999999999E-2</v>
          </cell>
          <cell r="Q14">
            <v>8.2500000000000004E-2</v>
          </cell>
          <cell r="R14">
            <v>0.91749999999999998</v>
          </cell>
        </row>
        <row r="15">
          <cell r="K15" t="str">
            <v>ExportWalmartHome TrendsUSABath76x132M</v>
          </cell>
          <cell r="M15">
            <v>2.5000000000000001E-3</v>
          </cell>
          <cell r="N15">
            <v>6.5000000000000002E-2</v>
          </cell>
          <cell r="O15">
            <v>1.4999999999999999E-2</v>
          </cell>
          <cell r="Q15">
            <v>8.2500000000000004E-2</v>
          </cell>
          <cell r="R15">
            <v>0.91749999999999998</v>
          </cell>
        </row>
        <row r="16">
          <cell r="K16" t="str">
            <v>ExportWalmartHome TrendsUSABath76x132D</v>
          </cell>
          <cell r="M16">
            <v>2.5000000000000001E-3</v>
          </cell>
          <cell r="N16">
            <v>6.5000000000000002E-2</v>
          </cell>
          <cell r="O16">
            <v>1.4999999999999999E-2</v>
          </cell>
          <cell r="Q16">
            <v>8.2500000000000004E-2</v>
          </cell>
          <cell r="R16">
            <v>0.91749999999999998</v>
          </cell>
        </row>
        <row r="17">
          <cell r="K17" t="str">
            <v>ExportWalmartHome TrendsUSAHand41x69L</v>
          </cell>
          <cell r="M17">
            <v>2.5000000000000001E-3</v>
          </cell>
          <cell r="N17">
            <v>6.5000000000000002E-2</v>
          </cell>
          <cell r="O17">
            <v>1.4999999999999999E-2</v>
          </cell>
          <cell r="Q17">
            <v>8.2500000000000004E-2</v>
          </cell>
          <cell r="R17">
            <v>0.91749999999999998</v>
          </cell>
        </row>
        <row r="18">
          <cell r="K18" t="str">
            <v>ExportWalmartHome TrendsUSAHand41x69M</v>
          </cell>
          <cell r="M18">
            <v>2.5000000000000001E-3</v>
          </cell>
          <cell r="N18">
            <v>6.5000000000000002E-2</v>
          </cell>
          <cell r="O18">
            <v>1.4999999999999999E-2</v>
          </cell>
          <cell r="Q18">
            <v>8.2500000000000004E-2</v>
          </cell>
          <cell r="R18">
            <v>0.91749999999999998</v>
          </cell>
        </row>
        <row r="19">
          <cell r="K19" t="str">
            <v>ExportWalmartHome TrendsUSAHand41x69D</v>
          </cell>
          <cell r="M19">
            <v>2.5000000000000001E-3</v>
          </cell>
          <cell r="N19">
            <v>6.5000000000000002E-2</v>
          </cell>
          <cell r="O19">
            <v>1.4999999999999999E-2</v>
          </cell>
          <cell r="Q19">
            <v>8.2500000000000004E-2</v>
          </cell>
          <cell r="R19">
            <v>0.91749999999999998</v>
          </cell>
        </row>
        <row r="20">
          <cell r="K20" t="str">
            <v>ExportWalmartHome TrendsUSAWash33x33L</v>
          </cell>
          <cell r="M20">
            <v>2.5000000000000001E-3</v>
          </cell>
          <cell r="N20">
            <v>6.5000000000000002E-2</v>
          </cell>
          <cell r="O20">
            <v>1.4999999999999999E-2</v>
          </cell>
          <cell r="Q20">
            <v>8.2500000000000004E-2</v>
          </cell>
          <cell r="R20">
            <v>0.91749999999999998</v>
          </cell>
        </row>
        <row r="21">
          <cell r="K21" t="str">
            <v>ExportWalmartHome TrendsUSAWash33x33M</v>
          </cell>
          <cell r="M21">
            <v>2.5000000000000001E-3</v>
          </cell>
          <cell r="N21">
            <v>6.5000000000000002E-2</v>
          </cell>
          <cell r="O21">
            <v>1.4999999999999999E-2</v>
          </cell>
          <cell r="Q21">
            <v>8.2500000000000004E-2</v>
          </cell>
          <cell r="R21">
            <v>0.91749999999999998</v>
          </cell>
        </row>
        <row r="22">
          <cell r="K22" t="str">
            <v>ExportWalmartHome TrendsUSAWash33x33D</v>
          </cell>
          <cell r="M22">
            <v>2.5000000000000001E-3</v>
          </cell>
          <cell r="N22">
            <v>6.5000000000000002E-2</v>
          </cell>
          <cell r="O22">
            <v>1.4999999999999999E-2</v>
          </cell>
          <cell r="Q22">
            <v>8.2500000000000004E-2</v>
          </cell>
          <cell r="R22">
            <v>0.91749999999999998</v>
          </cell>
        </row>
        <row r="23">
          <cell r="K23" t="str">
            <v>ExportMill WorkingCannon LandmarkUSABath76x137L</v>
          </cell>
          <cell r="M23">
            <v>2.5000000000000001E-3</v>
          </cell>
          <cell r="N23">
            <v>6.5000000000000002E-2</v>
          </cell>
          <cell r="O23">
            <v>1.4999999999999999E-2</v>
          </cell>
          <cell r="Q23">
            <v>8.2500000000000004E-2</v>
          </cell>
          <cell r="R23">
            <v>0.91749999999999998</v>
          </cell>
        </row>
        <row r="24">
          <cell r="K24" t="str">
            <v>ExportMill WorkingCannon LandmarkUSABath76x137M</v>
          </cell>
          <cell r="M24">
            <v>2.5000000000000001E-3</v>
          </cell>
          <cell r="N24">
            <v>6.5000000000000002E-2</v>
          </cell>
          <cell r="O24">
            <v>1.4999999999999999E-2</v>
          </cell>
          <cell r="Q24">
            <v>8.2500000000000004E-2</v>
          </cell>
          <cell r="R24">
            <v>0.91749999999999998</v>
          </cell>
        </row>
        <row r="25">
          <cell r="K25" t="str">
            <v>ExportMill WorkingCannon LandmarkUSABath76x137D</v>
          </cell>
          <cell r="M25">
            <v>2.5000000000000001E-3</v>
          </cell>
          <cell r="N25">
            <v>6.5000000000000002E-2</v>
          </cell>
          <cell r="O25">
            <v>1.4999999999999999E-2</v>
          </cell>
          <cell r="Q25">
            <v>8.2500000000000004E-2</v>
          </cell>
          <cell r="R25">
            <v>0.91749999999999998</v>
          </cell>
        </row>
        <row r="26">
          <cell r="K26" t="str">
            <v>ExportMill WorkingCannon LandmarkUSAHand41x76L</v>
          </cell>
          <cell r="M26">
            <v>2.5000000000000001E-3</v>
          </cell>
          <cell r="N26">
            <v>6.5000000000000002E-2</v>
          </cell>
          <cell r="O26">
            <v>1.4999999999999999E-2</v>
          </cell>
          <cell r="Q26">
            <v>8.2500000000000004E-2</v>
          </cell>
          <cell r="R26">
            <v>0.91749999999999998</v>
          </cell>
        </row>
        <row r="27">
          <cell r="K27" t="str">
            <v>ExportMill WorkingCannon LandmarkUSAHand41x76M</v>
          </cell>
          <cell r="M27">
            <v>2.5000000000000001E-3</v>
          </cell>
          <cell r="N27">
            <v>6.5000000000000002E-2</v>
          </cell>
          <cell r="O27">
            <v>1.4999999999999999E-2</v>
          </cell>
          <cell r="Q27">
            <v>8.2500000000000004E-2</v>
          </cell>
          <cell r="R27">
            <v>0.91749999999999998</v>
          </cell>
        </row>
        <row r="28">
          <cell r="K28" t="str">
            <v>ExportMill WorkingCannon LandmarkUSAHand41x76D</v>
          </cell>
          <cell r="M28">
            <v>2.5000000000000001E-3</v>
          </cell>
          <cell r="N28">
            <v>6.5000000000000002E-2</v>
          </cell>
          <cell r="O28">
            <v>1.4999999999999999E-2</v>
          </cell>
          <cell r="Q28">
            <v>8.2500000000000004E-2</v>
          </cell>
          <cell r="R28">
            <v>0.91749999999999998</v>
          </cell>
        </row>
        <row r="29">
          <cell r="K29" t="str">
            <v>ExportMill WorkingCannon LandmarkUSAWash33x33L</v>
          </cell>
          <cell r="M29">
            <v>2.5000000000000001E-3</v>
          </cell>
          <cell r="N29">
            <v>6.5000000000000002E-2</v>
          </cell>
          <cell r="O29">
            <v>1.4999999999999999E-2</v>
          </cell>
          <cell r="Q29">
            <v>8.2500000000000004E-2</v>
          </cell>
          <cell r="R29">
            <v>0.91749999999999998</v>
          </cell>
        </row>
        <row r="30">
          <cell r="K30" t="str">
            <v>ExportMill WorkingCannon LandmarkUSAWash33x33M</v>
          </cell>
          <cell r="M30">
            <v>2.5000000000000001E-3</v>
          </cell>
          <cell r="N30">
            <v>6.5000000000000002E-2</v>
          </cell>
          <cell r="O30">
            <v>1.4999999999999999E-2</v>
          </cell>
          <cell r="Q30">
            <v>8.2500000000000004E-2</v>
          </cell>
          <cell r="R30">
            <v>0.91749999999999998</v>
          </cell>
        </row>
        <row r="31">
          <cell r="K31" t="str">
            <v>ExportMill WorkingCannon LandmarkUSAWash33x33D</v>
          </cell>
          <cell r="M31">
            <v>2.5000000000000001E-3</v>
          </cell>
          <cell r="N31">
            <v>6.5000000000000002E-2</v>
          </cell>
          <cell r="O31">
            <v>1.4999999999999999E-2</v>
          </cell>
          <cell r="Q31">
            <v>8.2500000000000004E-2</v>
          </cell>
          <cell r="R31">
            <v>0.91749999999999998</v>
          </cell>
        </row>
        <row r="32">
          <cell r="K32" t="str">
            <v>ExportMill WorkingCannon MilestoneUSABath76x137L</v>
          </cell>
          <cell r="M32">
            <v>2.5000000000000001E-3</v>
          </cell>
          <cell r="N32">
            <v>6.5000000000000002E-2</v>
          </cell>
          <cell r="O32">
            <v>1.4999999999999999E-2</v>
          </cell>
          <cell r="Q32">
            <v>8.2500000000000004E-2</v>
          </cell>
          <cell r="R32">
            <v>0.91749999999999998</v>
          </cell>
        </row>
        <row r="33">
          <cell r="K33" t="str">
            <v>ExportMill WorkingCannon MilestoneUSABath76x137M</v>
          </cell>
          <cell r="M33">
            <v>2.5000000000000001E-3</v>
          </cell>
          <cell r="N33">
            <v>6.5000000000000002E-2</v>
          </cell>
          <cell r="O33">
            <v>1.4999999999999999E-2</v>
          </cell>
          <cell r="Q33">
            <v>8.2500000000000004E-2</v>
          </cell>
          <cell r="R33">
            <v>0.91749999999999998</v>
          </cell>
        </row>
        <row r="34">
          <cell r="K34" t="str">
            <v>ExportMill WorkingCannon MilestoneUSABath76x137D</v>
          </cell>
          <cell r="M34">
            <v>2.5000000000000001E-3</v>
          </cell>
          <cell r="N34">
            <v>6.5000000000000002E-2</v>
          </cell>
          <cell r="O34">
            <v>1.4999999999999999E-2</v>
          </cell>
          <cell r="Q34">
            <v>8.2500000000000004E-2</v>
          </cell>
          <cell r="R34">
            <v>0.91749999999999998</v>
          </cell>
        </row>
        <row r="35">
          <cell r="K35" t="str">
            <v>ExportMill WorkingCannon MilestoneUSAHand41x76L</v>
          </cell>
          <cell r="M35">
            <v>2.5000000000000001E-3</v>
          </cell>
          <cell r="N35">
            <v>6.5000000000000002E-2</v>
          </cell>
          <cell r="O35">
            <v>1.4999999999999999E-2</v>
          </cell>
          <cell r="Q35">
            <v>8.2500000000000004E-2</v>
          </cell>
          <cell r="R35">
            <v>0.91749999999999998</v>
          </cell>
        </row>
        <row r="36">
          <cell r="K36" t="str">
            <v>ExportMill WorkingCannon MilestoneUSAHand41x76M</v>
          </cell>
          <cell r="M36">
            <v>2.5000000000000001E-3</v>
          </cell>
          <cell r="N36">
            <v>6.5000000000000002E-2</v>
          </cell>
          <cell r="O36">
            <v>1.4999999999999999E-2</v>
          </cell>
          <cell r="Q36">
            <v>8.2500000000000004E-2</v>
          </cell>
          <cell r="R36">
            <v>0.91749999999999998</v>
          </cell>
        </row>
        <row r="37">
          <cell r="K37" t="str">
            <v>ExportMill WorkingCannon MilestoneUSAHand41x76D</v>
          </cell>
          <cell r="M37">
            <v>2.5000000000000001E-3</v>
          </cell>
          <cell r="N37">
            <v>6.5000000000000002E-2</v>
          </cell>
          <cell r="O37">
            <v>1.4999999999999999E-2</v>
          </cell>
          <cell r="Q37">
            <v>8.2500000000000004E-2</v>
          </cell>
          <cell r="R37">
            <v>0.91749999999999998</v>
          </cell>
        </row>
        <row r="38">
          <cell r="K38" t="str">
            <v>ExportMill WorkingCannon MilestoneUSAWash33x33L</v>
          </cell>
          <cell r="M38">
            <v>2.5000000000000001E-3</v>
          </cell>
          <cell r="N38">
            <v>6.5000000000000002E-2</v>
          </cell>
          <cell r="O38">
            <v>1.4999999999999999E-2</v>
          </cell>
          <cell r="Q38">
            <v>8.2500000000000004E-2</v>
          </cell>
          <cell r="R38">
            <v>0.91749999999999998</v>
          </cell>
        </row>
        <row r="39">
          <cell r="K39" t="str">
            <v>ExportMill WorkingCannon MilestoneUSAWash33x33M</v>
          </cell>
          <cell r="M39">
            <v>2.5000000000000001E-3</v>
          </cell>
          <cell r="N39">
            <v>6.5000000000000002E-2</v>
          </cell>
          <cell r="O39">
            <v>1.4999999999999999E-2</v>
          </cell>
          <cell r="Q39">
            <v>8.2500000000000004E-2</v>
          </cell>
          <cell r="R39">
            <v>0.91749999999999998</v>
          </cell>
        </row>
        <row r="40">
          <cell r="K40" t="str">
            <v>ExportMill WorkingCannon MilestoneUSAWash33x33D</v>
          </cell>
          <cell r="M40">
            <v>2.5000000000000001E-3</v>
          </cell>
          <cell r="N40">
            <v>6.5000000000000002E-2</v>
          </cell>
          <cell r="O40">
            <v>1.4999999999999999E-2</v>
          </cell>
          <cell r="Q40">
            <v>8.2500000000000004E-2</v>
          </cell>
          <cell r="R40">
            <v>0.91749999999999998</v>
          </cell>
        </row>
        <row r="41">
          <cell r="K41" t="str">
            <v>ExportWelspun USAEsplamaUSABath76x137L</v>
          </cell>
          <cell r="M41">
            <v>2.5000000000000001E-3</v>
          </cell>
          <cell r="N41">
            <v>6.5000000000000002E-2</v>
          </cell>
          <cell r="O41">
            <v>1.4999999999999999E-2</v>
          </cell>
          <cell r="Q41">
            <v>8.2500000000000004E-2</v>
          </cell>
          <cell r="R41">
            <v>0.91749999999999998</v>
          </cell>
        </row>
        <row r="42">
          <cell r="K42" t="str">
            <v>ExportWelspun USAEsplamaUSABath76x137M</v>
          </cell>
          <cell r="M42">
            <v>2.5000000000000001E-3</v>
          </cell>
          <cell r="N42">
            <v>6.5000000000000002E-2</v>
          </cell>
          <cell r="O42">
            <v>1.4999999999999999E-2</v>
          </cell>
          <cell r="Q42">
            <v>8.2500000000000004E-2</v>
          </cell>
          <cell r="R42">
            <v>0.91749999999999998</v>
          </cell>
        </row>
        <row r="43">
          <cell r="K43" t="str">
            <v>ExportWelspun USAEsplamaUSABath76x137D</v>
          </cell>
          <cell r="M43">
            <v>2.5000000000000001E-3</v>
          </cell>
          <cell r="N43">
            <v>6.5000000000000002E-2</v>
          </cell>
          <cell r="O43">
            <v>1.4999999999999999E-2</v>
          </cell>
          <cell r="Q43">
            <v>8.2500000000000004E-2</v>
          </cell>
          <cell r="R43">
            <v>0.91749999999999998</v>
          </cell>
        </row>
        <row r="44">
          <cell r="K44" t="str">
            <v>ExportWelspun USAEsplamaUSAHand41x71L</v>
          </cell>
          <cell r="M44">
            <v>2.5000000000000001E-3</v>
          </cell>
          <cell r="N44">
            <v>6.5000000000000002E-2</v>
          </cell>
          <cell r="O44">
            <v>1.4999999999999999E-2</v>
          </cell>
          <cell r="Q44">
            <v>8.2500000000000004E-2</v>
          </cell>
          <cell r="R44">
            <v>0.91749999999999998</v>
          </cell>
        </row>
        <row r="45">
          <cell r="K45" t="str">
            <v>ExportWelspun USAEsplamaUSAHand41x71M</v>
          </cell>
          <cell r="M45">
            <v>2.5000000000000001E-3</v>
          </cell>
          <cell r="N45">
            <v>6.5000000000000002E-2</v>
          </cell>
          <cell r="O45">
            <v>1.4999999999999999E-2</v>
          </cell>
          <cell r="Q45">
            <v>8.2500000000000004E-2</v>
          </cell>
          <cell r="R45">
            <v>0.91749999999999998</v>
          </cell>
        </row>
        <row r="46">
          <cell r="K46" t="str">
            <v>ExportWelspun USAEsplamaUSAHand41x71D</v>
          </cell>
          <cell r="M46">
            <v>2.5000000000000001E-3</v>
          </cell>
          <cell r="N46">
            <v>6.5000000000000002E-2</v>
          </cell>
          <cell r="O46">
            <v>1.4999999999999999E-2</v>
          </cell>
          <cell r="Q46">
            <v>8.2500000000000004E-2</v>
          </cell>
          <cell r="R46">
            <v>0.91749999999999998</v>
          </cell>
        </row>
        <row r="47">
          <cell r="K47" t="str">
            <v>ExportWelspun USAEsplamaUSAWash33x33L</v>
          </cell>
          <cell r="M47">
            <v>2.5000000000000001E-3</v>
          </cell>
          <cell r="N47">
            <v>6.5000000000000002E-2</v>
          </cell>
          <cell r="O47">
            <v>1.4999999999999999E-2</v>
          </cell>
          <cell r="Q47">
            <v>8.2500000000000004E-2</v>
          </cell>
          <cell r="R47">
            <v>0.91749999999999998</v>
          </cell>
        </row>
        <row r="48">
          <cell r="K48" t="str">
            <v>ExportWelspun USAEsplamaUSAWash33x33M</v>
          </cell>
          <cell r="M48">
            <v>2.5000000000000001E-3</v>
          </cell>
          <cell r="N48">
            <v>6.5000000000000002E-2</v>
          </cell>
          <cell r="O48">
            <v>1.4999999999999999E-2</v>
          </cell>
          <cell r="Q48">
            <v>8.2500000000000004E-2</v>
          </cell>
          <cell r="R48">
            <v>0.91749999999999998</v>
          </cell>
        </row>
        <row r="49">
          <cell r="K49" t="str">
            <v>ExportWelspun USAEsplamaUSAWash33x33D</v>
          </cell>
          <cell r="M49">
            <v>2.5000000000000001E-3</v>
          </cell>
          <cell r="N49">
            <v>6.5000000000000002E-2</v>
          </cell>
          <cell r="O49">
            <v>1.4999999999999999E-2</v>
          </cell>
          <cell r="Q49">
            <v>8.2500000000000004E-2</v>
          </cell>
          <cell r="R49">
            <v>0.91749999999999998</v>
          </cell>
        </row>
        <row r="50">
          <cell r="K50" t="str">
            <v>ExportLNTManorUSABath76x147L</v>
          </cell>
          <cell r="M50">
            <v>2.5000000000000001E-3</v>
          </cell>
          <cell r="N50">
            <v>6.5000000000000002E-2</v>
          </cell>
          <cell r="O50">
            <v>1.4999999999999999E-2</v>
          </cell>
          <cell r="Q50">
            <v>8.2500000000000004E-2</v>
          </cell>
          <cell r="R50">
            <v>0.91749999999999998</v>
          </cell>
        </row>
        <row r="51">
          <cell r="K51" t="str">
            <v>ExportLNTManorUSABath76x147M</v>
          </cell>
          <cell r="M51">
            <v>2.5000000000000001E-3</v>
          </cell>
          <cell r="N51">
            <v>6.5000000000000002E-2</v>
          </cell>
          <cell r="O51">
            <v>1.4999999999999999E-2</v>
          </cell>
          <cell r="Q51">
            <v>8.2500000000000004E-2</v>
          </cell>
          <cell r="R51">
            <v>0.91749999999999998</v>
          </cell>
        </row>
        <row r="52">
          <cell r="K52" t="str">
            <v>ExportLNTManorUSABath76x147D</v>
          </cell>
          <cell r="M52">
            <v>2.5000000000000001E-3</v>
          </cell>
          <cell r="N52">
            <v>6.5000000000000002E-2</v>
          </cell>
          <cell r="O52">
            <v>1.4999999999999999E-2</v>
          </cell>
          <cell r="Q52">
            <v>8.2500000000000004E-2</v>
          </cell>
          <cell r="R52">
            <v>0.91749999999999998</v>
          </cell>
        </row>
        <row r="53">
          <cell r="K53" t="str">
            <v>ExportLNTManorUSAHand51x76L</v>
          </cell>
          <cell r="M53">
            <v>2.5000000000000001E-3</v>
          </cell>
          <cell r="N53">
            <v>6.5000000000000002E-2</v>
          </cell>
          <cell r="O53">
            <v>1.4999999999999999E-2</v>
          </cell>
          <cell r="Q53">
            <v>8.2500000000000004E-2</v>
          </cell>
          <cell r="R53">
            <v>0.91749999999999998</v>
          </cell>
        </row>
        <row r="54">
          <cell r="K54" t="str">
            <v>ExportLNTManorUSAHand51x76M</v>
          </cell>
          <cell r="M54">
            <v>2.5000000000000001E-3</v>
          </cell>
          <cell r="N54">
            <v>6.5000000000000002E-2</v>
          </cell>
          <cell r="O54">
            <v>1.4999999999999999E-2</v>
          </cell>
          <cell r="Q54">
            <v>8.2500000000000004E-2</v>
          </cell>
          <cell r="R54">
            <v>0.91749999999999998</v>
          </cell>
        </row>
        <row r="55">
          <cell r="K55" t="str">
            <v>ExportLNTManorUSAHand51x76D</v>
          </cell>
          <cell r="M55">
            <v>2.5000000000000001E-3</v>
          </cell>
          <cell r="N55">
            <v>6.5000000000000002E-2</v>
          </cell>
          <cell r="O55">
            <v>1.4999999999999999E-2</v>
          </cell>
          <cell r="Q55">
            <v>8.2500000000000004E-2</v>
          </cell>
          <cell r="R55">
            <v>0.91749999999999998</v>
          </cell>
        </row>
        <row r="56">
          <cell r="K56" t="str">
            <v>ExportLNTManorUSAWash33x33L</v>
          </cell>
          <cell r="M56">
            <v>2.5000000000000001E-3</v>
          </cell>
          <cell r="N56">
            <v>6.5000000000000002E-2</v>
          </cell>
          <cell r="O56">
            <v>1.4999999999999999E-2</v>
          </cell>
          <cell r="Q56">
            <v>8.2500000000000004E-2</v>
          </cell>
          <cell r="R56">
            <v>0.91749999999999998</v>
          </cell>
        </row>
        <row r="57">
          <cell r="K57" t="str">
            <v>ExportLNTManorUSAWash33x33M</v>
          </cell>
          <cell r="M57">
            <v>2.5000000000000001E-3</v>
          </cell>
          <cell r="N57">
            <v>6.5000000000000002E-2</v>
          </cell>
          <cell r="O57">
            <v>1.4999999999999999E-2</v>
          </cell>
          <cell r="Q57">
            <v>8.2500000000000004E-2</v>
          </cell>
          <cell r="R57">
            <v>0.91749999999999998</v>
          </cell>
        </row>
        <row r="58">
          <cell r="K58" t="str">
            <v>ExportLNTManorUSAWash33x33D</v>
          </cell>
          <cell r="M58">
            <v>2.5000000000000001E-3</v>
          </cell>
          <cell r="N58">
            <v>6.5000000000000002E-2</v>
          </cell>
          <cell r="O58">
            <v>1.4999999999999999E-2</v>
          </cell>
          <cell r="Q58">
            <v>8.2500000000000004E-2</v>
          </cell>
          <cell r="R58">
            <v>0.91749999999999998</v>
          </cell>
        </row>
        <row r="59">
          <cell r="K59" t="str">
            <v>ExportLNTNewUSABath76x147L</v>
          </cell>
          <cell r="M59">
            <v>2.5000000000000001E-3</v>
          </cell>
          <cell r="N59">
            <v>6.5000000000000002E-2</v>
          </cell>
          <cell r="O59">
            <v>1.4999999999999999E-2</v>
          </cell>
          <cell r="Q59">
            <v>8.2500000000000004E-2</v>
          </cell>
          <cell r="R59">
            <v>0.91749999999999998</v>
          </cell>
        </row>
        <row r="60">
          <cell r="K60" t="str">
            <v>ExportLNTNewUSABath76x147M</v>
          </cell>
          <cell r="M60">
            <v>2.5000000000000001E-3</v>
          </cell>
          <cell r="N60">
            <v>6.5000000000000002E-2</v>
          </cell>
          <cell r="O60">
            <v>1.4999999999999999E-2</v>
          </cell>
          <cell r="Q60">
            <v>8.2500000000000004E-2</v>
          </cell>
          <cell r="R60">
            <v>0.91749999999999998</v>
          </cell>
        </row>
        <row r="61">
          <cell r="K61" t="str">
            <v>ExportLNTNewUSABath76x147D</v>
          </cell>
          <cell r="M61">
            <v>2.5000000000000001E-3</v>
          </cell>
          <cell r="N61">
            <v>6.5000000000000002E-2</v>
          </cell>
          <cell r="O61">
            <v>1.4999999999999999E-2</v>
          </cell>
          <cell r="Q61">
            <v>8.2500000000000004E-2</v>
          </cell>
          <cell r="R61">
            <v>0.91749999999999998</v>
          </cell>
        </row>
        <row r="62">
          <cell r="K62" t="str">
            <v>ExportLNTNewUSAHand51x76L</v>
          </cell>
          <cell r="M62">
            <v>2.5000000000000001E-3</v>
          </cell>
          <cell r="N62">
            <v>6.5000000000000002E-2</v>
          </cell>
          <cell r="O62">
            <v>1.4999999999999999E-2</v>
          </cell>
          <cell r="Q62">
            <v>8.2500000000000004E-2</v>
          </cell>
          <cell r="R62">
            <v>0.91749999999999998</v>
          </cell>
        </row>
        <row r="63">
          <cell r="K63" t="str">
            <v>ExportLNTNewUSAHand51x76M</v>
          </cell>
          <cell r="M63">
            <v>2.5000000000000001E-3</v>
          </cell>
          <cell r="N63">
            <v>6.5000000000000002E-2</v>
          </cell>
          <cell r="O63">
            <v>1.4999999999999999E-2</v>
          </cell>
          <cell r="Q63">
            <v>8.2500000000000004E-2</v>
          </cell>
          <cell r="R63">
            <v>0.91749999999999998</v>
          </cell>
        </row>
        <row r="64">
          <cell r="K64" t="str">
            <v>ExportLNTNewUSAHand51x76D</v>
          </cell>
          <cell r="M64">
            <v>2.5000000000000001E-3</v>
          </cell>
          <cell r="N64">
            <v>6.5000000000000002E-2</v>
          </cell>
          <cell r="O64">
            <v>1.4999999999999999E-2</v>
          </cell>
          <cell r="Q64">
            <v>8.2500000000000004E-2</v>
          </cell>
          <cell r="R64">
            <v>0.91749999999999998</v>
          </cell>
        </row>
        <row r="65">
          <cell r="K65" t="str">
            <v>ExportLNTNewUSAWash33x33L</v>
          </cell>
          <cell r="M65">
            <v>2.5000000000000001E-3</v>
          </cell>
          <cell r="N65">
            <v>6.5000000000000002E-2</v>
          </cell>
          <cell r="O65">
            <v>1.4999999999999999E-2</v>
          </cell>
          <cell r="Q65">
            <v>8.2500000000000004E-2</v>
          </cell>
          <cell r="R65">
            <v>0.91749999999999998</v>
          </cell>
        </row>
        <row r="66">
          <cell r="K66" t="str">
            <v>ExportLNTNewUSAWash33x33M</v>
          </cell>
          <cell r="M66">
            <v>2.5000000000000001E-3</v>
          </cell>
          <cell r="N66">
            <v>6.5000000000000002E-2</v>
          </cell>
          <cell r="O66">
            <v>1.4999999999999999E-2</v>
          </cell>
          <cell r="Q66">
            <v>8.2500000000000004E-2</v>
          </cell>
          <cell r="R66">
            <v>0.91749999999999998</v>
          </cell>
        </row>
        <row r="67">
          <cell r="K67" t="str">
            <v>ExportLNTNewUSAWash33x33D</v>
          </cell>
          <cell r="M67">
            <v>2.5000000000000001E-3</v>
          </cell>
          <cell r="N67">
            <v>6.5000000000000002E-2</v>
          </cell>
          <cell r="O67">
            <v>1.4999999999999999E-2</v>
          </cell>
          <cell r="Q67">
            <v>8.2500000000000004E-2</v>
          </cell>
          <cell r="R67">
            <v>0.91749999999999998</v>
          </cell>
        </row>
        <row r="68">
          <cell r="K68" t="str">
            <v>ExportKohlsBig One StripeUSABath76x137L</v>
          </cell>
          <cell r="M68">
            <v>2.5000000000000001E-3</v>
          </cell>
          <cell r="N68">
            <v>6.5000000000000002E-2</v>
          </cell>
          <cell r="O68">
            <v>1.4999999999999999E-2</v>
          </cell>
          <cell r="Q68">
            <v>8.2500000000000004E-2</v>
          </cell>
          <cell r="R68">
            <v>0.91749999999999998</v>
          </cell>
        </row>
        <row r="69">
          <cell r="K69" t="str">
            <v>ExportKohlsBig One StripeUSABath76x137M</v>
          </cell>
          <cell r="M69">
            <v>2.5000000000000001E-3</v>
          </cell>
          <cell r="N69">
            <v>6.5000000000000002E-2</v>
          </cell>
          <cell r="O69">
            <v>1.4999999999999999E-2</v>
          </cell>
          <cell r="Q69">
            <v>8.2500000000000004E-2</v>
          </cell>
          <cell r="R69">
            <v>0.91749999999999998</v>
          </cell>
        </row>
        <row r="70">
          <cell r="K70" t="str">
            <v>ExportKohlsBig One StripeUSABath76x137D</v>
          </cell>
          <cell r="M70">
            <v>2.5000000000000001E-3</v>
          </cell>
          <cell r="N70">
            <v>6.5000000000000002E-2</v>
          </cell>
          <cell r="O70">
            <v>1.4999999999999999E-2</v>
          </cell>
          <cell r="Q70">
            <v>8.2500000000000004E-2</v>
          </cell>
          <cell r="R70">
            <v>0.91749999999999998</v>
          </cell>
        </row>
        <row r="71">
          <cell r="K71" t="str">
            <v>ExportKohlsBig One StripeUSAHand41x71L</v>
          </cell>
          <cell r="M71">
            <v>2.5000000000000001E-3</v>
          </cell>
          <cell r="N71">
            <v>6.5000000000000002E-2</v>
          </cell>
          <cell r="O71">
            <v>1.4999999999999999E-2</v>
          </cell>
          <cell r="Q71">
            <v>8.2500000000000004E-2</v>
          </cell>
          <cell r="R71">
            <v>0.91749999999999998</v>
          </cell>
        </row>
        <row r="72">
          <cell r="K72" t="str">
            <v>ExportKohlsBig One StripeUSAHand41x71M</v>
          </cell>
          <cell r="M72">
            <v>2.5000000000000001E-3</v>
          </cell>
          <cell r="N72">
            <v>6.5000000000000002E-2</v>
          </cell>
          <cell r="O72">
            <v>1.4999999999999999E-2</v>
          </cell>
          <cell r="Q72">
            <v>8.2500000000000004E-2</v>
          </cell>
          <cell r="R72">
            <v>0.91749999999999998</v>
          </cell>
        </row>
        <row r="73">
          <cell r="K73" t="str">
            <v>ExportKohlsBig One StripeUSAHand41x71D</v>
          </cell>
          <cell r="M73">
            <v>2.5000000000000001E-3</v>
          </cell>
          <cell r="N73">
            <v>6.5000000000000002E-2</v>
          </cell>
          <cell r="O73">
            <v>1.4999999999999999E-2</v>
          </cell>
          <cell r="Q73">
            <v>8.2500000000000004E-2</v>
          </cell>
          <cell r="R73">
            <v>0.91749999999999998</v>
          </cell>
        </row>
        <row r="74">
          <cell r="K74" t="str">
            <v>ExportKohlsBig One StripeUSAWash30x30L</v>
          </cell>
          <cell r="M74">
            <v>2.5000000000000001E-3</v>
          </cell>
          <cell r="N74">
            <v>6.5000000000000002E-2</v>
          </cell>
          <cell r="O74">
            <v>1.4999999999999999E-2</v>
          </cell>
          <cell r="Q74">
            <v>8.2500000000000004E-2</v>
          </cell>
          <cell r="R74">
            <v>0.91749999999999998</v>
          </cell>
        </row>
        <row r="75">
          <cell r="K75" t="str">
            <v>ExportKohlsBig One StripeUSAWash30x30M</v>
          </cell>
          <cell r="M75">
            <v>2.5000000000000001E-3</v>
          </cell>
          <cell r="N75">
            <v>6.5000000000000002E-2</v>
          </cell>
          <cell r="O75">
            <v>1.4999999999999999E-2</v>
          </cell>
          <cell r="Q75">
            <v>8.2500000000000004E-2</v>
          </cell>
          <cell r="R75">
            <v>0.91749999999999998</v>
          </cell>
        </row>
        <row r="76">
          <cell r="K76" t="str">
            <v>ExportKohlsBig One StripeUSAWash30x30D</v>
          </cell>
          <cell r="M76">
            <v>2.5000000000000001E-3</v>
          </cell>
          <cell r="N76">
            <v>6.5000000000000002E-2</v>
          </cell>
          <cell r="O76">
            <v>1.4999999999999999E-2</v>
          </cell>
          <cell r="Q76">
            <v>8.2500000000000004E-2</v>
          </cell>
          <cell r="R76">
            <v>0.91749999999999998</v>
          </cell>
        </row>
        <row r="77">
          <cell r="K77" t="str">
            <v>ExportKohlsBig One SolidUSABath76x137L</v>
          </cell>
          <cell r="M77">
            <v>2.5000000000000001E-3</v>
          </cell>
          <cell r="N77">
            <v>6.5000000000000002E-2</v>
          </cell>
          <cell r="O77">
            <v>1.4999999999999999E-2</v>
          </cell>
          <cell r="Q77">
            <v>8.2500000000000004E-2</v>
          </cell>
          <cell r="R77">
            <v>0.91749999999999998</v>
          </cell>
        </row>
        <row r="78">
          <cell r="K78" t="str">
            <v>ExportKohlsBig One SolidUSABath76x137M</v>
          </cell>
          <cell r="M78">
            <v>2.5000000000000001E-3</v>
          </cell>
          <cell r="N78">
            <v>6.5000000000000002E-2</v>
          </cell>
          <cell r="O78">
            <v>1.4999999999999999E-2</v>
          </cell>
          <cell r="Q78">
            <v>8.2500000000000004E-2</v>
          </cell>
          <cell r="R78">
            <v>0.91749999999999998</v>
          </cell>
        </row>
        <row r="79">
          <cell r="K79" t="str">
            <v>ExportKohlsBig One SolidUSABath76x137D</v>
          </cell>
          <cell r="M79">
            <v>2.5000000000000001E-3</v>
          </cell>
          <cell r="N79">
            <v>6.5000000000000002E-2</v>
          </cell>
          <cell r="O79">
            <v>1.4999999999999999E-2</v>
          </cell>
          <cell r="Q79">
            <v>8.2500000000000004E-2</v>
          </cell>
          <cell r="R79">
            <v>0.91749999999999998</v>
          </cell>
        </row>
        <row r="80">
          <cell r="K80" t="str">
            <v>ExportKohlsBig One SolidUSAHand41x71L</v>
          </cell>
          <cell r="M80">
            <v>2.5000000000000001E-3</v>
          </cell>
          <cell r="N80">
            <v>6.5000000000000002E-2</v>
          </cell>
          <cell r="O80">
            <v>1.4999999999999999E-2</v>
          </cell>
          <cell r="Q80">
            <v>8.2500000000000004E-2</v>
          </cell>
          <cell r="R80">
            <v>0.91749999999999998</v>
          </cell>
        </row>
        <row r="81">
          <cell r="K81" t="str">
            <v>ExportKohlsBig One SolidUSAHand41x71M</v>
          </cell>
          <cell r="M81">
            <v>2.5000000000000001E-3</v>
          </cell>
          <cell r="N81">
            <v>6.5000000000000002E-2</v>
          </cell>
          <cell r="O81">
            <v>1.4999999999999999E-2</v>
          </cell>
          <cell r="Q81">
            <v>8.2500000000000004E-2</v>
          </cell>
          <cell r="R81">
            <v>0.91749999999999998</v>
          </cell>
        </row>
        <row r="82">
          <cell r="K82" t="str">
            <v>ExportKohlsBig One SolidUSAHand41x71D</v>
          </cell>
          <cell r="M82">
            <v>2.5000000000000001E-3</v>
          </cell>
          <cell r="N82">
            <v>6.5000000000000002E-2</v>
          </cell>
          <cell r="O82">
            <v>1.4999999999999999E-2</v>
          </cell>
          <cell r="Q82">
            <v>8.2500000000000004E-2</v>
          </cell>
          <cell r="R82">
            <v>0.91749999999999998</v>
          </cell>
        </row>
        <row r="83">
          <cell r="K83" t="str">
            <v>ExportKohlsBig One SolidUSAWash30x30L</v>
          </cell>
          <cell r="M83">
            <v>2.5000000000000001E-3</v>
          </cell>
          <cell r="N83">
            <v>6.5000000000000002E-2</v>
          </cell>
          <cell r="O83">
            <v>1.4999999999999999E-2</v>
          </cell>
          <cell r="Q83">
            <v>8.2500000000000004E-2</v>
          </cell>
          <cell r="R83">
            <v>0.91749999999999998</v>
          </cell>
        </row>
        <row r="84">
          <cell r="K84" t="str">
            <v>ExportKohlsBig One SolidUSAWash30x30M</v>
          </cell>
          <cell r="M84">
            <v>2.5000000000000001E-3</v>
          </cell>
          <cell r="N84">
            <v>6.5000000000000002E-2</v>
          </cell>
          <cell r="O84">
            <v>1.4999999999999999E-2</v>
          </cell>
          <cell r="Q84">
            <v>8.2500000000000004E-2</v>
          </cell>
          <cell r="R84">
            <v>0.91749999999999998</v>
          </cell>
        </row>
        <row r="85">
          <cell r="K85" t="str">
            <v>ExportKohlsBig One SolidUSAWash30x30D</v>
          </cell>
          <cell r="M85">
            <v>2.5000000000000001E-3</v>
          </cell>
          <cell r="N85">
            <v>6.5000000000000002E-2</v>
          </cell>
          <cell r="O85">
            <v>1.4999999999999999E-2</v>
          </cell>
          <cell r="Q85">
            <v>8.2500000000000004E-2</v>
          </cell>
          <cell r="R85">
            <v>0.91749999999999998</v>
          </cell>
        </row>
        <row r="86">
          <cell r="K86" t="str">
            <v>ExportIst New Buyer00Bath76x137L</v>
          </cell>
          <cell r="M86">
            <v>2.5000000000000001E-3</v>
          </cell>
          <cell r="N86">
            <v>6.5000000000000002E-2</v>
          </cell>
          <cell r="O86">
            <v>1.4999999999999999E-2</v>
          </cell>
          <cell r="Q86">
            <v>8.2500000000000004E-2</v>
          </cell>
          <cell r="R86">
            <v>0.91749999999999998</v>
          </cell>
        </row>
        <row r="87">
          <cell r="K87" t="str">
            <v>ExportIst New Buyer00Bath76x137M</v>
          </cell>
          <cell r="M87">
            <v>2.5000000000000001E-3</v>
          </cell>
          <cell r="N87">
            <v>6.5000000000000002E-2</v>
          </cell>
          <cell r="O87">
            <v>1.4999999999999999E-2</v>
          </cell>
          <cell r="Q87">
            <v>8.2500000000000004E-2</v>
          </cell>
          <cell r="R87">
            <v>0.91749999999999998</v>
          </cell>
        </row>
        <row r="88">
          <cell r="K88" t="str">
            <v>ExportIst New Buyer00Bath76x137D</v>
          </cell>
          <cell r="M88">
            <v>2.5000000000000001E-3</v>
          </cell>
          <cell r="N88">
            <v>6.5000000000000002E-2</v>
          </cell>
          <cell r="O88">
            <v>1.4999999999999999E-2</v>
          </cell>
          <cell r="Q88">
            <v>8.2500000000000004E-2</v>
          </cell>
          <cell r="R88">
            <v>0.91749999999999998</v>
          </cell>
        </row>
        <row r="89">
          <cell r="K89" t="str">
            <v>ExportIst New Buyer00Hand41x76L</v>
          </cell>
          <cell r="M89">
            <v>2.5000000000000001E-3</v>
          </cell>
          <cell r="N89">
            <v>6.5000000000000002E-2</v>
          </cell>
          <cell r="O89">
            <v>1.4999999999999999E-2</v>
          </cell>
          <cell r="Q89">
            <v>8.2500000000000004E-2</v>
          </cell>
          <cell r="R89">
            <v>0.91749999999999998</v>
          </cell>
        </row>
        <row r="90">
          <cell r="K90" t="str">
            <v>ExportIst New Buyer00Hand41x76M</v>
          </cell>
          <cell r="M90">
            <v>2.5000000000000001E-3</v>
          </cell>
          <cell r="N90">
            <v>6.5000000000000002E-2</v>
          </cell>
          <cell r="O90">
            <v>1.4999999999999999E-2</v>
          </cell>
          <cell r="Q90">
            <v>8.2500000000000004E-2</v>
          </cell>
          <cell r="R90">
            <v>0.91749999999999998</v>
          </cell>
        </row>
        <row r="91">
          <cell r="K91" t="str">
            <v>ExportIst New Buyer00Hand41x76D</v>
          </cell>
          <cell r="M91">
            <v>2.5000000000000001E-3</v>
          </cell>
          <cell r="N91">
            <v>6.5000000000000002E-2</v>
          </cell>
          <cell r="O91">
            <v>1.4999999999999999E-2</v>
          </cell>
          <cell r="Q91">
            <v>8.2500000000000004E-2</v>
          </cell>
          <cell r="R91">
            <v>0.91749999999999998</v>
          </cell>
        </row>
        <row r="92">
          <cell r="K92" t="str">
            <v>ExportIst New Buyer00Wash33x33L</v>
          </cell>
          <cell r="M92">
            <v>2.5000000000000001E-3</v>
          </cell>
          <cell r="N92">
            <v>6.5000000000000002E-2</v>
          </cell>
          <cell r="O92">
            <v>1.4999999999999999E-2</v>
          </cell>
          <cell r="Q92">
            <v>8.2500000000000004E-2</v>
          </cell>
          <cell r="R92">
            <v>0.91749999999999998</v>
          </cell>
        </row>
        <row r="93">
          <cell r="K93" t="str">
            <v>ExportIst New Buyer00Wash33x33M</v>
          </cell>
          <cell r="M93">
            <v>2.5000000000000001E-3</v>
          </cell>
          <cell r="N93">
            <v>6.5000000000000002E-2</v>
          </cell>
          <cell r="O93">
            <v>1.4999999999999999E-2</v>
          </cell>
          <cell r="Q93">
            <v>8.2500000000000004E-2</v>
          </cell>
          <cell r="R93">
            <v>0.91749999999999998</v>
          </cell>
        </row>
        <row r="94">
          <cell r="K94" t="str">
            <v>ExportIst New Buyer00Wash33x33D</v>
          </cell>
          <cell r="M94">
            <v>2.5000000000000001E-3</v>
          </cell>
          <cell r="N94">
            <v>6.5000000000000002E-2</v>
          </cell>
          <cell r="O94">
            <v>1.4999999999999999E-2</v>
          </cell>
          <cell r="Q94">
            <v>8.2500000000000004E-2</v>
          </cell>
          <cell r="R94">
            <v>0.91749999999999998</v>
          </cell>
        </row>
        <row r="95">
          <cell r="K95" t="str">
            <v>Export2nd New Buyer00Bath76x137L</v>
          </cell>
          <cell r="M95">
            <v>2.5000000000000001E-3</v>
          </cell>
          <cell r="N95">
            <v>6.5000000000000002E-2</v>
          </cell>
          <cell r="O95">
            <v>1.4999999999999999E-2</v>
          </cell>
          <cell r="Q95">
            <v>8.2500000000000004E-2</v>
          </cell>
          <cell r="R95">
            <v>0.91749999999999998</v>
          </cell>
        </row>
        <row r="96">
          <cell r="K96" t="str">
            <v>Export2nd New Buyer00Bath76x137M</v>
          </cell>
          <cell r="M96">
            <v>2.5000000000000001E-3</v>
          </cell>
          <cell r="N96">
            <v>6.5000000000000002E-2</v>
          </cell>
          <cell r="O96">
            <v>1.4999999999999999E-2</v>
          </cell>
          <cell r="Q96">
            <v>8.2500000000000004E-2</v>
          </cell>
          <cell r="R96">
            <v>0.91749999999999998</v>
          </cell>
        </row>
        <row r="97">
          <cell r="K97" t="str">
            <v>Export2nd New Buyer00Bath76x137D</v>
          </cell>
          <cell r="M97">
            <v>2.5000000000000001E-3</v>
          </cell>
          <cell r="N97">
            <v>6.5000000000000002E-2</v>
          </cell>
          <cell r="O97">
            <v>1.4999999999999999E-2</v>
          </cell>
          <cell r="Q97">
            <v>8.2500000000000004E-2</v>
          </cell>
          <cell r="R97">
            <v>0.91749999999999998</v>
          </cell>
        </row>
        <row r="98">
          <cell r="K98" t="str">
            <v>Export2nd New Buyer00Hand41x76L</v>
          </cell>
          <cell r="M98">
            <v>2.5000000000000001E-3</v>
          </cell>
          <cell r="N98">
            <v>6.5000000000000002E-2</v>
          </cell>
          <cell r="O98">
            <v>1.4999999999999999E-2</v>
          </cell>
          <cell r="Q98">
            <v>8.2500000000000004E-2</v>
          </cell>
          <cell r="R98">
            <v>0.91749999999999998</v>
          </cell>
        </row>
        <row r="99">
          <cell r="K99" t="str">
            <v>Export2nd New Buyer00Hand41x76M</v>
          </cell>
          <cell r="M99">
            <v>2.5000000000000001E-3</v>
          </cell>
          <cell r="N99">
            <v>6.5000000000000002E-2</v>
          </cell>
          <cell r="O99">
            <v>1.4999999999999999E-2</v>
          </cell>
          <cell r="Q99">
            <v>8.2500000000000004E-2</v>
          </cell>
          <cell r="R99">
            <v>0.91749999999999998</v>
          </cell>
        </row>
        <row r="100">
          <cell r="K100" t="str">
            <v>Export2nd New Buyer00Hand41x76D</v>
          </cell>
          <cell r="M100">
            <v>2.5000000000000001E-3</v>
          </cell>
          <cell r="N100">
            <v>6.5000000000000002E-2</v>
          </cell>
          <cell r="O100">
            <v>1.4999999999999999E-2</v>
          </cell>
          <cell r="Q100">
            <v>8.2500000000000004E-2</v>
          </cell>
          <cell r="R100">
            <v>0.91749999999999998</v>
          </cell>
        </row>
        <row r="101">
          <cell r="K101" t="str">
            <v>Export2nd New Buyer00Wash33x33L</v>
          </cell>
          <cell r="M101">
            <v>2.5000000000000001E-3</v>
          </cell>
          <cell r="N101">
            <v>6.5000000000000002E-2</v>
          </cell>
          <cell r="O101">
            <v>1.4999999999999999E-2</v>
          </cell>
          <cell r="Q101">
            <v>8.2500000000000004E-2</v>
          </cell>
          <cell r="R101">
            <v>0.91749999999999998</v>
          </cell>
        </row>
        <row r="102">
          <cell r="K102" t="str">
            <v>Export2nd New Buyer00Wash33x33M</v>
          </cell>
          <cell r="M102">
            <v>2.5000000000000001E-3</v>
          </cell>
          <cell r="N102">
            <v>6.5000000000000002E-2</v>
          </cell>
          <cell r="O102">
            <v>1.4999999999999999E-2</v>
          </cell>
          <cell r="Q102">
            <v>8.2500000000000004E-2</v>
          </cell>
          <cell r="R102">
            <v>0.91749999999999998</v>
          </cell>
        </row>
        <row r="103">
          <cell r="K103" t="str">
            <v>Export2nd New Buyer00Wash33x33D</v>
          </cell>
          <cell r="M103">
            <v>2.5000000000000001E-3</v>
          </cell>
          <cell r="N103">
            <v>6.5000000000000002E-2</v>
          </cell>
          <cell r="O103">
            <v>1.4999999999999999E-2</v>
          </cell>
          <cell r="Q103">
            <v>8.2500000000000004E-2</v>
          </cell>
          <cell r="R103">
            <v>0.91749999999999998</v>
          </cell>
        </row>
        <row r="104">
          <cell r="K104" t="str">
            <v>Export3rd New Buyer00Bath0x0L</v>
          </cell>
          <cell r="M104">
            <v>2.5000000000000001E-3</v>
          </cell>
          <cell r="N104">
            <v>6.5000000000000002E-2</v>
          </cell>
          <cell r="O104">
            <v>1.4999999999999999E-2</v>
          </cell>
          <cell r="Q104">
            <v>8.2500000000000004E-2</v>
          </cell>
          <cell r="R104">
            <v>0.91749999999999998</v>
          </cell>
        </row>
        <row r="105">
          <cell r="K105" t="str">
            <v>Export3rd New Buyer00Bath0x0M</v>
          </cell>
          <cell r="M105">
            <v>2.5000000000000001E-3</v>
          </cell>
          <cell r="N105">
            <v>6.5000000000000002E-2</v>
          </cell>
          <cell r="O105">
            <v>1.4999999999999999E-2</v>
          </cell>
          <cell r="Q105">
            <v>8.2500000000000004E-2</v>
          </cell>
          <cell r="R105">
            <v>0.91749999999999998</v>
          </cell>
        </row>
        <row r="106">
          <cell r="K106" t="str">
            <v>Export3rd New Buyer00Bath0x0D</v>
          </cell>
          <cell r="M106">
            <v>2.5000000000000001E-3</v>
          </cell>
          <cell r="N106">
            <v>6.5000000000000002E-2</v>
          </cell>
          <cell r="O106">
            <v>1.4999999999999999E-2</v>
          </cell>
          <cell r="Q106">
            <v>8.2500000000000004E-2</v>
          </cell>
          <cell r="R106">
            <v>0.91749999999999998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PEC"/>
      <sheetName val="WGSRL"/>
      <sheetName val="Projected Balance Sheet"/>
      <sheetName val="Working capital requirement"/>
      <sheetName val="profitability statement"/>
    </sheetNames>
    <sheetDataSet>
      <sheetData sheetId="0" refreshError="1"/>
      <sheetData sheetId="1">
        <row r="49">
          <cell r="G49" t="str">
            <v>15.05.2004</v>
          </cell>
        </row>
        <row r="50">
          <cell r="G50" t="str">
            <v>15.05.2004</v>
          </cell>
        </row>
        <row r="51">
          <cell r="G51" t="str">
            <v>18.05.2004</v>
          </cell>
        </row>
        <row r="52">
          <cell r="G52" t="str">
            <v>18.05.2004</v>
          </cell>
        </row>
        <row r="53">
          <cell r="G53" t="str">
            <v>18.05.2004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 Rates B07"/>
      <sheetName val="Product Specification (2)"/>
      <sheetName val="CPLD_ACTUAL"/>
      <sheetName val="Fixed Cost"/>
      <sheetName val="Final Summary"/>
      <sheetName val="CPLD_Full Cost"/>
      <sheetName val="Working of Full Cost"/>
      <sheetName val="Product Specification"/>
      <sheetName val="PM_D_C"/>
      <sheetName val="Yarn Rates"/>
      <sheetName val="Yarn Cost Details"/>
      <sheetName val="Product Profitability"/>
      <sheetName val="Financials"/>
    </sheetNames>
    <sheetDataSet>
      <sheetData sheetId="0"/>
      <sheetData sheetId="1"/>
      <sheetData sheetId="2"/>
      <sheetData sheetId="3">
        <row r="3">
          <cell r="B3" t="str">
            <v>Expense Head</v>
          </cell>
          <cell r="C3" t="str">
            <v>Grey</v>
          </cell>
          <cell r="D3" t="str">
            <v>White</v>
          </cell>
          <cell r="E3" t="str">
            <v>Processed</v>
          </cell>
          <cell r="F3" t="str">
            <v>LenHam</v>
          </cell>
          <cell r="G3" t="str">
            <v>Finish</v>
          </cell>
          <cell r="H3" t="str">
            <v>Dyed</v>
          </cell>
        </row>
        <row r="4">
          <cell r="B4" t="str">
            <v xml:space="preserve">Power                    </v>
          </cell>
          <cell r="C4">
            <v>1275.2219955126859</v>
          </cell>
          <cell r="D4">
            <v>1901.6332524410045</v>
          </cell>
          <cell r="E4">
            <v>2319.2407570598834</v>
          </cell>
          <cell r="F4">
            <v>2518.0328219507305</v>
          </cell>
          <cell r="G4">
            <v>3313.2010815141198</v>
          </cell>
          <cell r="H4">
            <v>2895.5935768952413</v>
          </cell>
        </row>
        <row r="5">
          <cell r="B5" t="str">
            <v>Salary</v>
          </cell>
          <cell r="C5">
            <v>722.53525086987293</v>
          </cell>
          <cell r="D5">
            <v>1150.8286407044482</v>
          </cell>
          <cell r="E5">
            <v>1436.3575672608317</v>
          </cell>
          <cell r="F5">
            <v>1559.4739301689031</v>
          </cell>
          <cell r="G5">
            <v>2051.9393818011881</v>
          </cell>
          <cell r="H5">
            <v>1766.4104552448048</v>
          </cell>
        </row>
        <row r="6">
          <cell r="B6" t="str">
            <v>Wages</v>
          </cell>
          <cell r="C6">
            <v>888.65949213837314</v>
          </cell>
          <cell r="D6">
            <v>1200.7071375322969</v>
          </cell>
          <cell r="E6">
            <v>1408.7389011282462</v>
          </cell>
          <cell r="F6">
            <v>1529.4879497963816</v>
          </cell>
          <cell r="G6">
            <v>2012.4841444689232</v>
          </cell>
          <cell r="H6">
            <v>1804.4523808729741</v>
          </cell>
        </row>
        <row r="7">
          <cell r="B7" t="str">
            <v>Labour Charges</v>
          </cell>
          <cell r="C7">
            <v>45.513604796725851</v>
          </cell>
          <cell r="D7">
            <v>115.61381363909894</v>
          </cell>
          <cell r="E7">
            <v>162.34728620068097</v>
          </cell>
          <cell r="F7">
            <v>176.26276787502505</v>
          </cell>
          <cell r="G7">
            <v>231.92469457240136</v>
          </cell>
          <cell r="H7">
            <v>185.19122201081933</v>
          </cell>
        </row>
        <row r="8">
          <cell r="B8" t="str">
            <v>Stores &amp; Spares</v>
          </cell>
          <cell r="C8">
            <v>158.50793143078678</v>
          </cell>
          <cell r="D8">
            <v>329.77609466324202</v>
          </cell>
          <cell r="E8">
            <v>443.95487015154549</v>
          </cell>
          <cell r="F8">
            <v>482.0081447359637</v>
          </cell>
          <cell r="G8">
            <v>634.2212430736364</v>
          </cell>
          <cell r="H8">
            <v>520.04246758533293</v>
          </cell>
        </row>
        <row r="9">
          <cell r="B9" t="str">
            <v>Contractor Wages</v>
          </cell>
          <cell r="C9">
            <v>242.5954565085444</v>
          </cell>
          <cell r="D9">
            <v>368.51424909650808</v>
          </cell>
          <cell r="E9">
            <v>452.46011082181724</v>
          </cell>
          <cell r="F9">
            <v>491.24240603511583</v>
          </cell>
          <cell r="G9">
            <v>646.37158688831028</v>
          </cell>
          <cell r="H9">
            <v>562.42572516300106</v>
          </cell>
        </row>
        <row r="10">
          <cell r="B10" t="str">
            <v>Repair &amp; Maintenance</v>
          </cell>
          <cell r="C10">
            <v>69.337305853845933</v>
          </cell>
          <cell r="D10">
            <v>99.543454286260967</v>
          </cell>
          <cell r="E10">
            <v>119.68088657453765</v>
          </cell>
          <cell r="F10">
            <v>129.93924828092659</v>
          </cell>
          <cell r="G10">
            <v>170.9726951064824</v>
          </cell>
          <cell r="H10">
            <v>150.83526281820573</v>
          </cell>
        </row>
        <row r="11">
          <cell r="B11" t="str">
            <v xml:space="preserve">Overhead </v>
          </cell>
          <cell r="C11">
            <v>276.00881518272587</v>
          </cell>
          <cell r="D11">
            <v>518.79527452091736</v>
          </cell>
          <cell r="E11">
            <v>680.65291407971165</v>
          </cell>
          <cell r="F11">
            <v>738.99459242940122</v>
          </cell>
          <cell r="G11">
            <v>972.3613058281594</v>
          </cell>
          <cell r="H11">
            <v>810.503666269365</v>
          </cell>
        </row>
        <row r="12">
          <cell r="B12" t="str">
            <v>Export Division (TT) Expenses</v>
          </cell>
          <cell r="C12">
            <v>518.98014456633746</v>
          </cell>
          <cell r="D12">
            <v>833.28155516783045</v>
          </cell>
          <cell r="E12">
            <v>1042.8158289021592</v>
          </cell>
          <cell r="F12">
            <v>1132.2000428080585</v>
          </cell>
          <cell r="G12">
            <v>1489.7368984316558</v>
          </cell>
          <cell r="H12">
            <v>1280.2026246973271</v>
          </cell>
        </row>
        <row r="13">
          <cell r="B13" t="str">
            <v>Corporate Expenses</v>
          </cell>
          <cell r="C13">
            <v>551.10669167928734</v>
          </cell>
          <cell r="D13">
            <v>912.82948615998066</v>
          </cell>
          <cell r="E13">
            <v>1153.9780158137762</v>
          </cell>
          <cell r="F13">
            <v>1252.8904171692429</v>
          </cell>
          <cell r="G13">
            <v>1648.5400225911094</v>
          </cell>
          <cell r="H13">
            <v>1407.3914929373138</v>
          </cell>
        </row>
        <row r="14">
          <cell r="B14" t="str">
            <v>Insurance</v>
          </cell>
          <cell r="C14">
            <v>266.63785185075426</v>
          </cell>
          <cell r="D14">
            <v>355.47548922818464</v>
          </cell>
          <cell r="E14">
            <v>414.70058081313829</v>
          </cell>
          <cell r="F14">
            <v>450.2463448828359</v>
          </cell>
          <cell r="G14">
            <v>592.42940116162629</v>
          </cell>
          <cell r="H14">
            <v>533.20430957667259</v>
          </cell>
        </row>
        <row r="15">
          <cell r="B15" t="str">
            <v xml:space="preserve">Interest </v>
          </cell>
          <cell r="C15">
            <v>974.30870466961699</v>
          </cell>
          <cell r="D15">
            <v>1623.4148497829278</v>
          </cell>
          <cell r="E15">
            <v>2056.1522798584683</v>
          </cell>
          <cell r="F15">
            <v>2232.3939038463373</v>
          </cell>
          <cell r="G15">
            <v>2937.3603997978121</v>
          </cell>
          <cell r="H15">
            <v>2504.6229697222716</v>
          </cell>
        </row>
        <row r="16">
          <cell r="B16" t="str">
            <v xml:space="preserve">Depreciation </v>
          </cell>
          <cell r="C16">
            <v>2000.3256256033885</v>
          </cell>
          <cell r="D16">
            <v>2965.0411254666706</v>
          </cell>
          <cell r="E16">
            <v>3608.1847920421924</v>
          </cell>
          <cell r="F16">
            <v>3917.4577742172373</v>
          </cell>
          <cell r="G16">
            <v>5154.5497029174176</v>
          </cell>
          <cell r="H16">
            <v>4511.4060363418957</v>
          </cell>
        </row>
        <row r="17">
          <cell r="B17" t="str">
            <v>Total</v>
          </cell>
          <cell r="C17">
            <v>7989.7388706629454</v>
          </cell>
          <cell r="D17">
            <v>12375.45442268937</v>
          </cell>
          <cell r="E17">
            <v>15299.264790706988</v>
          </cell>
          <cell r="F17">
            <v>16610.630344196161</v>
          </cell>
          <cell r="G17">
            <v>21856.092558152843</v>
          </cell>
          <cell r="H17">
            <v>18932.282190135225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Rel Party"/>
      <sheetName val="Inv Det"/>
      <sheetName val="cash flow"/>
      <sheetName val="JV Detail"/>
      <sheetName val="Working"/>
      <sheetName val="Related party"/>
      <sheetName val="grouping"/>
      <sheetName val="Mar03"/>
      <sheetName val="Mar02"/>
      <sheetName val="BS Abs"/>
      <sheetName val="Ratio"/>
      <sheetName val="Ratio B"/>
      <sheetName val="GRAPH"/>
      <sheetName val="ED"/>
      <sheetName val="TDS"/>
      <sheetName val="Deb age"/>
      <sheetName val="D.R."/>
      <sheetName val="212st"/>
      <sheetName val="Summary for Segment"/>
      <sheetName val="Controls"/>
      <sheetName val="Details"/>
      <sheetName val="Existing"/>
      <sheetName val="Sheet1"/>
      <sheetName val="TBAL9697 -group wise  sdpl"/>
      <sheetName val="EXIS-COMBINED"/>
      <sheetName val="CAPI_01-02"/>
      <sheetName val="Ins &amp; Bonds"/>
      <sheetName val="Site facilities"/>
      <sheetName val="Clients Requirements"/>
      <sheetName val="BOQ"/>
      <sheetName val="HEAD"/>
      <sheetName val="재1"/>
      <sheetName val="Load Details(B2)"/>
      <sheetName val="SILICATE"/>
      <sheetName val="Site Dev BOQ"/>
      <sheetName val="Headings"/>
      <sheetName val="월선수금"/>
      <sheetName val="VCH-SLC"/>
      <sheetName val="Basement Budget"/>
      <sheetName val="FORM7"/>
      <sheetName val="X rate"/>
      <sheetName val="GF Columns"/>
      <sheetName val="Supplier"/>
      <sheetName val="Labour"/>
      <sheetName val="gen ledger data"/>
      <sheetName val="K-PIS"/>
      <sheetName val="Data"/>
      <sheetName val="Shivaji"/>
      <sheetName val="CMA"/>
      <sheetName val="Bal Sheet"/>
      <sheetName val="defaults"/>
      <sheetName val="header"/>
      <sheetName val="Report"/>
      <sheetName val="beam-reinft"/>
      <sheetName val="電気設備表"/>
      <sheetName val="Sheet6"/>
      <sheetName val="Original policy"/>
      <sheetName val="Ten_Year"/>
      <sheetName val="S_&amp;_A"/>
      <sheetName val="Balance_Sheet"/>
      <sheetName val="P_&amp;_L"/>
      <sheetName val="S_1_to_4"/>
      <sheetName val="S_5_to_6"/>
      <sheetName val="S_7_to_9"/>
      <sheetName val="S_10_to_12"/>
      <sheetName val="S_13_to_16"/>
      <sheetName val="S_17_to_18"/>
      <sheetName val="S_19_to_21"/>
      <sheetName val="S_22_to_24"/>
      <sheetName val="add_info"/>
      <sheetName val="Rel_Party"/>
      <sheetName val="Inv_Det"/>
      <sheetName val="cash_flow"/>
      <sheetName val="JV_Detail"/>
      <sheetName val="Related_party"/>
      <sheetName val="BS_Abs"/>
      <sheetName val="Ratio_B"/>
      <sheetName val="Deb_age"/>
      <sheetName val="D_R_"/>
      <sheetName val="Summary_for_Segment"/>
      <sheetName val="Master"/>
      <sheetName val="data 3A|6A"/>
      <sheetName val="EAW Final Accounts - 99"/>
      <sheetName val="BS"/>
      <sheetName val="Sch 14 to 20"/>
      <sheetName val="PI"/>
      <sheetName val="Sheet2"/>
      <sheetName val="BUDGET"/>
      <sheetName val="Schedules 1-15 (BIW)"/>
      <sheetName val="Schedules 16-22 (BIW)"/>
      <sheetName val="Trial Balance for Schedules"/>
      <sheetName val="RO Graf"/>
      <sheetName val="MCIPL, Gurgaon"/>
      <sheetName val="Other notes"/>
      <sheetName val="YTD"/>
      <sheetName val="Gr Data"/>
      <sheetName val="PL"/>
      <sheetName val="BalSht"/>
      <sheetName val="Tables"/>
      <sheetName val="KDS"/>
      <sheetName val="income-tax"/>
      <sheetName val="P&amp;L"/>
      <sheetName val="H"/>
      <sheetName val="Param"/>
      <sheetName val="BUDGET-IMPORT"/>
      <sheetName val="Ten_Year1"/>
      <sheetName val="S_&amp;_A1"/>
      <sheetName val="Balance_Sheet1"/>
      <sheetName val="P_&amp;_L1"/>
      <sheetName val="S_1_to_41"/>
      <sheetName val="S_5_to_61"/>
      <sheetName val="S_7_to_91"/>
      <sheetName val="S_10_to_121"/>
      <sheetName val="S_13_to_161"/>
      <sheetName val="S_17_to_181"/>
      <sheetName val="S_19_to_211"/>
      <sheetName val="S_22_to_241"/>
      <sheetName val="add_info1"/>
      <sheetName val="Rel_Party1"/>
      <sheetName val="Inv_Det1"/>
      <sheetName val="cash_flow1"/>
      <sheetName val="JV_Detail1"/>
      <sheetName val="Related_party1"/>
      <sheetName val="BS_Abs1"/>
      <sheetName val="Ratio_B1"/>
      <sheetName val="Deb_age1"/>
      <sheetName val="D_R_1"/>
      <sheetName val="Summary_for_Segment1"/>
      <sheetName val="Ten_Year2"/>
      <sheetName val="S_&amp;_A2"/>
      <sheetName val="Balance_Sheet2"/>
      <sheetName val="P_&amp;_L2"/>
      <sheetName val="S_1_to_42"/>
      <sheetName val="S_5_to_62"/>
      <sheetName val="S_7_to_92"/>
      <sheetName val="S_10_to_122"/>
      <sheetName val="S_13_to_162"/>
      <sheetName val="S_17_to_182"/>
      <sheetName val="S_19_to_212"/>
      <sheetName val="S_22_to_242"/>
      <sheetName val="add_info2"/>
      <sheetName val="Rel_Party2"/>
      <sheetName val="Inv_Det2"/>
      <sheetName val="cash_flow2"/>
      <sheetName val="JV_Detail2"/>
      <sheetName val="Related_party2"/>
      <sheetName val="BS_Abs2"/>
      <sheetName val="Ratio_B2"/>
      <sheetName val="Deb_age2"/>
      <sheetName val="D_R_2"/>
      <sheetName val="Summary_for_Segment2"/>
      <sheetName val="Ten_Year3"/>
      <sheetName val="S_&amp;_A3"/>
      <sheetName val="Balance_Sheet3"/>
      <sheetName val="P_&amp;_L3"/>
      <sheetName val="S_1_to_43"/>
      <sheetName val="S_5_to_63"/>
      <sheetName val="S_7_to_93"/>
      <sheetName val="S_10_to_123"/>
      <sheetName val="S_13_to_163"/>
      <sheetName val="S_17_to_183"/>
      <sheetName val="S_19_to_213"/>
      <sheetName val="S_22_to_243"/>
      <sheetName val="add_info3"/>
      <sheetName val="Rel_Party3"/>
      <sheetName val="Inv_Det3"/>
      <sheetName val="cash_flow3"/>
      <sheetName val="JV_Detail3"/>
      <sheetName val="Related_party3"/>
      <sheetName val="BS_Abs3"/>
      <sheetName val="Ratio_B3"/>
      <sheetName val="Deb_age3"/>
      <sheetName val="D_R_3"/>
      <sheetName val="Summary_for_Segment3"/>
      <sheetName val="NEW-PANEL"/>
      <sheetName val="Nº DIASOP2001"/>
      <sheetName val="intfirm"/>
      <sheetName val="KEY INDICATORS"/>
      <sheetName val="TB"/>
      <sheetName val="Eq. Mobilization"/>
      <sheetName val="Target Grid"/>
      <sheetName val="FORM-16"/>
      <sheetName val="Rate Analysis"/>
      <sheetName val="Intro."/>
      <sheetName val="1"/>
      <sheetName val="PRELIM5"/>
      <sheetName val="SPT vs PHI"/>
      <sheetName val="FMT 14 -VOLUME BY BRANDS"/>
      <sheetName val="FMT 13-VOLUME BY MARKET"/>
      <sheetName val="cap01"/>
      <sheetName val="GPIN-KEY"/>
      <sheetName val="92期"/>
      <sheetName val="ocean voyage"/>
      <sheetName val="COAT&amp;WRAP-QIOT-#3"/>
      <sheetName val="PNT-QUOT-#3"/>
      <sheetName val="DGP-2002"/>
      <sheetName val="XLR_NoRangeSheet"/>
      <sheetName val="SAR.05"/>
      <sheetName val="Attribute Worksheet"/>
      <sheetName val="Input"/>
      <sheetName val="segment_topsheet"/>
      <sheetName val="Summary KPI"/>
      <sheetName val="S80-MP"/>
      <sheetName val="Annexure 5"/>
      <sheetName val="標準単価ﾏｽﾀ"/>
      <sheetName val="Project Cost"/>
      <sheetName val="Op_Costs"/>
      <sheetName val="Contents"/>
      <sheetName val="Product Cost"/>
      <sheetName val="Amortization Table"/>
      <sheetName val="SUM14ZC1"/>
      <sheetName val="ASSUM"/>
      <sheetName val="Form"/>
      <sheetName val="Challan"/>
      <sheetName val="共振周波数"/>
      <sheetName val="Sheet3"/>
      <sheetName val="DATA 91-98"/>
      <sheetName val="list"/>
      <sheetName val="NOVEMBER SWAMY ORG-I"/>
      <sheetName val="annBF"/>
      <sheetName val="1072"/>
      <sheetName val="TBAL9697_-group_wise__sdpl"/>
      <sheetName val="Ins_&amp;_Bonds"/>
      <sheetName val="Site_facilities"/>
      <sheetName val="Clients_Requirements"/>
      <sheetName val="Load_Details(B2)"/>
      <sheetName val="Site_Dev_BOQ"/>
      <sheetName val="Basement_Budget"/>
      <sheetName val="X_rate"/>
      <sheetName val="GF_Columns"/>
      <sheetName val="gen_ledger_data"/>
      <sheetName val="Bal_Sheet"/>
      <sheetName val="data_3A|6A"/>
      <sheetName val="EAW_Final_Accounts_-_99"/>
      <sheetName val="Sch_14_to_20"/>
      <sheetName val="Schedules_1-15_(BIW)"/>
      <sheetName val="Schedules_16-22_(BIW)"/>
      <sheetName val="Trial_Balance_for_Schedules"/>
      <sheetName val="RO_Graf"/>
      <sheetName val="MCIPL,_Gurgaon"/>
      <sheetName val="RA"/>
      <sheetName val="EXPENSES"/>
      <sheetName val="Other_notes"/>
      <sheetName val="FMT_14_-VOLUME_BY_BRANDS"/>
      <sheetName val="FMT_13-VOLUME_BY_MARKET"/>
      <sheetName val="Original_policy"/>
      <sheetName val="Scenario"/>
      <sheetName val="Main"/>
      <sheetName val="TB trend"/>
      <sheetName val="cashbook"/>
      <sheetName val="PointNo.5"/>
      <sheetName val="Financials"/>
      <sheetName val="Feb'03"/>
      <sheetName val="T"/>
      <sheetName val="EVA"/>
      <sheetName val="Cons"/>
      <sheetName val="118.세금과공과"/>
      <sheetName val="Excess Calc"/>
      <sheetName val="Mfg OH "/>
      <sheetName val="BdData"/>
      <sheetName val="Set"/>
      <sheetName val="Basic Rate"/>
      <sheetName val="Gr_Data"/>
      <sheetName val="workings"/>
      <sheetName val="ACK-NEW"/>
    </sheetNames>
    <sheetDataSet>
      <sheetData sheetId="0"/>
      <sheetData sheetId="1"/>
      <sheetData sheetId="2" refreshError="1">
        <row r="4">
          <cell r="A4" t="str">
            <v>SOURCES OF FUNDS</v>
          </cell>
        </row>
        <row r="5">
          <cell r="A5" t="str">
            <v>Own Funds</v>
          </cell>
        </row>
        <row r="6">
          <cell r="A6" t="str">
            <v>Retained Profit/ (Loss)</v>
          </cell>
        </row>
        <row r="7">
          <cell r="A7" t="str">
            <v>Depreciation</v>
          </cell>
        </row>
        <row r="8">
          <cell r="A8" t="str">
            <v>D.R.E. charged off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A4" t="str">
            <v>SOURCES OF FUNDS</v>
          </cell>
        </row>
      </sheetData>
      <sheetData sheetId="75"/>
      <sheetData sheetId="76"/>
      <sheetData sheetId="77"/>
      <sheetData sheetId="78">
        <row r="4">
          <cell r="A4" t="str">
            <v>SOURCES OF FUNDS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>
        <row r="4">
          <cell r="A4" t="str">
            <v>SOURCES OF FUNDS</v>
          </cell>
        </row>
      </sheetData>
      <sheetData sheetId="121">
        <row r="4">
          <cell r="A4" t="str">
            <v>SOURCES OF FUNDS</v>
          </cell>
        </row>
      </sheetData>
      <sheetData sheetId="122"/>
      <sheetData sheetId="123"/>
      <sheetData sheetId="124">
        <row r="4">
          <cell r="A4" t="str">
            <v>SOURCES OF FUNDS</v>
          </cell>
        </row>
      </sheetData>
      <sheetData sheetId="125">
        <row r="4">
          <cell r="A4" t="str">
            <v>SOURCES OF FUNDS</v>
          </cell>
        </row>
      </sheetData>
      <sheetData sheetId="126">
        <row r="4">
          <cell r="A4" t="str">
            <v>SOURCES OF FUNDS</v>
          </cell>
        </row>
      </sheetData>
      <sheetData sheetId="127"/>
      <sheetData sheetId="128">
        <row r="4">
          <cell r="A4" t="str">
            <v>SOURCES OF FUNDS</v>
          </cell>
        </row>
      </sheetData>
      <sheetData sheetId="129"/>
      <sheetData sheetId="130"/>
      <sheetData sheetId="131"/>
      <sheetData sheetId="132">
        <row r="4">
          <cell r="A4" t="str">
            <v>SOURCES OF FUNDS</v>
          </cell>
        </row>
      </sheetData>
      <sheetData sheetId="133">
        <row r="4">
          <cell r="A4" t="str">
            <v>SOURCES OF FUNDS</v>
          </cell>
        </row>
      </sheetData>
      <sheetData sheetId="134"/>
      <sheetData sheetId="135"/>
      <sheetData sheetId="136"/>
      <sheetData sheetId="137">
        <row r="4">
          <cell r="A4" t="str">
            <v>SOURCES OF FUNDS</v>
          </cell>
        </row>
      </sheetData>
      <sheetData sheetId="138">
        <row r="4">
          <cell r="A4" t="str">
            <v>SOURCES OF FUNDS</v>
          </cell>
        </row>
      </sheetData>
      <sheetData sheetId="139"/>
      <sheetData sheetId="140">
        <row r="4">
          <cell r="A4" t="str">
            <v>SOURCES OF FUNDS</v>
          </cell>
        </row>
      </sheetData>
      <sheetData sheetId="141"/>
      <sheetData sheetId="142"/>
      <sheetData sheetId="143">
        <row r="4">
          <cell r="A4" t="str">
            <v>SOURCES OF FUNDS</v>
          </cell>
        </row>
      </sheetData>
      <sheetData sheetId="144">
        <row r="4">
          <cell r="A4" t="str">
            <v>SOURCES OF FUNDS</v>
          </cell>
        </row>
      </sheetData>
      <sheetData sheetId="145"/>
      <sheetData sheetId="146">
        <row r="4">
          <cell r="A4" t="str">
            <v>SOURCES OF FUNDS</v>
          </cell>
        </row>
      </sheetData>
      <sheetData sheetId="147">
        <row r="4">
          <cell r="A4" t="str">
            <v>SOURCES OF FUNDS</v>
          </cell>
        </row>
      </sheetData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>
        <row r="4">
          <cell r="A4" t="str">
            <v>SOURCES OF FUNDS</v>
          </cell>
        </row>
      </sheetData>
      <sheetData sheetId="167"/>
      <sheetData sheetId="168"/>
      <sheetData sheetId="169"/>
      <sheetData sheetId="170"/>
      <sheetData sheetId="171"/>
      <sheetData sheetId="172">
        <row r="4">
          <cell r="A4" t="str">
            <v>SOURCES OF FUNDS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>
        <row r="4">
          <cell r="A4" t="str">
            <v>SOURCES OF FUNDS</v>
          </cell>
        </row>
      </sheetData>
      <sheetData sheetId="238">
        <row r="4">
          <cell r="A4" t="str">
            <v>SOURCES OF FUNDS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,P&amp;L"/>
      <sheetName val="BSSC"/>
      <sheetName val="P&amp;LSC"/>
      <sheetName val="P&amp;LSC2"/>
      <sheetName val="WTT grouping"/>
      <sheetName val="MIS-ANJAR TT"/>
      <sheetName val="MIS-ANJAR SHEETING"/>
      <sheetName val="MIS-ANJAR SPG"/>
      <sheetName val="Mis TT Spg &amp; Sht"/>
      <sheetName val="Anjar Balance Sheet"/>
      <sheetName val="Anjar Profit &amp; Loss"/>
      <sheetName val="Sap TB "/>
      <sheetName val="MIS-TT"/>
      <sheetName val="MIS-SHT"/>
      <sheetName val="MIS-SPG"/>
      <sheetName val="Manpower"/>
      <sheetName val="For Costing"/>
      <sheetName val="Abnormal Transaction"/>
      <sheetName val="ABNORMAL ITEMS"/>
      <sheetName val="WTT_grouping"/>
      <sheetName val="MIS-ANJAR_TT"/>
      <sheetName val="MIS-ANJAR_SHEETING"/>
      <sheetName val="MIS-ANJAR_SPG"/>
      <sheetName val="Mis_TT_Spg_&amp;_Sht"/>
      <sheetName val="Anjar_Balance_Sheet"/>
      <sheetName val="Anjar_Profit_&amp;_Loss"/>
      <sheetName val="Sap_TB_"/>
      <sheetName val="For_Costing"/>
      <sheetName val="Abnormal_Transaction"/>
      <sheetName val="ABNORMAL_ITEMS"/>
      <sheetName val="graph "/>
      <sheetName val="WTT_grouping1"/>
      <sheetName val="MIS-ANJAR_TT1"/>
      <sheetName val="MIS-ANJAR_SHEETING1"/>
      <sheetName val="MIS-ANJAR_SPG1"/>
      <sheetName val="Mis_TT_Spg_&amp;_Sht1"/>
      <sheetName val="Anjar_Balance_Sheet1"/>
      <sheetName val="Anjar_Profit_&amp;_Loss1"/>
      <sheetName val="Sap_TB_1"/>
      <sheetName val="For_Costing1"/>
      <sheetName val="Abnormal_Transaction1"/>
      <sheetName val="ABNORMAL_ITEMS1"/>
      <sheetName val="Fixed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Sheet2"/>
      <sheetName val="Sheet1"/>
      <sheetName val="Sheet3"/>
      <sheetName val="Sheet4"/>
      <sheetName val="B"/>
      <sheetName val="expenses"/>
      <sheetName val="J"/>
      <sheetName val="Ann-1"/>
      <sheetName val="Cont"/>
      <sheetName val="Assumption"/>
    </sheetNames>
    <sheetDataSet>
      <sheetData sheetId="0">
        <row r="38">
          <cell r="D38" t="str">
            <v>80/100 TEX SIM _B1</v>
          </cell>
          <cell r="E38" t="str">
            <v>80</v>
          </cell>
          <cell r="F38" t="str">
            <v>100</v>
          </cell>
          <cell r="G38" t="str">
            <v>TEX</v>
          </cell>
          <cell r="H38" t="str">
            <v>SIM</v>
          </cell>
          <cell r="I38" t="str">
            <v xml:space="preserve"> </v>
          </cell>
          <cell r="J38" t="str">
            <v xml:space="preserve"> </v>
          </cell>
          <cell r="K38" t="str">
            <v>B1</v>
          </cell>
          <cell r="L38">
            <v>0.5</v>
          </cell>
          <cell r="M38">
            <v>0</v>
          </cell>
          <cell r="N38">
            <v>0.49999999999999994</v>
          </cell>
          <cell r="O38">
            <v>600</v>
          </cell>
          <cell r="P38">
            <v>124</v>
          </cell>
          <cell r="Q38">
            <v>1.653</v>
          </cell>
          <cell r="R38">
            <v>0.97389999999999999</v>
          </cell>
          <cell r="S38">
            <v>0.97</v>
          </cell>
          <cell r="T38">
            <v>2.4799999999999999E-2</v>
          </cell>
          <cell r="U38">
            <v>1.5059100533375303</v>
          </cell>
          <cell r="V38">
            <v>6.4999999999999997E-3</v>
          </cell>
          <cell r="W38">
            <v>1.4961216379908364</v>
          </cell>
          <cell r="X38">
            <v>23.189885388857963</v>
          </cell>
          <cell r="Z38">
            <v>23.189885388857963</v>
          </cell>
          <cell r="AA38">
            <v>85.19</v>
          </cell>
          <cell r="AB38">
            <v>0.116865</v>
          </cell>
          <cell r="AC38">
            <v>85.073134999999994</v>
          </cell>
          <cell r="AD38">
            <v>1</v>
          </cell>
          <cell r="AE38">
            <v>0</v>
          </cell>
          <cell r="AF38">
            <v>0.425365675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 t="str">
            <v>140/100</v>
          </cell>
          <cell r="AT38">
            <v>1</v>
          </cell>
          <cell r="AU38">
            <v>0</v>
          </cell>
          <cell r="AV38">
            <v>64</v>
          </cell>
          <cell r="AW38">
            <v>1</v>
          </cell>
          <cell r="AX38">
            <v>64</v>
          </cell>
          <cell r="AY38">
            <v>0.98218435443183194</v>
          </cell>
          <cell r="AZ38">
            <v>57.781905571224669</v>
          </cell>
          <cell r="BA38">
            <v>57.781905571224669</v>
          </cell>
          <cell r="BB38">
            <v>2.81</v>
          </cell>
          <cell r="BC38">
            <v>0.89815</v>
          </cell>
          <cell r="BD38">
            <v>1.6362497618326133</v>
          </cell>
          <cell r="BE38">
            <v>0</v>
          </cell>
          <cell r="BF38">
            <v>1.6362497618326133</v>
          </cell>
          <cell r="BG38">
            <v>0</v>
          </cell>
          <cell r="BH38">
            <v>20.521463991942717</v>
          </cell>
          <cell r="BI38">
            <v>2.6843599679845442</v>
          </cell>
          <cell r="BJ38" t="b">
            <v>0</v>
          </cell>
          <cell r="BK38">
            <v>2.6843599679845442</v>
          </cell>
          <cell r="BL38">
            <v>1.5564436561356163</v>
          </cell>
          <cell r="BM38" t="b">
            <v>0</v>
          </cell>
          <cell r="BN38">
            <v>1.5564436561356163</v>
          </cell>
          <cell r="BO38">
            <v>3.32310827361942</v>
          </cell>
          <cell r="BP38">
            <v>0</v>
          </cell>
          <cell r="BQ38">
            <v>3.3307249751175427</v>
          </cell>
          <cell r="BR38">
            <v>1.7599267661585414</v>
          </cell>
          <cell r="BS38">
            <v>0</v>
          </cell>
          <cell r="BT38">
            <v>1.7914481923584642</v>
          </cell>
          <cell r="BU38">
            <v>2.7800374568032695</v>
          </cell>
          <cell r="BV38">
            <v>0</v>
          </cell>
          <cell r="BW38">
            <v>2.7945091896497027</v>
          </cell>
          <cell r="BX38">
            <v>0.15</v>
          </cell>
          <cell r="BY38">
            <v>0.8</v>
          </cell>
          <cell r="CA38">
            <v>2.8757149456219957</v>
          </cell>
          <cell r="CB38">
            <v>0</v>
          </cell>
          <cell r="CC38">
            <v>4.0544287974622497</v>
          </cell>
          <cell r="CD38">
            <v>0</v>
          </cell>
          <cell r="CE38">
            <v>4.7418729256193295</v>
          </cell>
          <cell r="CF38">
            <v>3.346016968125312</v>
          </cell>
          <cell r="CG38">
            <v>0</v>
          </cell>
          <cell r="CH38">
            <v>3.4779030840658827</v>
          </cell>
          <cell r="CI38">
            <v>0</v>
          </cell>
          <cell r="CJ38">
            <v>1.3958559574940175</v>
          </cell>
          <cell r="CK38">
            <v>3.5154006914412568</v>
          </cell>
          <cell r="CL38">
            <v>0</v>
          </cell>
          <cell r="CM38">
            <v>3.5154006914412568</v>
          </cell>
          <cell r="CN38">
            <v>0</v>
          </cell>
          <cell r="CO38">
            <v>-2.1195447339472393</v>
          </cell>
        </row>
        <row r="39">
          <cell r="D39" t="str">
            <v>150/100 TEX SIM Z _B1</v>
          </cell>
          <cell r="E39" t="str">
            <v>150</v>
          </cell>
          <cell r="F39" t="str">
            <v>100</v>
          </cell>
          <cell r="G39" t="str">
            <v>TEX</v>
          </cell>
          <cell r="H39" t="str">
            <v>SIM</v>
          </cell>
          <cell r="I39" t="str">
            <v>Z</v>
          </cell>
          <cell r="J39" t="str">
            <v xml:space="preserve"> </v>
          </cell>
          <cell r="K39" t="str">
            <v>B1</v>
          </cell>
          <cell r="L39">
            <v>1</v>
          </cell>
          <cell r="M39">
            <v>0.37363236306346437</v>
          </cell>
          <cell r="N39">
            <v>0.62636763693653563</v>
          </cell>
          <cell r="O39">
            <v>575</v>
          </cell>
          <cell r="P39">
            <v>252</v>
          </cell>
          <cell r="Q39">
            <v>1.64</v>
          </cell>
          <cell r="R39">
            <v>0.97389999999999999</v>
          </cell>
          <cell r="S39">
            <v>0.97</v>
          </cell>
          <cell r="T39">
            <v>2.4799999999999999E-2</v>
          </cell>
          <cell r="U39">
            <v>2.9561297223510787</v>
          </cell>
          <cell r="V39">
            <v>7.0000000000000001E-3</v>
          </cell>
          <cell r="W39">
            <v>2.9354368142946212</v>
          </cell>
          <cell r="X39">
            <v>90.998541243133261</v>
          </cell>
          <cell r="Y39">
            <v>34</v>
          </cell>
          <cell r="Z39">
            <v>56.998541243133261</v>
          </cell>
          <cell r="AA39">
            <v>71.526022304832708</v>
          </cell>
          <cell r="AB39">
            <v>0.116865</v>
          </cell>
          <cell r="AC39">
            <v>71.409157304832704</v>
          </cell>
          <cell r="AD39">
            <v>1</v>
          </cell>
          <cell r="AE39">
            <v>0</v>
          </cell>
          <cell r="AF39">
            <v>0.35704578652416352</v>
          </cell>
          <cell r="AG39">
            <v>1.55</v>
          </cell>
          <cell r="AH39">
            <v>90</v>
          </cell>
          <cell r="AI39">
            <v>43.86</v>
          </cell>
          <cell r="AJ39">
            <v>67.983000000000004</v>
          </cell>
          <cell r="AK39">
            <v>23.11422</v>
          </cell>
          <cell r="AN39">
            <v>0</v>
          </cell>
          <cell r="AO39">
            <v>4.7699999999999996</v>
          </cell>
          <cell r="AP39">
            <v>1.4705882352941178</v>
          </cell>
          <cell r="AQ39">
            <v>1.6762931506849317</v>
          </cell>
          <cell r="AR39">
            <v>0.1291677</v>
          </cell>
          <cell r="AS39" t="str">
            <v>265/100</v>
          </cell>
          <cell r="AT39">
            <v>1</v>
          </cell>
          <cell r="AU39">
            <v>9.4819500000000012</v>
          </cell>
          <cell r="AV39">
            <v>57</v>
          </cell>
          <cell r="AW39">
            <v>1</v>
          </cell>
          <cell r="AX39">
            <v>57</v>
          </cell>
          <cell r="AY39">
            <v>0.98267890848743711</v>
          </cell>
          <cell r="AZ39">
            <v>50.932247826903861</v>
          </cell>
          <cell r="BA39">
            <v>50.932247826903861</v>
          </cell>
          <cell r="BB39">
            <v>2.81</v>
          </cell>
          <cell r="BC39">
            <v>0.89815</v>
          </cell>
          <cell r="BD39">
            <v>0.83395720252400696</v>
          </cell>
          <cell r="BE39">
            <v>0</v>
          </cell>
          <cell r="BF39">
            <v>0.83395720252400696</v>
          </cell>
          <cell r="BG39">
            <v>13.944545884593085</v>
          </cell>
          <cell r="BH39">
            <v>14.57775648888067</v>
          </cell>
          <cell r="BI39">
            <v>1.3681538000412155</v>
          </cell>
          <cell r="BJ39" t="b">
            <v>0</v>
          </cell>
          <cell r="BK39">
            <v>1.3681538000412155</v>
          </cell>
          <cell r="BL39">
            <v>0.79328194731305379</v>
          </cell>
          <cell r="BM39" t="b">
            <v>0</v>
          </cell>
          <cell r="BN39">
            <v>0.79328194731305379</v>
          </cell>
          <cell r="BO39">
            <v>1.6937084693281308</v>
          </cell>
          <cell r="BP39">
            <v>0</v>
          </cell>
          <cell r="BQ39">
            <v>1.6975905191361751</v>
          </cell>
          <cell r="BR39">
            <v>0.89699240103103772</v>
          </cell>
          <cell r="BS39">
            <v>0</v>
          </cell>
          <cell r="BT39">
            <v>0.91305811485202093</v>
          </cell>
          <cell r="BU39">
            <v>1.4169183180145715</v>
          </cell>
          <cell r="BV39">
            <v>0</v>
          </cell>
          <cell r="BW39">
            <v>1.4242942126498559</v>
          </cell>
          <cell r="BX39">
            <v>0.15</v>
          </cell>
          <cell r="BY39">
            <v>0.8</v>
          </cell>
          <cell r="CA39">
            <v>1.4656828359879279</v>
          </cell>
          <cell r="CB39">
            <v>0</v>
          </cell>
          <cell r="CC39">
            <v>2.0664449747435851</v>
          </cell>
          <cell r="CD39">
            <v>6.1598081128771467</v>
          </cell>
          <cell r="CE39">
            <v>6.1430187171647344</v>
          </cell>
          <cell r="CF39">
            <v>1.7053844806738636</v>
          </cell>
          <cell r="CG39">
            <v>0</v>
          </cell>
          <cell r="CH39">
            <v>1.772603666196231</v>
          </cell>
          <cell r="CI39">
            <v>4.4544236322032829</v>
          </cell>
          <cell r="CJ39">
            <v>4.4376342364908705</v>
          </cell>
          <cell r="CK39">
            <v>1.7917152960204494</v>
          </cell>
          <cell r="CL39">
            <v>0</v>
          </cell>
          <cell r="CM39">
            <v>1.7917152960204494</v>
          </cell>
          <cell r="CN39">
            <v>2.6627083361828334</v>
          </cell>
          <cell r="CO39">
            <v>2.6459189404704211</v>
          </cell>
        </row>
        <row r="40">
          <cell r="D40" t="str">
            <v>150/48/2 ROTO IM _B1</v>
          </cell>
          <cell r="E40" t="str">
            <v>150</v>
          </cell>
          <cell r="F40" t="str">
            <v>48/2</v>
          </cell>
          <cell r="G40" t="str">
            <v>ROTO</v>
          </cell>
          <cell r="H40" t="str">
            <v>IM</v>
          </cell>
          <cell r="I40" t="str">
            <v xml:space="preserve"> </v>
          </cell>
          <cell r="J40" t="str">
            <v xml:space="preserve"> </v>
          </cell>
          <cell r="K40" t="str">
            <v>B1</v>
          </cell>
          <cell r="L40">
            <v>1</v>
          </cell>
          <cell r="M40">
            <v>0.76451714221066969</v>
          </cell>
          <cell r="N40">
            <v>0.23548285778933045</v>
          </cell>
          <cell r="O40">
            <v>700</v>
          </cell>
          <cell r="P40">
            <v>258</v>
          </cell>
          <cell r="Q40">
            <v>1.673</v>
          </cell>
          <cell r="R40">
            <v>0.97389999999999999</v>
          </cell>
          <cell r="S40">
            <v>0.97</v>
          </cell>
          <cell r="T40">
            <v>2.4799999999999999E-2</v>
          </cell>
          <cell r="U40">
            <v>3.6117755662430255</v>
          </cell>
          <cell r="V40">
            <v>7.0000000000000001E-3</v>
          </cell>
          <cell r="W40">
            <v>3.5864931372793243</v>
          </cell>
          <cell r="X40">
            <v>111.18128725565906</v>
          </cell>
          <cell r="Y40">
            <v>85</v>
          </cell>
          <cell r="Z40">
            <v>26.181287255659058</v>
          </cell>
          <cell r="AA40">
            <v>63.543011152416355</v>
          </cell>
          <cell r="AB40">
            <v>0.31474000000000008</v>
          </cell>
          <cell r="AC40">
            <v>63.228271152416355</v>
          </cell>
          <cell r="AD40">
            <v>1</v>
          </cell>
          <cell r="AE40">
            <v>0</v>
          </cell>
          <cell r="AF40">
            <v>0.3161413557620818</v>
          </cell>
          <cell r="AG40">
            <v>1.42</v>
          </cell>
          <cell r="AH40">
            <v>90</v>
          </cell>
          <cell r="AI40">
            <v>43.86</v>
          </cell>
          <cell r="AJ40">
            <v>62.281199999999998</v>
          </cell>
          <cell r="AK40">
            <v>52.939019999999999</v>
          </cell>
          <cell r="AN40">
            <v>0</v>
          </cell>
          <cell r="AO40">
            <v>4.7699999999999996</v>
          </cell>
          <cell r="AP40">
            <v>1.4705882352941178</v>
          </cell>
          <cell r="AQ40">
            <v>1.5357008219178085</v>
          </cell>
          <cell r="AR40">
            <v>0.11833428</v>
          </cell>
          <cell r="AS40" t="str">
            <v>265/48</v>
          </cell>
          <cell r="AT40">
            <v>2</v>
          </cell>
          <cell r="AU40">
            <v>0</v>
          </cell>
          <cell r="AV40">
            <v>40.5</v>
          </cell>
          <cell r="AW40">
            <v>1</v>
          </cell>
          <cell r="AX40">
            <v>54.5</v>
          </cell>
          <cell r="AY40">
            <v>0.98267890848743711</v>
          </cell>
          <cell r="AZ40">
            <v>37.66608256232346</v>
          </cell>
          <cell r="BA40">
            <v>48.475550555685274</v>
          </cell>
          <cell r="BB40">
            <v>2.81</v>
          </cell>
          <cell r="BC40">
            <v>0.89815</v>
          </cell>
          <cell r="BD40">
            <v>2.0477066985485779</v>
          </cell>
          <cell r="BE40">
            <v>0</v>
          </cell>
          <cell r="BF40">
            <v>2.0477066985485779</v>
          </cell>
          <cell r="BG40">
            <v>10.964637401916036</v>
          </cell>
          <cell r="BH40">
            <v>7.6807225424204182</v>
          </cell>
          <cell r="BI40">
            <v>1.1197927553556282</v>
          </cell>
          <cell r="BJ40" t="b">
            <v>0</v>
          </cell>
          <cell r="BK40">
            <v>1.1197927553556282</v>
          </cell>
          <cell r="BL40">
            <v>0.64927742592156135</v>
          </cell>
          <cell r="BM40" t="b">
            <v>0</v>
          </cell>
          <cell r="BN40">
            <v>0.64927742592156135</v>
          </cell>
          <cell r="BO40">
            <v>1.3862494652143467</v>
          </cell>
          <cell r="BP40">
            <v>0</v>
          </cell>
          <cell r="BQ40">
            <v>1.3894268062785213</v>
          </cell>
          <cell r="BR40">
            <v>0.73416131450524613</v>
          </cell>
          <cell r="BS40">
            <v>0</v>
          </cell>
          <cell r="BT40">
            <v>0.74731061829390777</v>
          </cell>
          <cell r="BU40">
            <v>1.1597050473386845</v>
          </cell>
          <cell r="BV40">
            <v>0</v>
          </cell>
          <cell r="BW40">
            <v>1.165741995360617</v>
          </cell>
          <cell r="BX40">
            <v>0.15</v>
          </cell>
          <cell r="BY40">
            <v>0.8</v>
          </cell>
          <cell r="CA40">
            <v>1.1996173393217417</v>
          </cell>
          <cell r="CB40">
            <v>0</v>
          </cell>
          <cell r="CC40">
            <v>1.6913230895453435</v>
          </cell>
          <cell r="CD40">
            <v>4.5658340542588274</v>
          </cell>
          <cell r="CE40">
            <v>0.63191919476320924</v>
          </cell>
          <cell r="CF40">
            <v>1.3958059294919796</v>
          </cell>
          <cell r="CG40">
            <v>0</v>
          </cell>
          <cell r="CH40">
            <v>1.4508228120724214</v>
          </cell>
          <cell r="CI40">
            <v>3.1700281247668478</v>
          </cell>
          <cell r="CJ40">
            <v>-0.76388673472877033</v>
          </cell>
          <cell r="CK40">
            <v>1.4664651065422052</v>
          </cell>
          <cell r="CL40">
            <v>0</v>
          </cell>
          <cell r="CM40">
            <v>1.4664651065422052</v>
          </cell>
          <cell r="CN40">
            <v>1.7035630182246426</v>
          </cell>
          <cell r="CO40">
            <v>-2.2303518412709753</v>
          </cell>
        </row>
        <row r="41">
          <cell r="D41" t="str">
            <v>150/48 TEX NIM Z _B1</v>
          </cell>
          <cell r="E41" t="str">
            <v>150</v>
          </cell>
          <cell r="F41" t="str">
            <v>48</v>
          </cell>
          <cell r="G41" t="str">
            <v>TEX</v>
          </cell>
          <cell r="H41" t="str">
            <v>NIM</v>
          </cell>
          <cell r="I41" t="str">
            <v>Z</v>
          </cell>
          <cell r="J41" t="str">
            <v xml:space="preserve"> </v>
          </cell>
          <cell r="K41" t="str">
            <v>B1</v>
          </cell>
          <cell r="L41">
            <v>1</v>
          </cell>
          <cell r="M41">
            <v>0.67301205609299186</v>
          </cell>
          <cell r="N41">
            <v>0.32698794390700814</v>
          </cell>
          <cell r="O41">
            <v>875</v>
          </cell>
          <cell r="P41">
            <v>251</v>
          </cell>
          <cell r="Q41">
            <v>1.7909999999999999</v>
          </cell>
          <cell r="R41">
            <v>0.97389999999999999</v>
          </cell>
          <cell r="S41">
            <v>0.97</v>
          </cell>
          <cell r="T41">
            <v>2.4799999999999999E-2</v>
          </cell>
          <cell r="U41">
            <v>4.102845274779015</v>
          </cell>
          <cell r="V41">
            <v>7.0000000000000001E-3</v>
          </cell>
          <cell r="W41">
            <v>4.0741253578555616</v>
          </cell>
          <cell r="X41">
            <v>126.29788609352241</v>
          </cell>
          <cell r="Y41">
            <v>85</v>
          </cell>
          <cell r="Z41">
            <v>41.297886093522408</v>
          </cell>
          <cell r="AA41">
            <v>61.326505576208177</v>
          </cell>
          <cell r="AB41">
            <v>0.116865</v>
          </cell>
          <cell r="AC41">
            <v>61.20964057620818</v>
          </cell>
          <cell r="AD41">
            <v>1</v>
          </cell>
          <cell r="AE41">
            <v>0</v>
          </cell>
          <cell r="AF41">
            <v>0.3060482028810409</v>
          </cell>
          <cell r="AG41">
            <v>1.3</v>
          </cell>
          <cell r="AH41">
            <v>90</v>
          </cell>
          <cell r="AI41">
            <v>43.86</v>
          </cell>
          <cell r="AJ41">
            <v>57.018000000000001</v>
          </cell>
          <cell r="AK41">
            <v>48.465299999999999</v>
          </cell>
          <cell r="AN41">
            <v>0</v>
          </cell>
          <cell r="AO41">
            <v>4.7699999999999996</v>
          </cell>
          <cell r="AP41">
            <v>1.4705882352941178</v>
          </cell>
          <cell r="AQ41">
            <v>1.4059232876712331</v>
          </cell>
          <cell r="AR41">
            <v>0.10833420000000001</v>
          </cell>
          <cell r="AS41" t="str">
            <v>265/48</v>
          </cell>
          <cell r="AT41">
            <v>2</v>
          </cell>
          <cell r="AU41">
            <v>0</v>
          </cell>
          <cell r="AV41">
            <v>40.5</v>
          </cell>
          <cell r="AW41">
            <v>1</v>
          </cell>
          <cell r="AX41">
            <v>54.5</v>
          </cell>
          <cell r="AY41">
            <v>0.98267890848743711</v>
          </cell>
          <cell r="AZ41">
            <v>37.66608256232346</v>
          </cell>
          <cell r="BA41">
            <v>48.475550555685274</v>
          </cell>
          <cell r="BB41">
            <v>2.81</v>
          </cell>
          <cell r="BC41">
            <v>0.89815</v>
          </cell>
          <cell r="BD41">
            <v>0</v>
          </cell>
          <cell r="BE41">
            <v>0</v>
          </cell>
          <cell r="BF41">
            <v>0</v>
          </cell>
          <cell r="BG41">
            <v>7.8889217147111905</v>
          </cell>
          <cell r="BH41">
            <v>7.7198918176418614</v>
          </cell>
          <cell r="BI41">
            <v>0.98576471745385297</v>
          </cell>
          <cell r="BJ41" t="b">
            <v>0</v>
          </cell>
          <cell r="BK41">
            <v>0.98576471745385297</v>
          </cell>
          <cell r="BL41">
            <v>0.57156538587309225</v>
          </cell>
          <cell r="BM41" t="b">
            <v>0</v>
          </cell>
          <cell r="BN41">
            <v>0.57156538587309225</v>
          </cell>
          <cell r="BO41">
            <v>1.2203292134744985</v>
          </cell>
          <cell r="BP41">
            <v>0</v>
          </cell>
          <cell r="BQ41">
            <v>1.2231262584646549</v>
          </cell>
          <cell r="BR41">
            <v>0.64628951857165262</v>
          </cell>
          <cell r="BS41">
            <v>0</v>
          </cell>
          <cell r="BT41">
            <v>0.65786498168476082</v>
          </cell>
          <cell r="BU41">
            <v>1.0208999056763544</v>
          </cell>
          <cell r="BV41">
            <v>0</v>
          </cell>
          <cell r="BW41">
            <v>1.0262142911576515</v>
          </cell>
          <cell r="BX41">
            <v>0.15</v>
          </cell>
          <cell r="BY41">
            <v>0.8</v>
          </cell>
          <cell r="CA41">
            <v>1.0560350938988563</v>
          </cell>
          <cell r="CB41">
            <v>0</v>
          </cell>
          <cell r="CC41">
            <v>1.4888885639908902</v>
          </cell>
          <cell r="CD41">
            <v>2.2380378797628828</v>
          </cell>
          <cell r="CE41">
            <v>1.4190079826935538</v>
          </cell>
          <cell r="CF41">
            <v>1.2287418641756609</v>
          </cell>
          <cell r="CG41">
            <v>0</v>
          </cell>
          <cell r="CH41">
            <v>1.2771737739667517</v>
          </cell>
          <cell r="CI41">
            <v>1.0092960155872219</v>
          </cell>
          <cell r="CJ41">
            <v>0.19026611851789288</v>
          </cell>
          <cell r="CK41">
            <v>1.2909438416105981</v>
          </cell>
          <cell r="CL41">
            <v>0</v>
          </cell>
          <cell r="CM41">
            <v>1.2909438416105981</v>
          </cell>
          <cell r="CN41">
            <v>-0.28164782602337612</v>
          </cell>
          <cell r="CO41">
            <v>-1.1006777230927052</v>
          </cell>
        </row>
        <row r="42">
          <cell r="D42" t="str">
            <v>150/48 TEX NIM S _B1</v>
          </cell>
          <cell r="E42" t="str">
            <v>150</v>
          </cell>
          <cell r="F42" t="str">
            <v>48</v>
          </cell>
          <cell r="G42" t="str">
            <v>TEX</v>
          </cell>
          <cell r="H42" t="str">
            <v>NIM</v>
          </cell>
          <cell r="I42" t="str">
            <v>S</v>
          </cell>
          <cell r="J42" t="str">
            <v xml:space="preserve"> </v>
          </cell>
          <cell r="K42" t="str">
            <v>B1</v>
          </cell>
          <cell r="L42">
            <v>0.5</v>
          </cell>
          <cell r="M42">
            <v>0</v>
          </cell>
          <cell r="N42">
            <v>0.5</v>
          </cell>
          <cell r="O42">
            <v>875</v>
          </cell>
          <cell r="P42">
            <v>251</v>
          </cell>
          <cell r="Q42">
            <v>1.7909999999999999</v>
          </cell>
          <cell r="R42">
            <v>0.97389999999999999</v>
          </cell>
          <cell r="S42">
            <v>0.97</v>
          </cell>
          <cell r="T42">
            <v>2.4799999999999999E-2</v>
          </cell>
          <cell r="U42">
            <v>4.102845274779015</v>
          </cell>
          <cell r="V42">
            <v>7.0000000000000001E-3</v>
          </cell>
          <cell r="W42">
            <v>4.0741253578555616</v>
          </cell>
          <cell r="X42">
            <v>63.148943046761204</v>
          </cell>
          <cell r="Z42">
            <v>63.148943046761204</v>
          </cell>
          <cell r="AA42">
            <v>56.65</v>
          </cell>
          <cell r="AB42">
            <v>0.116865</v>
          </cell>
          <cell r="AC42">
            <v>56.533135000000001</v>
          </cell>
          <cell r="AD42">
            <v>1</v>
          </cell>
          <cell r="AE42">
            <v>0</v>
          </cell>
          <cell r="AF42">
            <v>0.28266567500000001</v>
          </cell>
          <cell r="AI42">
            <v>0</v>
          </cell>
          <cell r="AJ42">
            <v>0</v>
          </cell>
          <cell r="AK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0</v>
          </cell>
          <cell r="AS42" t="str">
            <v>265/48</v>
          </cell>
          <cell r="AT42">
            <v>1</v>
          </cell>
          <cell r="AU42">
            <v>0</v>
          </cell>
          <cell r="AV42">
            <v>54.5</v>
          </cell>
          <cell r="AW42">
            <v>2</v>
          </cell>
          <cell r="AX42">
            <v>40.5</v>
          </cell>
          <cell r="AY42">
            <v>0.98267890848743711</v>
          </cell>
          <cell r="AZ42">
            <v>48.475550555685274</v>
          </cell>
          <cell r="BA42">
            <v>37.66608256232346</v>
          </cell>
          <cell r="BB42">
            <v>2.81</v>
          </cell>
          <cell r="BC42">
            <v>0.89815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13.876236762676545</v>
          </cell>
          <cell r="BI42">
            <v>0.98576471745385297</v>
          </cell>
          <cell r="BJ42" t="b">
            <v>0</v>
          </cell>
          <cell r="BK42">
            <v>0.98576471745385297</v>
          </cell>
          <cell r="BL42">
            <v>0.57156538587309225</v>
          </cell>
          <cell r="BM42" t="b">
            <v>0</v>
          </cell>
          <cell r="BN42">
            <v>0.57156538587309225</v>
          </cell>
          <cell r="BO42">
            <v>1.2203292134744985</v>
          </cell>
          <cell r="BP42">
            <v>0</v>
          </cell>
          <cell r="BQ42">
            <v>1.2231262584646549</v>
          </cell>
          <cell r="BR42">
            <v>0.64628951857165262</v>
          </cell>
          <cell r="BS42">
            <v>0</v>
          </cell>
          <cell r="BT42">
            <v>0.65786498168476082</v>
          </cell>
          <cell r="BU42">
            <v>1.0208999056763544</v>
          </cell>
          <cell r="BV42">
            <v>0</v>
          </cell>
          <cell r="BW42">
            <v>1.0262142911576515</v>
          </cell>
          <cell r="BX42">
            <v>0.15</v>
          </cell>
          <cell r="BY42">
            <v>0.8</v>
          </cell>
          <cell r="CA42">
            <v>1.0560350938988563</v>
          </cell>
          <cell r="CB42">
            <v>0</v>
          </cell>
          <cell r="CC42">
            <v>1.4888885639908902</v>
          </cell>
          <cell r="CD42">
            <v>0</v>
          </cell>
          <cell r="CE42">
            <v>7.5753529277282396</v>
          </cell>
          <cell r="CF42">
            <v>1.2287418641756609</v>
          </cell>
          <cell r="CG42">
            <v>0</v>
          </cell>
          <cell r="CH42">
            <v>1.2771737739667517</v>
          </cell>
          <cell r="CI42">
            <v>0</v>
          </cell>
          <cell r="CJ42">
            <v>6.3466110635525785</v>
          </cell>
          <cell r="CK42">
            <v>1.2909438416105981</v>
          </cell>
          <cell r="CL42">
            <v>0</v>
          </cell>
          <cell r="CM42">
            <v>1.2909438416105981</v>
          </cell>
          <cell r="CN42">
            <v>0</v>
          </cell>
          <cell r="CO42">
            <v>5.0556672219419809</v>
          </cell>
        </row>
        <row r="43">
          <cell r="D43" t="str">
            <v>150/34 GFT NIM _B1</v>
          </cell>
          <cell r="E43" t="str">
            <v>150</v>
          </cell>
          <cell r="F43" t="str">
            <v>34</v>
          </cell>
          <cell r="G43" t="str">
            <v>GFT</v>
          </cell>
          <cell r="H43" t="str">
            <v>NIM</v>
          </cell>
          <cell r="I43" t="str">
            <v xml:space="preserve"> </v>
          </cell>
          <cell r="J43" t="str">
            <v xml:space="preserve"> </v>
          </cell>
          <cell r="K43" t="str">
            <v>B1</v>
          </cell>
          <cell r="L43">
            <v>1</v>
          </cell>
          <cell r="M43">
            <v>0</v>
          </cell>
          <cell r="N43">
            <v>1</v>
          </cell>
          <cell r="O43">
            <v>800</v>
          </cell>
          <cell r="P43">
            <v>235</v>
          </cell>
          <cell r="Q43">
            <v>1.7110000000000001</v>
          </cell>
          <cell r="R43">
            <v>0.97389999999999999</v>
          </cell>
          <cell r="S43">
            <v>0.97</v>
          </cell>
          <cell r="T43">
            <v>2.4799999999999999E-2</v>
          </cell>
          <cell r="U43">
            <v>3.6762648376993283</v>
          </cell>
          <cell r="V43">
            <v>7.0000000000000001E-3</v>
          </cell>
          <cell r="W43">
            <v>3.650530983835433</v>
          </cell>
          <cell r="X43">
            <v>113.16646049889842</v>
          </cell>
          <cell r="Z43">
            <v>113.16646049889842</v>
          </cell>
          <cell r="AA43">
            <v>61.326505576208177</v>
          </cell>
          <cell r="AB43">
            <v>0.116865</v>
          </cell>
          <cell r="AC43">
            <v>61.20964057620818</v>
          </cell>
          <cell r="AD43">
            <v>1</v>
          </cell>
          <cell r="AE43">
            <v>0</v>
          </cell>
          <cell r="AF43">
            <v>0.3060482028810409</v>
          </cell>
          <cell r="AG43">
            <v>0</v>
          </cell>
          <cell r="AI43">
            <v>0</v>
          </cell>
          <cell r="AJ43">
            <v>0</v>
          </cell>
          <cell r="AK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S43" t="str">
            <v>235/34</v>
          </cell>
          <cell r="AT43">
            <v>1</v>
          </cell>
          <cell r="AU43">
            <v>0</v>
          </cell>
          <cell r="AV43">
            <v>55</v>
          </cell>
          <cell r="AW43">
            <v>1</v>
          </cell>
          <cell r="AX43">
            <v>55</v>
          </cell>
          <cell r="AY43">
            <v>0.98267890848743711</v>
          </cell>
          <cell r="AZ43">
            <v>48.966890009928989</v>
          </cell>
          <cell r="BA43">
            <v>48.966890009928989</v>
          </cell>
          <cell r="BB43">
            <v>2.81</v>
          </cell>
          <cell r="BC43">
            <v>0.89815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7.2285523633981468</v>
          </cell>
          <cell r="BI43">
            <v>1.1001492796641099</v>
          </cell>
          <cell r="BJ43" t="b">
            <v>0</v>
          </cell>
          <cell r="BK43">
            <v>1.1001492796641099</v>
          </cell>
          <cell r="BL43">
            <v>0.63788776004620806</v>
          </cell>
          <cell r="BM43" t="b">
            <v>0</v>
          </cell>
          <cell r="BN43">
            <v>0.63788776004620806</v>
          </cell>
          <cell r="BO43">
            <v>1.3619317889817741</v>
          </cell>
          <cell r="BP43">
            <v>0</v>
          </cell>
          <cell r="BQ43">
            <v>1.3650533929270408</v>
          </cell>
          <cell r="BR43">
            <v>0.72128261006090721</v>
          </cell>
          <cell r="BS43">
            <v>0</v>
          </cell>
          <cell r="BT43">
            <v>0.7342012479267026</v>
          </cell>
          <cell r="BU43">
            <v>1.1393614276842658</v>
          </cell>
          <cell r="BV43">
            <v>0</v>
          </cell>
          <cell r="BW43">
            <v>1.1452924751802724</v>
          </cell>
          <cell r="BX43">
            <v>0.15</v>
          </cell>
          <cell r="BY43">
            <v>0.8</v>
          </cell>
          <cell r="CA43">
            <v>1.1785735757044224</v>
          </cell>
          <cell r="CB43">
            <v>0</v>
          </cell>
          <cell r="CC43">
            <v>1.6616537924034482</v>
          </cell>
          <cell r="CD43">
            <v>0</v>
          </cell>
          <cell r="CE43">
            <v>0.28936592125645899</v>
          </cell>
          <cell r="CF43">
            <v>1.3713206131556142</v>
          </cell>
          <cell r="CG43">
            <v>0</v>
          </cell>
          <cell r="CH43">
            <v>1.4253723860848071</v>
          </cell>
          <cell r="CI43">
            <v>0</v>
          </cell>
          <cell r="CJ43">
            <v>-1.0819546918991552</v>
          </cell>
          <cell r="CK43">
            <v>1.4407402824307354</v>
          </cell>
          <cell r="CL43">
            <v>0</v>
          </cell>
          <cell r="CM43">
            <v>1.4407402824307354</v>
          </cell>
          <cell r="CN43">
            <v>0</v>
          </cell>
          <cell r="CO43">
            <v>-2.5226949743298905</v>
          </cell>
        </row>
        <row r="44">
          <cell r="D44" t="str">
            <v>300/68 ROTO IM _B1</v>
          </cell>
          <cell r="E44" t="str">
            <v>300</v>
          </cell>
          <cell r="F44" t="str">
            <v>68</v>
          </cell>
          <cell r="G44" t="str">
            <v>ROTO</v>
          </cell>
          <cell r="H44" t="str">
            <v>IM</v>
          </cell>
          <cell r="I44" t="str">
            <v xml:space="preserve"> </v>
          </cell>
          <cell r="J44" t="str">
            <v xml:space="preserve"> </v>
          </cell>
          <cell r="K44" t="str">
            <v>B1</v>
          </cell>
          <cell r="L44">
            <v>0.5</v>
          </cell>
          <cell r="M44">
            <v>0.24404752852307615</v>
          </cell>
          <cell r="N44">
            <v>0.25595247147692379</v>
          </cell>
          <cell r="O44">
            <v>450</v>
          </cell>
          <cell r="P44">
            <v>505</v>
          </cell>
          <cell r="Q44">
            <v>1.68</v>
          </cell>
          <cell r="R44">
            <v>0.97389999999999999</v>
          </cell>
          <cell r="S44">
            <v>0.97</v>
          </cell>
          <cell r="T44">
            <v>2.4799999999999999E-2</v>
          </cell>
          <cell r="U44">
            <v>4.5257812704287996</v>
          </cell>
          <cell r="V44">
            <v>7.0000000000000001E-3</v>
          </cell>
          <cell r="W44">
            <v>4.4941008015357982</v>
          </cell>
          <cell r="X44">
            <v>69.658562423804867</v>
          </cell>
          <cell r="Y44">
            <v>34</v>
          </cell>
          <cell r="Z44">
            <v>35.658562423804867</v>
          </cell>
          <cell r="AA44">
            <v>65.77</v>
          </cell>
          <cell r="AB44">
            <v>0.31474000000000008</v>
          </cell>
          <cell r="AC44">
            <v>65.455259999999996</v>
          </cell>
          <cell r="AD44">
            <v>1</v>
          </cell>
          <cell r="AE44">
            <v>0</v>
          </cell>
          <cell r="AF44">
            <v>0.32727629999999996</v>
          </cell>
          <cell r="AG44">
            <v>1.54</v>
          </cell>
          <cell r="AH44">
            <v>90</v>
          </cell>
          <cell r="AI44">
            <v>43.86</v>
          </cell>
          <cell r="AJ44">
            <v>67.544399999999996</v>
          </cell>
          <cell r="AK44">
            <v>22.965095999999999</v>
          </cell>
          <cell r="AM44">
            <v>0.02</v>
          </cell>
          <cell r="AN44">
            <v>1.3508879999999999</v>
          </cell>
          <cell r="AO44">
            <v>5.21</v>
          </cell>
          <cell r="AP44">
            <v>1.4705882352941178</v>
          </cell>
          <cell r="AQ44">
            <v>1.6654783561643836</v>
          </cell>
          <cell r="AR44">
            <v>0.12833435999999998</v>
          </cell>
          <cell r="AS44" t="str">
            <v>530/68</v>
          </cell>
          <cell r="AT44">
            <v>1</v>
          </cell>
          <cell r="AU44">
            <v>9.3501599999999989</v>
          </cell>
          <cell r="AV44">
            <v>54</v>
          </cell>
          <cell r="AW44">
            <v>1</v>
          </cell>
          <cell r="AX44">
            <v>54</v>
          </cell>
          <cell r="AY44">
            <v>0.98267890848743711</v>
          </cell>
          <cell r="AZ44">
            <v>47.984211101441552</v>
          </cell>
          <cell r="BA44">
            <v>47.984211101441552</v>
          </cell>
          <cell r="BB44">
            <v>2.81</v>
          </cell>
          <cell r="BC44">
            <v>0.89815</v>
          </cell>
          <cell r="BD44">
            <v>1.6341613919731472</v>
          </cell>
          <cell r="BE44">
            <v>0</v>
          </cell>
          <cell r="BF44">
            <v>1.6341613919731472</v>
          </cell>
          <cell r="BG44">
            <v>13.742748555126797</v>
          </cell>
          <cell r="BH44">
            <v>10.801461206585302</v>
          </cell>
          <cell r="BI44">
            <v>0.8936446265036172</v>
          </cell>
          <cell r="BJ44" t="b">
            <v>0</v>
          </cell>
          <cell r="BK44">
            <v>0.8936446265036172</v>
          </cell>
          <cell r="BL44">
            <v>0.51815238133116348</v>
          </cell>
          <cell r="BM44" t="b">
            <v>0</v>
          </cell>
          <cell r="BN44">
            <v>0.51815238133116348</v>
          </cell>
          <cell r="BO44">
            <v>1.1062889804005622</v>
          </cell>
          <cell r="BP44">
            <v>0</v>
          </cell>
          <cell r="BQ44">
            <v>1.1088246404635418</v>
          </cell>
          <cell r="BR44">
            <v>0.58589351516753219</v>
          </cell>
          <cell r="BS44">
            <v>0</v>
          </cell>
          <cell r="BT44">
            <v>0.59638724681278588</v>
          </cell>
          <cell r="BU44">
            <v>0.92549641791012138</v>
          </cell>
          <cell r="BV44">
            <v>0</v>
          </cell>
          <cell r="BW44">
            <v>0.93031417202978262</v>
          </cell>
          <cell r="BX44">
            <v>0.15</v>
          </cell>
          <cell r="BY44">
            <v>0.8</v>
          </cell>
          <cell r="CA44">
            <v>0.95734820931662579</v>
          </cell>
          <cell r="CB44">
            <v>0</v>
          </cell>
          <cell r="CC44">
            <v>1.3497513566014125</v>
          </cell>
          <cell r="CD44">
            <v>8.6059244244971751</v>
          </cell>
          <cell r="CE44">
            <v>5.0146370759556804</v>
          </cell>
          <cell r="CF44">
            <v>1.1139154656669081</v>
          </cell>
          <cell r="CG44">
            <v>0</v>
          </cell>
          <cell r="CH44">
            <v>1.157821394911269</v>
          </cell>
          <cell r="CI44">
            <v>7.492008958830267</v>
          </cell>
          <cell r="CJ44">
            <v>3.9007216102887723</v>
          </cell>
          <cell r="CK44">
            <v>1.1703046444520917</v>
          </cell>
          <cell r="CL44">
            <v>0</v>
          </cell>
          <cell r="CM44">
            <v>1.1703046444520917</v>
          </cell>
          <cell r="CN44">
            <v>6.3217043143781755</v>
          </cell>
          <cell r="CO44">
            <v>2.7304169658366808</v>
          </cell>
        </row>
        <row r="45">
          <cell r="D45" t="str">
            <v>150/34 TEX NIM _B1</v>
          </cell>
          <cell r="E45" t="str">
            <v>150</v>
          </cell>
          <cell r="F45" t="str">
            <v>34</v>
          </cell>
          <cell r="G45" t="str">
            <v>TEX</v>
          </cell>
          <cell r="H45" t="str">
            <v>NIM</v>
          </cell>
          <cell r="I45" t="str">
            <v xml:space="preserve"> </v>
          </cell>
          <cell r="J45" t="str">
            <v xml:space="preserve"> </v>
          </cell>
          <cell r="K45" t="str">
            <v>B1</v>
          </cell>
          <cell r="L45">
            <v>1.5</v>
          </cell>
          <cell r="M45">
            <v>0</v>
          </cell>
          <cell r="N45">
            <v>1.4999999999999998</v>
          </cell>
          <cell r="O45">
            <v>875</v>
          </cell>
          <cell r="P45">
            <v>251</v>
          </cell>
          <cell r="Q45">
            <v>1.748</v>
          </cell>
          <cell r="R45">
            <v>0.97389999999999999</v>
          </cell>
          <cell r="S45">
            <v>0.97</v>
          </cell>
          <cell r="T45">
            <v>2.4799999999999999E-2</v>
          </cell>
          <cell r="U45">
            <v>4.2037733908061874</v>
          </cell>
          <cell r="V45">
            <v>7.0000000000000001E-3</v>
          </cell>
          <cell r="W45">
            <v>4.1743469770705444</v>
          </cell>
          <cell r="X45">
            <v>194.10713443378029</v>
          </cell>
          <cell r="Z45">
            <v>194.10713443378029</v>
          </cell>
          <cell r="AA45">
            <v>61.326505576208177</v>
          </cell>
          <cell r="AB45">
            <v>0.116865</v>
          </cell>
          <cell r="AC45">
            <v>61.20964057620818</v>
          </cell>
          <cell r="AD45">
            <v>1</v>
          </cell>
          <cell r="AE45">
            <v>0</v>
          </cell>
          <cell r="AF45">
            <v>0.3060482028810409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N45">
            <v>0</v>
          </cell>
          <cell r="AP45">
            <v>0</v>
          </cell>
          <cell r="AQ45">
            <v>0</v>
          </cell>
          <cell r="AR45">
            <v>0</v>
          </cell>
          <cell r="AS45" t="str">
            <v>265/34</v>
          </cell>
          <cell r="AT45">
            <v>1</v>
          </cell>
          <cell r="AU45">
            <v>0</v>
          </cell>
          <cell r="AV45">
            <v>54</v>
          </cell>
          <cell r="AW45">
            <v>1</v>
          </cell>
          <cell r="AX45">
            <v>54</v>
          </cell>
          <cell r="AY45">
            <v>0.98267890848743711</v>
          </cell>
          <cell r="AZ45">
            <v>47.984211101441552</v>
          </cell>
          <cell r="BA45">
            <v>47.984211101441552</v>
          </cell>
          <cell r="BB45">
            <v>2.81</v>
          </cell>
          <cell r="BC45">
            <v>0.89815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8.211231271885584</v>
          </cell>
          <cell r="BI45">
            <v>0.96209755784999151</v>
          </cell>
          <cell r="BJ45" t="b">
            <v>0</v>
          </cell>
          <cell r="BK45">
            <v>0.96209755784999151</v>
          </cell>
          <cell r="BL45">
            <v>0.55784271050037149</v>
          </cell>
          <cell r="BM45" t="b">
            <v>0</v>
          </cell>
          <cell r="BN45">
            <v>0.55784271050037149</v>
          </cell>
          <cell r="BO45">
            <v>1.1910304104709231</v>
          </cell>
          <cell r="BP45">
            <v>0</v>
          </cell>
          <cell r="BQ45">
            <v>1.1937603013937557</v>
          </cell>
          <cell r="BR45">
            <v>0.63077279646189199</v>
          </cell>
          <cell r="BS45">
            <v>0</v>
          </cell>
          <cell r="BT45">
            <v>0.64207034505022986</v>
          </cell>
          <cell r="BU45">
            <v>0.9963891876729577</v>
          </cell>
          <cell r="BV45">
            <v>0</v>
          </cell>
          <cell r="BW45">
            <v>1.0015759804263398</v>
          </cell>
          <cell r="BX45">
            <v>0.15</v>
          </cell>
          <cell r="BY45">
            <v>0.8</v>
          </cell>
          <cell r="CA45">
            <v>1.0306808174959243</v>
          </cell>
          <cell r="CB45">
            <v>0</v>
          </cell>
          <cell r="CC45">
            <v>1.4531419373847434</v>
          </cell>
          <cell r="CD45">
            <v>0</v>
          </cell>
          <cell r="CE45">
            <v>2.0424177914335226</v>
          </cell>
          <cell r="CF45">
            <v>1.1992410824003654</v>
          </cell>
          <cell r="CG45">
            <v>0</v>
          </cell>
          <cell r="CH45">
            <v>1.2465101936872596</v>
          </cell>
          <cell r="CI45">
            <v>0</v>
          </cell>
          <cell r="CJ45">
            <v>0.84317670903315722</v>
          </cell>
          <cell r="CK45">
            <v>1.2599496566919741</v>
          </cell>
          <cell r="CL45">
            <v>0</v>
          </cell>
          <cell r="CM45">
            <v>1.2599496566919741</v>
          </cell>
          <cell r="CN45">
            <v>0</v>
          </cell>
          <cell r="CO45">
            <v>-0.41677294765881689</v>
          </cell>
        </row>
        <row r="46">
          <cell r="D46" t="str">
            <v>300/68 TEX NIM _B1</v>
          </cell>
          <cell r="E46" t="str">
            <v>300</v>
          </cell>
          <cell r="F46" t="str">
            <v>68</v>
          </cell>
          <cell r="G46" t="str">
            <v>TEX</v>
          </cell>
          <cell r="H46" t="str">
            <v>NIM</v>
          </cell>
          <cell r="I46" t="str">
            <v xml:space="preserve"> </v>
          </cell>
          <cell r="J46" t="str">
            <v xml:space="preserve"> </v>
          </cell>
          <cell r="K46" t="str">
            <v>B1</v>
          </cell>
          <cell r="L46">
            <v>1</v>
          </cell>
          <cell r="M46">
            <v>0.32946416350615271</v>
          </cell>
          <cell r="N46">
            <v>0.67053583649384729</v>
          </cell>
          <cell r="O46">
            <v>500</v>
          </cell>
          <cell r="P46">
            <v>505</v>
          </cell>
          <cell r="Q46">
            <v>1.68</v>
          </cell>
          <cell r="R46">
            <v>0.97389999999999999</v>
          </cell>
          <cell r="S46">
            <v>0.97</v>
          </cell>
          <cell r="T46">
            <v>2.4799999999999999E-2</v>
          </cell>
          <cell r="U46">
            <v>5.0286458560320009</v>
          </cell>
          <cell r="V46">
            <v>7.0000000000000001E-3</v>
          </cell>
          <cell r="W46">
            <v>4.9934453350397767</v>
          </cell>
          <cell r="X46">
            <v>154.79680538623307</v>
          </cell>
          <cell r="Y46">
            <v>51</v>
          </cell>
          <cell r="Z46">
            <v>103.79680538623307</v>
          </cell>
          <cell r="AA46">
            <v>62.066505576208179</v>
          </cell>
          <cell r="AB46">
            <v>0.116865</v>
          </cell>
          <cell r="AC46">
            <v>61.949640576208182</v>
          </cell>
          <cell r="AD46">
            <v>1</v>
          </cell>
          <cell r="AE46">
            <v>0</v>
          </cell>
          <cell r="AF46">
            <v>0.30974820288104093</v>
          </cell>
          <cell r="AG46">
            <v>1.28</v>
          </cell>
          <cell r="AH46">
            <v>90</v>
          </cell>
          <cell r="AI46">
            <v>43.86</v>
          </cell>
          <cell r="AJ46">
            <v>56.140799999999999</v>
          </cell>
          <cell r="AK46">
            <v>28.631807999999999</v>
          </cell>
          <cell r="AN46">
            <v>0</v>
          </cell>
          <cell r="AO46">
            <v>4.34</v>
          </cell>
          <cell r="AP46">
            <v>1.4705882352941178</v>
          </cell>
          <cell r="AQ46">
            <v>1.3842936986301371</v>
          </cell>
          <cell r="AR46">
            <v>0.10666752</v>
          </cell>
          <cell r="AS46" t="str">
            <v>530/68</v>
          </cell>
          <cell r="AT46">
            <v>2</v>
          </cell>
          <cell r="AU46">
            <v>0</v>
          </cell>
          <cell r="AV46">
            <v>41.5</v>
          </cell>
          <cell r="AW46">
            <v>1</v>
          </cell>
          <cell r="AX46">
            <v>54</v>
          </cell>
          <cell r="AY46">
            <v>0.98267890848743711</v>
          </cell>
          <cell r="AZ46">
            <v>38.648761470810896</v>
          </cell>
          <cell r="BA46">
            <v>47.984211101441552</v>
          </cell>
          <cell r="BB46">
            <v>2.81</v>
          </cell>
          <cell r="BC46">
            <v>0.89815</v>
          </cell>
          <cell r="BD46">
            <v>0</v>
          </cell>
          <cell r="BE46">
            <v>0</v>
          </cell>
          <cell r="BF46">
            <v>0</v>
          </cell>
          <cell r="BG46">
            <v>6.4823390752648491</v>
          </cell>
          <cell r="BH46">
            <v>8.9475312718855911</v>
          </cell>
          <cell r="BI46">
            <v>0.8042801638532554</v>
          </cell>
          <cell r="BJ46" t="b">
            <v>0</v>
          </cell>
          <cell r="BK46">
            <v>0.8042801638532554</v>
          </cell>
          <cell r="BL46">
            <v>0.46633714319804703</v>
          </cell>
          <cell r="BM46" t="b">
            <v>0</v>
          </cell>
          <cell r="BN46">
            <v>0.46633714319804703</v>
          </cell>
          <cell r="BO46">
            <v>0.99566008236050574</v>
          </cell>
          <cell r="BP46">
            <v>0</v>
          </cell>
          <cell r="BQ46">
            <v>0.99794217641718741</v>
          </cell>
          <cell r="BR46">
            <v>0.52730416365077881</v>
          </cell>
          <cell r="BS46">
            <v>0</v>
          </cell>
          <cell r="BT46">
            <v>0.53674852213150714</v>
          </cell>
          <cell r="BU46">
            <v>0.83294677611910906</v>
          </cell>
          <cell r="BV46">
            <v>0</v>
          </cell>
          <cell r="BW46">
            <v>0.83728275482680414</v>
          </cell>
          <cell r="BX46">
            <v>0.15</v>
          </cell>
          <cell r="BY46">
            <v>0.8</v>
          </cell>
          <cell r="CA46">
            <v>0.86161338838496304</v>
          </cell>
          <cell r="CB46">
            <v>0</v>
          </cell>
          <cell r="CC46">
            <v>1.2147762209412709</v>
          </cell>
          <cell r="CD46">
            <v>1.8441973576981892</v>
          </cell>
          <cell r="CE46">
            <v>3.6593895543189316</v>
          </cell>
          <cell r="CF46">
            <v>1.0025239191002171</v>
          </cell>
          <cell r="CG46">
            <v>0</v>
          </cell>
          <cell r="CH46">
            <v>1.0420392554201419</v>
          </cell>
          <cell r="CI46">
            <v>0.84167343859797206</v>
          </cell>
          <cell r="CJ46">
            <v>2.6568656352187148</v>
          </cell>
          <cell r="CK46">
            <v>1.0532741800068823</v>
          </cell>
          <cell r="CL46">
            <v>0</v>
          </cell>
          <cell r="CM46">
            <v>1.0532741800068823</v>
          </cell>
          <cell r="CN46">
            <v>-0.21160074140891028</v>
          </cell>
          <cell r="CO46">
            <v>1.6035914552118324</v>
          </cell>
        </row>
        <row r="47">
          <cell r="D47" t="str">
            <v>150/34 TEX NIM _S1</v>
          </cell>
          <cell r="E47" t="str">
            <v>150</v>
          </cell>
          <cell r="F47" t="str">
            <v>34</v>
          </cell>
          <cell r="G47" t="str">
            <v>TEX</v>
          </cell>
          <cell r="H47" t="str">
            <v>NIM</v>
          </cell>
          <cell r="I47" t="str">
            <v xml:space="preserve"> </v>
          </cell>
          <cell r="J47" t="str">
            <v xml:space="preserve"> </v>
          </cell>
          <cell r="K47" t="str">
            <v>S1</v>
          </cell>
          <cell r="L47">
            <v>1.5</v>
          </cell>
          <cell r="M47">
            <v>0</v>
          </cell>
          <cell r="N47">
            <v>1.5</v>
          </cell>
          <cell r="O47">
            <v>800</v>
          </cell>
          <cell r="P47">
            <v>251</v>
          </cell>
          <cell r="Q47">
            <v>1.75</v>
          </cell>
          <cell r="R47">
            <v>0.97389999999999999</v>
          </cell>
          <cell r="S47">
            <v>0.97</v>
          </cell>
          <cell r="T47">
            <v>2.4799999999999999E-2</v>
          </cell>
          <cell r="U47">
            <v>3.8390574430715891</v>
          </cell>
          <cell r="V47">
            <v>7.0000000000000001E-3</v>
          </cell>
          <cell r="W47">
            <v>3.812184040970088</v>
          </cell>
          <cell r="X47">
            <v>177.2665579051091</v>
          </cell>
          <cell r="Z47">
            <v>177.2665579051091</v>
          </cell>
          <cell r="AA47">
            <v>61.326505576208177</v>
          </cell>
          <cell r="AB47">
            <v>0.116865</v>
          </cell>
          <cell r="AC47">
            <v>61.20964057620818</v>
          </cell>
          <cell r="AD47">
            <v>1</v>
          </cell>
          <cell r="AE47">
            <v>0</v>
          </cell>
          <cell r="AF47">
            <v>0.3060482028810409</v>
          </cell>
          <cell r="AI47">
            <v>0</v>
          </cell>
          <cell r="AJ47">
            <v>0</v>
          </cell>
          <cell r="AK47">
            <v>0</v>
          </cell>
          <cell r="AN47">
            <v>0</v>
          </cell>
          <cell r="AP47">
            <v>0</v>
          </cell>
          <cell r="AQ47">
            <v>0</v>
          </cell>
          <cell r="AR47">
            <v>0</v>
          </cell>
          <cell r="AS47" t="str">
            <v>265/34</v>
          </cell>
          <cell r="AT47">
            <v>1</v>
          </cell>
          <cell r="AU47">
            <v>0</v>
          </cell>
          <cell r="AV47">
            <v>54</v>
          </cell>
          <cell r="AW47">
            <v>1</v>
          </cell>
          <cell r="AX47">
            <v>54</v>
          </cell>
          <cell r="AY47">
            <v>0.98267890848743711</v>
          </cell>
          <cell r="AZ47">
            <v>47.984211101441552</v>
          </cell>
          <cell r="BA47">
            <v>47.984211101441552</v>
          </cell>
          <cell r="BB47">
            <v>2.81</v>
          </cell>
          <cell r="BC47">
            <v>0.89815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8.211231271885584</v>
          </cell>
          <cell r="BI47">
            <v>1.0534982018433925</v>
          </cell>
          <cell r="BJ47" t="b">
            <v>0</v>
          </cell>
          <cell r="BK47">
            <v>1.0534982018433925</v>
          </cell>
          <cell r="BL47">
            <v>0.61083856582787055</v>
          </cell>
          <cell r="BM47" t="b">
            <v>0</v>
          </cell>
          <cell r="BN47">
            <v>0.61083856582787055</v>
          </cell>
          <cell r="BO47">
            <v>1.3041800028844404</v>
          </cell>
          <cell r="BP47">
            <v>0</v>
          </cell>
          <cell r="BQ47">
            <v>1.3071692373492485</v>
          </cell>
          <cell r="BR47">
            <v>0.69069711426077829</v>
          </cell>
          <cell r="BS47">
            <v>0</v>
          </cell>
          <cell r="BT47">
            <v>0.70306794612282952</v>
          </cell>
          <cell r="BU47">
            <v>1.0910475855436335</v>
          </cell>
          <cell r="BV47">
            <v>0</v>
          </cell>
          <cell r="BW47">
            <v>1.0967271310267688</v>
          </cell>
          <cell r="BX47">
            <v>0.15</v>
          </cell>
          <cell r="BY47">
            <v>0.8</v>
          </cell>
          <cell r="CA47">
            <v>1.1285969692438751</v>
          </cell>
          <cell r="CB47">
            <v>0</v>
          </cell>
          <cell r="CC47">
            <v>1.5911924997285392</v>
          </cell>
          <cell r="CD47">
            <v>0</v>
          </cell>
          <cell r="CE47">
            <v>1.5323728322815928</v>
          </cell>
          <cell r="CF47">
            <v>1.3131707003901321</v>
          </cell>
          <cell r="CG47">
            <v>0</v>
          </cell>
          <cell r="CH47">
            <v>1.3649304448538448</v>
          </cell>
          <cell r="CI47">
            <v>0</v>
          </cell>
          <cell r="CJ47">
            <v>0.21920213189146076</v>
          </cell>
          <cell r="CK47">
            <v>1.3796466760652075</v>
          </cell>
          <cell r="CL47">
            <v>0</v>
          </cell>
          <cell r="CM47">
            <v>1.3796466760652075</v>
          </cell>
          <cell r="CN47">
            <v>0</v>
          </cell>
          <cell r="CO47">
            <v>-1.1604445441737468</v>
          </cell>
        </row>
        <row r="48">
          <cell r="D48" t="str">
            <v>150/34 TEX NIM CLQ_S1</v>
          </cell>
          <cell r="E48" t="str">
            <v>150</v>
          </cell>
          <cell r="F48" t="str">
            <v>34</v>
          </cell>
          <cell r="G48" t="str">
            <v>TEX</v>
          </cell>
          <cell r="H48" t="str">
            <v>NIM</v>
          </cell>
          <cell r="I48" t="str">
            <v xml:space="preserve"> </v>
          </cell>
          <cell r="J48" t="str">
            <v>CLQ</v>
          </cell>
          <cell r="K48" t="str">
            <v>S1</v>
          </cell>
          <cell r="L48">
            <v>0.5</v>
          </cell>
          <cell r="M48">
            <v>0</v>
          </cell>
          <cell r="N48">
            <v>0.49999999999999994</v>
          </cell>
          <cell r="O48">
            <v>800</v>
          </cell>
          <cell r="P48">
            <v>251</v>
          </cell>
          <cell r="Q48">
            <v>1.75</v>
          </cell>
          <cell r="R48">
            <v>0.97389999999999999</v>
          </cell>
          <cell r="S48">
            <v>0.97</v>
          </cell>
          <cell r="T48">
            <v>2.4799999999999999E-2</v>
          </cell>
          <cell r="U48">
            <v>3.8390574430715891</v>
          </cell>
          <cell r="V48">
            <v>7.0000000000000001E-3</v>
          </cell>
          <cell r="W48">
            <v>3.812184040970088</v>
          </cell>
          <cell r="X48">
            <v>59.088852635036361</v>
          </cell>
          <cell r="Z48">
            <v>59.088852635036361</v>
          </cell>
          <cell r="AA48">
            <v>59.09650557620818</v>
          </cell>
          <cell r="AB48">
            <v>0</v>
          </cell>
          <cell r="AC48">
            <v>59.09650557620818</v>
          </cell>
          <cell r="AD48">
            <v>1</v>
          </cell>
          <cell r="AE48">
            <v>0</v>
          </cell>
          <cell r="AF48">
            <v>0.2954825278810409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0</v>
          </cell>
          <cell r="AQ48">
            <v>0</v>
          </cell>
          <cell r="AR48">
            <v>0</v>
          </cell>
          <cell r="AS48" t="str">
            <v>265/34</v>
          </cell>
          <cell r="AT48">
            <v>1</v>
          </cell>
          <cell r="AU48">
            <v>0</v>
          </cell>
          <cell r="AV48">
            <v>54</v>
          </cell>
          <cell r="AW48">
            <v>1</v>
          </cell>
          <cell r="AX48">
            <v>50</v>
          </cell>
          <cell r="AY48">
            <v>0.98267890848743711</v>
          </cell>
          <cell r="AZ48">
            <v>47.984211101441552</v>
          </cell>
          <cell r="BA48">
            <v>44.053495467491807</v>
          </cell>
          <cell r="BB48">
            <v>2.81</v>
          </cell>
          <cell r="BC48">
            <v>0.89815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10.039377580835332</v>
          </cell>
          <cell r="BI48">
            <v>1.0534982018433925</v>
          </cell>
          <cell r="BJ48" t="b">
            <v>0</v>
          </cell>
          <cell r="BK48">
            <v>1.0534982018433925</v>
          </cell>
          <cell r="BL48">
            <v>0.61083856582787055</v>
          </cell>
          <cell r="BM48" t="b">
            <v>0</v>
          </cell>
          <cell r="BN48">
            <v>0.61083856582787055</v>
          </cell>
          <cell r="BO48">
            <v>1.3041800028844404</v>
          </cell>
          <cell r="BP48">
            <v>0</v>
          </cell>
          <cell r="BQ48">
            <v>1.3071692373492485</v>
          </cell>
          <cell r="BR48">
            <v>0.69069711426077829</v>
          </cell>
          <cell r="BS48">
            <v>0</v>
          </cell>
          <cell r="BT48">
            <v>0.70306794612282952</v>
          </cell>
          <cell r="BU48">
            <v>1.0910475855436335</v>
          </cell>
          <cell r="BV48">
            <v>0</v>
          </cell>
          <cell r="BW48">
            <v>1.0967271310267688</v>
          </cell>
          <cell r="BX48">
            <v>0.15</v>
          </cell>
          <cell r="BY48">
            <v>0.8</v>
          </cell>
          <cell r="CA48">
            <v>1.1285969692438751</v>
          </cell>
          <cell r="CB48">
            <v>0</v>
          </cell>
          <cell r="CC48">
            <v>1.5911924997285392</v>
          </cell>
          <cell r="CD48">
            <v>0</v>
          </cell>
          <cell r="CE48">
            <v>3.3605191412313404</v>
          </cell>
          <cell r="CF48">
            <v>1.3131707003901321</v>
          </cell>
          <cell r="CG48">
            <v>0</v>
          </cell>
          <cell r="CH48">
            <v>1.3649304448538448</v>
          </cell>
          <cell r="CI48">
            <v>0</v>
          </cell>
          <cell r="CJ48">
            <v>2.0473484408412084</v>
          </cell>
          <cell r="CK48">
            <v>1.3796466760652075</v>
          </cell>
          <cell r="CL48">
            <v>0</v>
          </cell>
          <cell r="CM48">
            <v>1.3796466760652075</v>
          </cell>
          <cell r="CN48">
            <v>0</v>
          </cell>
          <cell r="CO48">
            <v>0.66770176477600085</v>
          </cell>
        </row>
        <row r="49">
          <cell r="D49" t="str">
            <v>75/34 TEX NIM _S1</v>
          </cell>
          <cell r="E49" t="str">
            <v>75</v>
          </cell>
          <cell r="F49" t="str">
            <v>34</v>
          </cell>
          <cell r="G49" t="str">
            <v>TEX</v>
          </cell>
          <cell r="H49" t="str">
            <v>NIM</v>
          </cell>
          <cell r="I49" t="str">
            <v xml:space="preserve"> </v>
          </cell>
          <cell r="J49" t="str">
            <v xml:space="preserve"> </v>
          </cell>
          <cell r="K49" t="str">
            <v>S1</v>
          </cell>
          <cell r="L49">
            <v>1</v>
          </cell>
          <cell r="M49">
            <v>0.79322783098456473</v>
          </cell>
          <cell r="N49">
            <v>0.20677216901543535</v>
          </cell>
          <cell r="O49">
            <v>900</v>
          </cell>
          <cell r="P49">
            <v>130</v>
          </cell>
          <cell r="Q49">
            <v>1.7709999999999999</v>
          </cell>
          <cell r="R49">
            <v>0.97389999999999999</v>
          </cell>
          <cell r="S49">
            <v>0.97</v>
          </cell>
          <cell r="T49">
            <v>2.4799999999999999E-2</v>
          </cell>
          <cell r="U49">
            <v>2.210376482407209</v>
          </cell>
          <cell r="V49">
            <v>6.4999999999999997E-3</v>
          </cell>
          <cell r="W49">
            <v>2.1960090352715622</v>
          </cell>
          <cell r="X49">
            <v>68.076280093418433</v>
          </cell>
          <cell r="Y49">
            <v>54</v>
          </cell>
          <cell r="Z49">
            <v>14.076280093418433</v>
          </cell>
          <cell r="AA49">
            <v>72.443011152416361</v>
          </cell>
          <cell r="AB49">
            <v>0.116865</v>
          </cell>
          <cell r="AC49">
            <v>72.326146152416356</v>
          </cell>
          <cell r="AD49">
            <v>1</v>
          </cell>
          <cell r="AE49">
            <v>0</v>
          </cell>
          <cell r="AF49">
            <v>0.3616307307620818</v>
          </cell>
          <cell r="AG49">
            <v>1.70278</v>
          </cell>
          <cell r="AH49">
            <v>90</v>
          </cell>
          <cell r="AI49">
            <v>43.86</v>
          </cell>
          <cell r="AJ49">
            <v>74.683930799999999</v>
          </cell>
          <cell r="AK49">
            <v>40.329322632</v>
          </cell>
          <cell r="AM49">
            <v>0.02</v>
          </cell>
          <cell r="AN49">
            <v>1.493678616</v>
          </cell>
          <cell r="AO49">
            <v>5.21</v>
          </cell>
          <cell r="AP49">
            <v>1.4705882352941178</v>
          </cell>
          <cell r="AQ49">
            <v>1.8415215813698631</v>
          </cell>
          <cell r="AR49">
            <v>0.14189946851999999</v>
          </cell>
          <cell r="AS49" t="str">
            <v>140/34</v>
          </cell>
          <cell r="AT49">
            <v>1</v>
          </cell>
          <cell r="AU49">
            <v>10.42108962</v>
          </cell>
          <cell r="AV49">
            <v>61</v>
          </cell>
          <cell r="AW49">
            <v>1</v>
          </cell>
          <cell r="AX49">
            <v>61</v>
          </cell>
          <cell r="AY49">
            <v>0.98218435443183194</v>
          </cell>
          <cell r="AZ49">
            <v>54.835352507929173</v>
          </cell>
          <cell r="BA49">
            <v>54.835352507929173</v>
          </cell>
          <cell r="BB49">
            <v>2.81</v>
          </cell>
          <cell r="BC49">
            <v>0.89815</v>
          </cell>
          <cell r="BD49">
            <v>0</v>
          </cell>
          <cell r="BE49">
            <v>0</v>
          </cell>
          <cell r="BF49">
            <v>0</v>
          </cell>
          <cell r="BG49">
            <v>16.403830010886853</v>
          </cell>
          <cell r="BH49">
            <v>12.421012913725097</v>
          </cell>
          <cell r="BI49">
            <v>1.8288308325477467</v>
          </cell>
          <cell r="BJ49" t="b">
            <v>0</v>
          </cell>
          <cell r="BK49">
            <v>1.8288308325477467</v>
          </cell>
          <cell r="BL49">
            <v>1.0603913712814492</v>
          </cell>
          <cell r="BM49" t="b">
            <v>0</v>
          </cell>
          <cell r="BN49">
            <v>1.0603913712814492</v>
          </cell>
          <cell r="BO49">
            <v>2.2640044342684451</v>
          </cell>
          <cell r="BP49">
            <v>0</v>
          </cell>
          <cell r="BQ49">
            <v>2.2691936259969072</v>
          </cell>
          <cell r="BR49">
            <v>1.1990226241502797</v>
          </cell>
          <cell r="BS49">
            <v>0</v>
          </cell>
          <cell r="BT49">
            <v>1.2204978945342213</v>
          </cell>
          <cell r="BU49">
            <v>1.8940150640291165</v>
          </cell>
          <cell r="BV49">
            <v>0</v>
          </cell>
          <cell r="BW49">
            <v>1.9038745283131944</v>
          </cell>
          <cell r="BX49">
            <v>0.15</v>
          </cell>
          <cell r="BY49">
            <v>0.8</v>
          </cell>
          <cell r="CA49">
            <v>1.9591992955104873</v>
          </cell>
          <cell r="CB49">
            <v>0</v>
          </cell>
          <cell r="CC49">
            <v>2.7622466739196803</v>
          </cell>
          <cell r="CD49">
            <v>6.0483663890993302</v>
          </cell>
          <cell r="CE49">
            <v>1.415549291937573</v>
          </cell>
          <cell r="CF49">
            <v>2.2796119263132799</v>
          </cell>
          <cell r="CG49">
            <v>0</v>
          </cell>
          <cell r="CH49">
            <v>2.3694647769345689</v>
          </cell>
          <cell r="CI49">
            <v>3.7687544627860503</v>
          </cell>
          <cell r="CJ49">
            <v>-0.86406263437570696</v>
          </cell>
          <cell r="CK49">
            <v>2.3950115669823813</v>
          </cell>
          <cell r="CL49">
            <v>0</v>
          </cell>
          <cell r="CM49">
            <v>2.3950115669823813</v>
          </cell>
          <cell r="CN49">
            <v>1.373742895803669</v>
          </cell>
          <cell r="CO49">
            <v>-3.2590742013580885</v>
          </cell>
        </row>
        <row r="50">
          <cell r="D50" t="str">
            <v>75/34 ROTO IM _S1</v>
          </cell>
          <cell r="E50" t="str">
            <v>75</v>
          </cell>
          <cell r="F50" t="str">
            <v>34</v>
          </cell>
          <cell r="G50" t="str">
            <v>ROTO</v>
          </cell>
          <cell r="H50" t="str">
            <v>IM</v>
          </cell>
          <cell r="I50" t="str">
            <v xml:space="preserve"> </v>
          </cell>
          <cell r="J50" t="str">
            <v xml:space="preserve"> </v>
          </cell>
          <cell r="K50" t="str">
            <v>S1</v>
          </cell>
          <cell r="L50">
            <v>1</v>
          </cell>
          <cell r="M50">
            <v>0.83491273580647174</v>
          </cell>
          <cell r="N50">
            <v>0.16508726419352832</v>
          </cell>
          <cell r="O50">
            <v>850</v>
          </cell>
          <cell r="P50">
            <v>118</v>
          </cell>
          <cell r="Q50">
            <v>1.6919999999999999</v>
          </cell>
          <cell r="R50">
            <v>0.97389999999999999</v>
          </cell>
          <cell r="S50">
            <v>0.97</v>
          </cell>
          <cell r="T50">
            <v>2.4799999999999999E-2</v>
          </cell>
          <cell r="U50">
            <v>1.9833507509416848</v>
          </cell>
          <cell r="V50">
            <v>6.4999999999999997E-3</v>
          </cell>
          <cell r="W50">
            <v>1.970458971060564</v>
          </cell>
          <cell r="X50">
            <v>61.084228102877482</v>
          </cell>
          <cell r="Y50">
            <v>51</v>
          </cell>
          <cell r="Z50">
            <v>10.084228102877482</v>
          </cell>
          <cell r="AA50">
            <v>76.159516728624538</v>
          </cell>
          <cell r="AB50">
            <v>0.31474000000000008</v>
          </cell>
          <cell r="AC50">
            <v>75.844776728624538</v>
          </cell>
          <cell r="AD50">
            <v>1</v>
          </cell>
          <cell r="AE50">
            <v>0</v>
          </cell>
          <cell r="AF50">
            <v>0.37922388364312271</v>
          </cell>
          <cell r="AG50">
            <v>1.816667</v>
          </cell>
          <cell r="AH50">
            <v>90</v>
          </cell>
          <cell r="AI50">
            <v>43.86</v>
          </cell>
          <cell r="AJ50">
            <v>79.679014620000004</v>
          </cell>
          <cell r="AK50">
            <v>40.636297456199998</v>
          </cell>
          <cell r="AM50">
            <v>1.32E-2</v>
          </cell>
          <cell r="AN50">
            <v>1.051762992984</v>
          </cell>
          <cell r="AO50">
            <v>5.5</v>
          </cell>
          <cell r="AP50">
            <v>1.4705882352941178</v>
          </cell>
          <cell r="AQ50">
            <v>1.9646880317260274</v>
          </cell>
          <cell r="AR50">
            <v>0.15139012777800001</v>
          </cell>
          <cell r="AS50" t="str">
            <v>126/34</v>
          </cell>
          <cell r="AT50">
            <v>1</v>
          </cell>
          <cell r="AU50">
            <v>11.126852193</v>
          </cell>
          <cell r="AV50">
            <v>62</v>
          </cell>
          <cell r="AW50">
            <v>1</v>
          </cell>
          <cell r="AX50">
            <v>62</v>
          </cell>
          <cell r="AY50">
            <v>0.98218435443183194</v>
          </cell>
          <cell r="AZ50">
            <v>55.81753686236101</v>
          </cell>
          <cell r="BA50">
            <v>55.81753686236101</v>
          </cell>
          <cell r="BB50">
            <v>2.81</v>
          </cell>
          <cell r="BC50">
            <v>0.89815</v>
          </cell>
          <cell r="BD50">
            <v>3.7270941082079747</v>
          </cell>
          <cell r="BE50">
            <v>0</v>
          </cell>
          <cell r="BF50">
            <v>3.7270941082079747</v>
          </cell>
          <cell r="BG50">
            <v>17.41465645464887</v>
          </cell>
          <cell r="BH50">
            <v>11.212771874412432</v>
          </cell>
          <cell r="BI50">
            <v>2.0381693256452107</v>
          </cell>
          <cell r="BJ50" t="b">
            <v>0</v>
          </cell>
          <cell r="BK50">
            <v>2.0381693256452107</v>
          </cell>
          <cell r="BL50">
            <v>1.1817698650201895</v>
          </cell>
          <cell r="BM50" t="b">
            <v>0</v>
          </cell>
          <cell r="BN50">
            <v>1.1817698650201895</v>
          </cell>
          <cell r="BO50">
            <v>2.5231554001210283</v>
          </cell>
          <cell r="BP50">
            <v>0</v>
          </cell>
          <cell r="BQ50">
            <v>2.5289385765732257</v>
          </cell>
          <cell r="BR50">
            <v>1.3362696482392795</v>
          </cell>
          <cell r="BS50">
            <v>0</v>
          </cell>
          <cell r="BT50">
            <v>1.3602031015568348</v>
          </cell>
          <cell r="BU50">
            <v>2.1108149190793517</v>
          </cell>
          <cell r="BV50">
            <v>0</v>
          </cell>
          <cell r="BW50">
            <v>2.1218029543385271</v>
          </cell>
          <cell r="BX50">
            <v>0.15</v>
          </cell>
          <cell r="BY50">
            <v>0.8</v>
          </cell>
          <cell r="CA50">
            <v>2.1834605125134932</v>
          </cell>
          <cell r="CB50">
            <v>0</v>
          </cell>
          <cell r="CC50">
            <v>3.0784293114774002</v>
          </cell>
          <cell r="CD50">
            <v>5.8910167840303167</v>
          </cell>
          <cell r="CE50">
            <v>-0.96086779620612117</v>
          </cell>
          <cell r="CF50">
            <v>2.5405494154503296</v>
          </cell>
          <cell r="CG50">
            <v>0</v>
          </cell>
          <cell r="CH50">
            <v>2.6406873400187632</v>
          </cell>
          <cell r="CI50">
            <v>3.3504673685799871</v>
          </cell>
          <cell r="CJ50">
            <v>-3.5014172116564506</v>
          </cell>
          <cell r="CK50">
            <v>2.6691583625526585</v>
          </cell>
          <cell r="CL50">
            <v>0</v>
          </cell>
          <cell r="CM50">
            <v>2.6691583625526585</v>
          </cell>
          <cell r="CN50">
            <v>0.68130900602732858</v>
          </cell>
          <cell r="CO50">
            <v>-6.1705755742091091</v>
          </cell>
        </row>
        <row r="51">
          <cell r="D51" t="str">
            <v>80/34 TEX NIM _S1</v>
          </cell>
          <cell r="E51" t="str">
            <v>80</v>
          </cell>
          <cell r="F51" t="str">
            <v>34</v>
          </cell>
          <cell r="G51" t="str">
            <v>TEX</v>
          </cell>
          <cell r="H51" t="str">
            <v>NIM</v>
          </cell>
          <cell r="I51" t="str">
            <v xml:space="preserve"> </v>
          </cell>
          <cell r="J51" t="str">
            <v xml:space="preserve"> </v>
          </cell>
          <cell r="K51" t="str">
            <v>S1</v>
          </cell>
          <cell r="L51">
            <v>0.5</v>
          </cell>
          <cell r="M51">
            <v>0</v>
          </cell>
          <cell r="N51">
            <v>0.49999999999999994</v>
          </cell>
          <cell r="O51">
            <v>900</v>
          </cell>
          <cell r="P51">
            <v>134</v>
          </cell>
          <cell r="Q51">
            <v>1.7450000000000001</v>
          </cell>
          <cell r="R51">
            <v>0.97389999999999999</v>
          </cell>
          <cell r="S51">
            <v>0.97</v>
          </cell>
          <cell r="T51">
            <v>2.4799999999999999E-2</v>
          </cell>
          <cell r="U51">
            <v>2.3123353958385913</v>
          </cell>
          <cell r="V51">
            <v>6.4999999999999997E-3</v>
          </cell>
          <cell r="W51">
            <v>2.2973052157656406</v>
          </cell>
          <cell r="X51">
            <v>35.608230844367426</v>
          </cell>
          <cell r="Z51">
            <v>35.608230844367426</v>
          </cell>
          <cell r="AA51">
            <v>71.703011152416352</v>
          </cell>
          <cell r="AB51">
            <v>0.116865</v>
          </cell>
          <cell r="AC51">
            <v>71.586146152416347</v>
          </cell>
          <cell r="AD51">
            <v>1</v>
          </cell>
          <cell r="AE51">
            <v>0</v>
          </cell>
          <cell r="AF51">
            <v>0.35793073076208176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P51">
            <v>0</v>
          </cell>
          <cell r="AQ51">
            <v>0</v>
          </cell>
          <cell r="AR51">
            <v>0</v>
          </cell>
          <cell r="AS51" t="str">
            <v>140/34</v>
          </cell>
          <cell r="AT51">
            <v>1</v>
          </cell>
          <cell r="AU51">
            <v>0</v>
          </cell>
          <cell r="AV51">
            <v>61</v>
          </cell>
          <cell r="AW51">
            <v>1</v>
          </cell>
          <cell r="AX51">
            <v>61</v>
          </cell>
          <cell r="AY51">
            <v>0.98218435443183194</v>
          </cell>
          <cell r="AZ51">
            <v>54.835352507929173</v>
          </cell>
          <cell r="BA51">
            <v>54.835352507929173</v>
          </cell>
          <cell r="BB51">
            <v>2.81</v>
          </cell>
          <cell r="BC51">
            <v>0.89815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11.684712913725097</v>
          </cell>
          <cell r="BI51">
            <v>1.7481913176780817</v>
          </cell>
          <cell r="BJ51" t="b">
            <v>0</v>
          </cell>
          <cell r="BK51">
            <v>1.7481913176780817</v>
          </cell>
          <cell r="BL51">
            <v>1.0136350260633453</v>
          </cell>
          <cell r="BM51" t="b">
            <v>0</v>
          </cell>
          <cell r="BN51">
            <v>1.0136350260633453</v>
          </cell>
          <cell r="BO51">
            <v>2.1641766011014805</v>
          </cell>
          <cell r="BP51">
            <v>0</v>
          </cell>
          <cell r="BQ51">
            <v>2.1691369833107119</v>
          </cell>
          <cell r="BR51">
            <v>1.1461535446222766</v>
          </cell>
          <cell r="BS51">
            <v>0</v>
          </cell>
          <cell r="BT51">
            <v>1.1666818956112497</v>
          </cell>
          <cell r="BU51">
            <v>1.8105013495832738</v>
          </cell>
          <cell r="BV51">
            <v>0</v>
          </cell>
          <cell r="BW51">
            <v>1.819926075780814</v>
          </cell>
          <cell r="BX51">
            <v>0.15</v>
          </cell>
          <cell r="BY51">
            <v>0.8</v>
          </cell>
          <cell r="CA51">
            <v>1.8728113814884666</v>
          </cell>
          <cell r="CB51">
            <v>0</v>
          </cell>
          <cell r="CC51">
            <v>2.6404496067601548</v>
          </cell>
          <cell r="CD51">
            <v>0</v>
          </cell>
          <cell r="CE51">
            <v>1.129243693188172</v>
          </cell>
          <cell r="CF51">
            <v>2.1790959045153997</v>
          </cell>
          <cell r="CG51">
            <v>0</v>
          </cell>
          <cell r="CH51">
            <v>2.2649868303075542</v>
          </cell>
          <cell r="CI51">
            <v>0</v>
          </cell>
          <cell r="CJ51">
            <v>-1.0498522113272277</v>
          </cell>
          <cell r="CK51">
            <v>2.2894071734914636</v>
          </cell>
          <cell r="CL51">
            <v>0</v>
          </cell>
          <cell r="CM51">
            <v>2.2894071734914636</v>
          </cell>
          <cell r="CN51">
            <v>0</v>
          </cell>
          <cell r="CO51">
            <v>-3.3392593848186913</v>
          </cell>
        </row>
        <row r="52">
          <cell r="D52" t="str">
            <v>80/34 TEX NIM CLQ_S1</v>
          </cell>
          <cell r="E52" t="str">
            <v>80</v>
          </cell>
          <cell r="F52" t="str">
            <v>34</v>
          </cell>
          <cell r="G52" t="str">
            <v>TEX</v>
          </cell>
          <cell r="H52" t="str">
            <v>NIM</v>
          </cell>
          <cell r="I52" t="str">
            <v xml:space="preserve"> </v>
          </cell>
          <cell r="J52" t="str">
            <v>CLQ</v>
          </cell>
          <cell r="K52" t="str">
            <v>S1</v>
          </cell>
          <cell r="L52">
            <v>0.5</v>
          </cell>
          <cell r="M52">
            <v>0</v>
          </cell>
          <cell r="N52">
            <v>0.49999999999999994</v>
          </cell>
          <cell r="O52">
            <v>900</v>
          </cell>
          <cell r="P52">
            <v>134</v>
          </cell>
          <cell r="Q52">
            <v>1.7450000000000001</v>
          </cell>
          <cell r="R52">
            <v>0.97389999999999999</v>
          </cell>
          <cell r="S52">
            <v>0.97</v>
          </cell>
          <cell r="T52">
            <v>2.4799999999999999E-2</v>
          </cell>
          <cell r="U52">
            <v>2.3123353958385913</v>
          </cell>
          <cell r="V52">
            <v>6.4999999999999997E-3</v>
          </cell>
          <cell r="W52">
            <v>2.2973052157656406</v>
          </cell>
          <cell r="X52">
            <v>35.608230844367426</v>
          </cell>
          <cell r="Z52">
            <v>35.608230844367426</v>
          </cell>
          <cell r="AA52">
            <v>69.473011152416348</v>
          </cell>
          <cell r="AB52">
            <v>0</v>
          </cell>
          <cell r="AC52">
            <v>69.473011152416348</v>
          </cell>
          <cell r="AD52">
            <v>1</v>
          </cell>
          <cell r="AE52">
            <v>0</v>
          </cell>
          <cell r="AF52">
            <v>0.34736505576208176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P52">
            <v>0</v>
          </cell>
          <cell r="AQ52">
            <v>0</v>
          </cell>
          <cell r="AR52">
            <v>0</v>
          </cell>
          <cell r="AS52" t="str">
            <v>140/34</v>
          </cell>
          <cell r="AT52">
            <v>1</v>
          </cell>
          <cell r="AU52">
            <v>0</v>
          </cell>
          <cell r="AV52">
            <v>61</v>
          </cell>
          <cell r="AW52">
            <v>1</v>
          </cell>
          <cell r="AX52">
            <v>57</v>
          </cell>
          <cell r="AY52">
            <v>0.98218435443183194</v>
          </cell>
          <cell r="AZ52">
            <v>54.835352507929173</v>
          </cell>
          <cell r="BA52">
            <v>50.906615090201846</v>
          </cell>
          <cell r="BB52">
            <v>2.81</v>
          </cell>
          <cell r="BC52">
            <v>0.89815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13.510881006452419</v>
          </cell>
          <cell r="BI52">
            <v>1.7481913176780817</v>
          </cell>
          <cell r="BJ52" t="b">
            <v>0</v>
          </cell>
          <cell r="BK52">
            <v>1.7481913176780817</v>
          </cell>
          <cell r="BL52">
            <v>1.0136350260633453</v>
          </cell>
          <cell r="BM52" t="b">
            <v>0</v>
          </cell>
          <cell r="BN52">
            <v>1.0136350260633453</v>
          </cell>
          <cell r="BO52">
            <v>2.1641766011014805</v>
          </cell>
          <cell r="BP52">
            <v>0</v>
          </cell>
          <cell r="BQ52">
            <v>2.1691369833107119</v>
          </cell>
          <cell r="BR52">
            <v>1.1461535446222766</v>
          </cell>
          <cell r="BS52">
            <v>0</v>
          </cell>
          <cell r="BT52">
            <v>1.1666818956112497</v>
          </cell>
          <cell r="BU52">
            <v>1.8105013495832738</v>
          </cell>
          <cell r="BV52">
            <v>0</v>
          </cell>
          <cell r="BW52">
            <v>1.819926075780814</v>
          </cell>
          <cell r="BX52">
            <v>0.15</v>
          </cell>
          <cell r="BY52">
            <v>0.8</v>
          </cell>
          <cell r="CA52">
            <v>1.8728113814884666</v>
          </cell>
          <cell r="CB52">
            <v>0</v>
          </cell>
          <cell r="CC52">
            <v>2.6404496067601548</v>
          </cell>
          <cell r="CD52">
            <v>0</v>
          </cell>
          <cell r="CE52">
            <v>2.9554117859154938</v>
          </cell>
          <cell r="CF52">
            <v>2.1790959045153997</v>
          </cell>
          <cell r="CG52">
            <v>0</v>
          </cell>
          <cell r="CH52">
            <v>2.2649868303075542</v>
          </cell>
          <cell r="CI52">
            <v>0</v>
          </cell>
          <cell r="CJ52">
            <v>0.77631588140009411</v>
          </cell>
          <cell r="CK52">
            <v>2.2894071734914636</v>
          </cell>
          <cell r="CL52">
            <v>0</v>
          </cell>
          <cell r="CM52">
            <v>2.2894071734914636</v>
          </cell>
          <cell r="CN52">
            <v>0</v>
          </cell>
          <cell r="CO52">
            <v>-1.5130912920913695</v>
          </cell>
        </row>
        <row r="53">
          <cell r="D53" t="str">
            <v>100/34 TEX NIM _S1</v>
          </cell>
          <cell r="E53" t="str">
            <v>100</v>
          </cell>
          <cell r="F53" t="str">
            <v>34</v>
          </cell>
          <cell r="G53" t="str">
            <v>TEX</v>
          </cell>
          <cell r="H53" t="str">
            <v>NIM</v>
          </cell>
          <cell r="I53" t="str">
            <v xml:space="preserve"> </v>
          </cell>
          <cell r="J53" t="str">
            <v xml:space="preserve"> </v>
          </cell>
          <cell r="K53" t="str">
            <v>S1</v>
          </cell>
          <cell r="L53">
            <v>2</v>
          </cell>
          <cell r="M53">
            <v>0.43470947063054477</v>
          </cell>
          <cell r="N53">
            <v>1.565290529369455</v>
          </cell>
          <cell r="O53">
            <v>850</v>
          </cell>
          <cell r="P53">
            <v>172</v>
          </cell>
          <cell r="Q53">
            <v>1.77</v>
          </cell>
          <cell r="R53">
            <v>0.97389999999999999</v>
          </cell>
          <cell r="S53">
            <v>0.97</v>
          </cell>
          <cell r="T53">
            <v>2.4799999999999999E-2</v>
          </cell>
          <cell r="U53">
            <v>2.7635864643400025</v>
          </cell>
          <cell r="V53">
            <v>6.4999999999999997E-3</v>
          </cell>
          <cell r="W53">
            <v>2.7456231523217927</v>
          </cell>
          <cell r="X53">
            <v>170.22863544395113</v>
          </cell>
          <cell r="Y53">
            <v>37</v>
          </cell>
          <cell r="Z53">
            <v>133.22863544395113</v>
          </cell>
          <cell r="AA53">
            <v>68.733011152416353</v>
          </cell>
          <cell r="AB53">
            <v>0.116865</v>
          </cell>
          <cell r="AC53">
            <v>68.616146152416349</v>
          </cell>
          <cell r="AD53">
            <v>1</v>
          </cell>
          <cell r="AE53">
            <v>0</v>
          </cell>
          <cell r="AF53">
            <v>0.34308073076208173</v>
          </cell>
          <cell r="AG53">
            <v>1.5581100000000001</v>
          </cell>
          <cell r="AH53">
            <v>90</v>
          </cell>
          <cell r="AI53">
            <v>43.86</v>
          </cell>
          <cell r="AJ53">
            <v>68.3387046</v>
          </cell>
          <cell r="AK53">
            <v>25.285320702</v>
          </cell>
          <cell r="AM53">
            <v>2.5999999999999999E-3</v>
          </cell>
          <cell r="AN53">
            <v>0.17768063196</v>
          </cell>
          <cell r="AO53">
            <v>2.38</v>
          </cell>
          <cell r="AP53">
            <v>1.4705882352941178</v>
          </cell>
          <cell r="AQ53">
            <v>1.6850639490410957</v>
          </cell>
          <cell r="AR53">
            <v>0.12984353873999999</v>
          </cell>
          <cell r="AS53" t="str">
            <v>150/34</v>
          </cell>
          <cell r="AT53">
            <v>1</v>
          </cell>
          <cell r="AU53">
            <v>9.8938056900000007</v>
          </cell>
          <cell r="AV53">
            <v>59</v>
          </cell>
          <cell r="AW53">
            <v>1</v>
          </cell>
          <cell r="AX53">
            <v>59</v>
          </cell>
          <cell r="AY53">
            <v>0.98218435443183194</v>
          </cell>
          <cell r="AZ53">
            <v>52.870983799065513</v>
          </cell>
          <cell r="BA53">
            <v>52.870983799065513</v>
          </cell>
          <cell r="BB53">
            <v>2.81</v>
          </cell>
          <cell r="BC53">
            <v>0.89815</v>
          </cell>
          <cell r="BD53">
            <v>0</v>
          </cell>
          <cell r="BE53">
            <v>0</v>
          </cell>
          <cell r="BF53">
            <v>0</v>
          </cell>
          <cell r="BG53">
            <v>15.810200135899271</v>
          </cell>
          <cell r="BH53">
            <v>10.693931622588753</v>
          </cell>
          <cell r="BI53">
            <v>1.4627386241487255</v>
          </cell>
          <cell r="BJ53" t="b">
            <v>0</v>
          </cell>
          <cell r="BK53">
            <v>1.4627386241487255</v>
          </cell>
          <cell r="BL53">
            <v>0.84812405165249871</v>
          </cell>
          <cell r="BM53" t="b">
            <v>0</v>
          </cell>
          <cell r="BN53">
            <v>0.84812405165249871</v>
          </cell>
          <cell r="BO53">
            <v>1.810799923268452</v>
          </cell>
          <cell r="BP53">
            <v>0</v>
          </cell>
          <cell r="BQ53">
            <v>1.8149503515279977</v>
          </cell>
          <cell r="BR53">
            <v>0.95900433892481696</v>
          </cell>
          <cell r="BS53">
            <v>0</v>
          </cell>
          <cell r="BT53">
            <v>0.97618072664508937</v>
          </cell>
          <cell r="BU53">
            <v>1.514874388362861</v>
          </cell>
          <cell r="BV53">
            <v>0</v>
          </cell>
          <cell r="BW53">
            <v>1.5227602020559978</v>
          </cell>
          <cell r="BX53">
            <v>0.15</v>
          </cell>
          <cell r="BY53">
            <v>0.8</v>
          </cell>
          <cell r="CA53">
            <v>1.5670101525769975</v>
          </cell>
          <cell r="CB53">
            <v>0</v>
          </cell>
          <cell r="CC53">
            <v>2.2093048889272695</v>
          </cell>
          <cell r="CD53">
            <v>7.4976486569649179</v>
          </cell>
          <cell r="CE53">
            <v>1.7313801436544005</v>
          </cell>
          <cell r="CF53">
            <v>1.8232831344183154</v>
          </cell>
          <cell r="CG53">
            <v>0</v>
          </cell>
          <cell r="CH53">
            <v>1.895149396050906</v>
          </cell>
          <cell r="CI53">
            <v>5.6743655225466023</v>
          </cell>
          <cell r="CJ53">
            <v>-9.1902990763914838E-2</v>
          </cell>
          <cell r="CK53">
            <v>1.915582273636361</v>
          </cell>
          <cell r="CL53">
            <v>0</v>
          </cell>
          <cell r="CM53">
            <v>1.915582273636361</v>
          </cell>
          <cell r="CN53">
            <v>3.7587832489102411</v>
          </cell>
          <cell r="CO53">
            <v>-2.0074852644002759</v>
          </cell>
        </row>
        <row r="54">
          <cell r="D54" t="str">
            <v>150/100 TEX SIM _S1</v>
          </cell>
          <cell r="E54" t="str">
            <v>150</v>
          </cell>
          <cell r="F54" t="str">
            <v>100</v>
          </cell>
          <cell r="G54" t="str">
            <v>TEX</v>
          </cell>
          <cell r="H54" t="str">
            <v>SIM</v>
          </cell>
          <cell r="I54" t="str">
            <v xml:space="preserve"> </v>
          </cell>
          <cell r="J54" t="str">
            <v xml:space="preserve"> </v>
          </cell>
          <cell r="K54" t="str">
            <v>S1</v>
          </cell>
          <cell r="L54">
            <v>1</v>
          </cell>
          <cell r="M54">
            <v>3.4529134687146017E-2</v>
          </cell>
          <cell r="N54">
            <v>0.96547086531285387</v>
          </cell>
          <cell r="O54">
            <v>550</v>
          </cell>
          <cell r="P54">
            <v>252</v>
          </cell>
          <cell r="Q54">
            <v>1.643</v>
          </cell>
          <cell r="R54">
            <v>0.97389999999999999</v>
          </cell>
          <cell r="S54">
            <v>0.97</v>
          </cell>
          <cell r="T54">
            <v>2.4799999999999999E-2</v>
          </cell>
          <cell r="U54">
            <v>2.8224393443178415</v>
          </cell>
          <cell r="V54">
            <v>7.0000000000000001E-3</v>
          </cell>
          <cell r="W54">
            <v>2.8026822689076165</v>
          </cell>
          <cell r="X54">
            <v>86.883150336136111</v>
          </cell>
          <cell r="Y54">
            <v>3</v>
          </cell>
          <cell r="Z54">
            <v>83.883150336136111</v>
          </cell>
          <cell r="AA54">
            <v>71.526022304832708</v>
          </cell>
          <cell r="AB54">
            <v>0.116865</v>
          </cell>
          <cell r="AC54">
            <v>71.409157304832704</v>
          </cell>
          <cell r="AD54">
            <v>1</v>
          </cell>
          <cell r="AE54">
            <v>0</v>
          </cell>
          <cell r="AF54">
            <v>0.35704578652416352</v>
          </cell>
          <cell r="AG54">
            <v>1.65</v>
          </cell>
          <cell r="AH54">
            <v>60</v>
          </cell>
          <cell r="AI54">
            <v>43.71</v>
          </cell>
          <cell r="AJ54">
            <v>72.121499999999997</v>
          </cell>
          <cell r="AK54">
            <v>2.1636449999999998</v>
          </cell>
          <cell r="AM54">
            <v>0.03</v>
          </cell>
          <cell r="AN54">
            <v>2.1636449999999998</v>
          </cell>
          <cell r="AO54">
            <v>4.7699999999999996</v>
          </cell>
          <cell r="AP54">
            <v>1.4705882352941178</v>
          </cell>
          <cell r="AQ54">
            <v>1.1855589041095891</v>
          </cell>
          <cell r="AR54">
            <v>0.13703084999999998</v>
          </cell>
          <cell r="AS54" t="str">
            <v>265/100</v>
          </cell>
          <cell r="AT54">
            <v>1</v>
          </cell>
          <cell r="AU54">
            <v>10.102725</v>
          </cell>
          <cell r="AV54">
            <v>57</v>
          </cell>
          <cell r="AW54">
            <v>1</v>
          </cell>
          <cell r="AX54">
            <v>57</v>
          </cell>
          <cell r="AY54">
            <v>0.98267890848743711</v>
          </cell>
          <cell r="AZ54">
            <v>50.932247826903861</v>
          </cell>
          <cell r="BA54">
            <v>50.932247826903861</v>
          </cell>
          <cell r="BB54">
            <v>2.81</v>
          </cell>
          <cell r="BC54">
            <v>0.89815</v>
          </cell>
          <cell r="BD54">
            <v>0.87345922190076775</v>
          </cell>
          <cell r="BE54">
            <v>0</v>
          </cell>
          <cell r="BF54">
            <v>0.87345922190076775</v>
          </cell>
          <cell r="BG54">
            <v>16.983544961791662</v>
          </cell>
          <cell r="BH54">
            <v>14.538254469503908</v>
          </cell>
          <cell r="BI54">
            <v>1.4329590895165603</v>
          </cell>
          <cell r="BJ54" t="b">
            <v>0</v>
          </cell>
          <cell r="BK54">
            <v>1.4329590895165603</v>
          </cell>
          <cell r="BL54">
            <v>0.83085730340945108</v>
          </cell>
          <cell r="BM54" t="b">
            <v>0</v>
          </cell>
          <cell r="BN54">
            <v>0.83085730340945108</v>
          </cell>
          <cell r="BO54">
            <v>1.7739342945521268</v>
          </cell>
          <cell r="BP54">
            <v>0</v>
          </cell>
          <cell r="BQ54">
            <v>1.778000225267099</v>
          </cell>
          <cell r="BR54">
            <v>0.93948020627943152</v>
          </cell>
          <cell r="BS54">
            <v>0</v>
          </cell>
          <cell r="BT54">
            <v>0.95630690416139186</v>
          </cell>
          <cell r="BU54">
            <v>1.4840334345746298</v>
          </cell>
          <cell r="BV54">
            <v>0</v>
          </cell>
          <cell r="BW54">
            <v>1.4917587029330766</v>
          </cell>
          <cell r="BX54">
            <v>0.15</v>
          </cell>
          <cell r="BY54">
            <v>0.8</v>
          </cell>
          <cell r="CA54">
            <v>1.5351077796327002</v>
          </cell>
          <cell r="CB54">
            <v>0</v>
          </cell>
          <cell r="CC54">
            <v>2.16432619596966</v>
          </cell>
          <cell r="CD54">
            <v>8.8371728538267629</v>
          </cell>
          <cell r="CE54">
            <v>5.7418823615390089</v>
          </cell>
          <cell r="CF54">
            <v>1.7861633630871576</v>
          </cell>
          <cell r="CG54">
            <v>0</v>
          </cell>
          <cell r="CH54">
            <v>1.8565665172364016</v>
          </cell>
          <cell r="CI54">
            <v>7.051009490739605</v>
          </cell>
          <cell r="CJ54">
            <v>3.955718998451851</v>
          </cell>
          <cell r="CK54">
            <v>1.8765834069101099</v>
          </cell>
          <cell r="CL54">
            <v>0</v>
          </cell>
          <cell r="CM54">
            <v>1.8765834069101099</v>
          </cell>
          <cell r="CN54">
            <v>5.1744260838294949</v>
          </cell>
          <cell r="CO54">
            <v>2.0791355915417409</v>
          </cell>
        </row>
        <row r="56">
          <cell r="D56" t="str">
            <v>75/34 TEX SIM _B2</v>
          </cell>
          <cell r="E56" t="str">
            <v>75</v>
          </cell>
          <cell r="F56" t="str">
            <v>34</v>
          </cell>
          <cell r="G56" t="str">
            <v>TEX</v>
          </cell>
          <cell r="H56" t="str">
            <v>SIM</v>
          </cell>
          <cell r="I56" t="str">
            <v xml:space="preserve"> </v>
          </cell>
          <cell r="J56" t="str">
            <v xml:space="preserve"> </v>
          </cell>
          <cell r="K56" t="str">
            <v>B2</v>
          </cell>
          <cell r="L56">
            <v>1</v>
          </cell>
          <cell r="M56">
            <v>0.63531283022945939</v>
          </cell>
          <cell r="N56">
            <v>0.36468716977054066</v>
          </cell>
          <cell r="O56">
            <v>950</v>
          </cell>
          <cell r="P56">
            <v>131</v>
          </cell>
          <cell r="Q56">
            <v>1.7749999999999999</v>
          </cell>
          <cell r="R56">
            <v>0.97389999999999999</v>
          </cell>
          <cell r="S56">
            <v>0.97</v>
          </cell>
          <cell r="T56">
            <v>2.4799999999999999E-2</v>
          </cell>
          <cell r="U56">
            <v>2.6064715251137973</v>
          </cell>
          <cell r="V56">
            <v>6.4999999999999997E-3</v>
          </cell>
          <cell r="W56">
            <v>2.5895294602005579</v>
          </cell>
          <cell r="X56">
            <v>80.275413266217299</v>
          </cell>
          <cell r="Y56">
            <v>51</v>
          </cell>
          <cell r="Z56">
            <v>29.275413266217299</v>
          </cell>
          <cell r="AA56">
            <v>72.443011152416361</v>
          </cell>
          <cell r="AB56">
            <v>0.116865</v>
          </cell>
          <cell r="AC56">
            <v>72.326146152416356</v>
          </cell>
          <cell r="AD56">
            <v>1</v>
          </cell>
          <cell r="AE56">
            <v>0</v>
          </cell>
          <cell r="AF56">
            <v>0.3616307307620818</v>
          </cell>
          <cell r="AG56">
            <v>1.75</v>
          </cell>
          <cell r="AH56">
            <v>90</v>
          </cell>
          <cell r="AI56">
            <v>43.86</v>
          </cell>
          <cell r="AJ56">
            <v>76.754999999999995</v>
          </cell>
          <cell r="AK56">
            <v>39.145049999999998</v>
          </cell>
          <cell r="AN56">
            <v>0</v>
          </cell>
          <cell r="AO56">
            <v>4.7699999999999996</v>
          </cell>
          <cell r="AP56">
            <v>1.4705882352941178</v>
          </cell>
          <cell r="AQ56">
            <v>1.8925890410958901</v>
          </cell>
          <cell r="AR56">
            <v>0.14583449999999998</v>
          </cell>
          <cell r="AS56" t="str">
            <v>140/34</v>
          </cell>
          <cell r="AT56">
            <v>1</v>
          </cell>
          <cell r="AU56">
            <v>10.797749999999999</v>
          </cell>
          <cell r="AV56">
            <v>61</v>
          </cell>
          <cell r="AW56">
            <v>1</v>
          </cell>
          <cell r="AX56">
            <v>61</v>
          </cell>
          <cell r="AY56">
            <v>0.98218435443183194</v>
          </cell>
          <cell r="AZ56">
            <v>54.835352507929173</v>
          </cell>
          <cell r="BA56">
            <v>54.835352507929173</v>
          </cell>
          <cell r="BB56">
            <v>2.81</v>
          </cell>
          <cell r="BC56">
            <v>0.89815</v>
          </cell>
          <cell r="BD56">
            <v>0</v>
          </cell>
          <cell r="BE56">
            <v>1.0495118813104305</v>
          </cell>
          <cell r="BF56">
            <v>1.0495118813104305</v>
          </cell>
          <cell r="BG56">
            <v>19.680723834370379</v>
          </cell>
          <cell r="BH56">
            <v>11.371501032414667</v>
          </cell>
          <cell r="BI56" t="b">
            <v>0</v>
          </cell>
          <cell r="BJ56">
            <v>1.8721263232531966</v>
          </cell>
          <cell r="BK56">
            <v>1.8721263232531966</v>
          </cell>
          <cell r="BL56" t="b">
            <v>0</v>
          </cell>
          <cell r="BM56">
            <v>1.1033444110427588</v>
          </cell>
          <cell r="BN56">
            <v>1.1033444110427588</v>
          </cell>
          <cell r="BO56">
            <v>0</v>
          </cell>
          <cell r="BP56">
            <v>1.9344118948443207</v>
          </cell>
          <cell r="BQ56">
            <v>1.9243533553327103</v>
          </cell>
          <cell r="BR56">
            <v>0</v>
          </cell>
          <cell r="BS56">
            <v>1.076650594646563</v>
          </cell>
          <cell r="BT56">
            <v>1.0350237157446691</v>
          </cell>
          <cell r="BU56">
            <v>0</v>
          </cell>
          <cell r="BV56">
            <v>1.6336615634471814</v>
          </cell>
          <cell r="BW56">
            <v>1.6145503383751223</v>
          </cell>
          <cell r="BX56">
            <v>0.15</v>
          </cell>
          <cell r="BY56">
            <v>0.8</v>
          </cell>
          <cell r="CA56">
            <v>0</v>
          </cell>
          <cell r="CB56">
            <v>3.8990767816043288</v>
          </cell>
          <cell r="CC56">
            <v>2.3424791054922527</v>
          </cell>
          <cell r="CD56">
            <v>8.0114522655320304</v>
          </cell>
          <cell r="CE56">
            <v>-0.9477705364236817</v>
          </cell>
          <cell r="CF56">
            <v>0</v>
          </cell>
          <cell r="CG56">
            <v>2.1835541812088142</v>
          </cell>
          <cell r="CH56">
            <v>2.0093867008962438</v>
          </cell>
          <cell r="CI56">
            <v>5.8278980843232162</v>
          </cell>
          <cell r="CJ56">
            <v>-3.1313247176324959</v>
          </cell>
          <cell r="CK56">
            <v>0</v>
          </cell>
          <cell r="CL56">
            <v>2.0310512475366349</v>
          </cell>
          <cell r="CM56">
            <v>2.0310512475366349</v>
          </cell>
          <cell r="CN56">
            <v>3.7968468367865813</v>
          </cell>
          <cell r="CO56">
            <v>-5.1623759651691312</v>
          </cell>
        </row>
        <row r="57">
          <cell r="D57" t="str">
            <v>80/34 TEX NIM _B2</v>
          </cell>
          <cell r="E57" t="str">
            <v>80</v>
          </cell>
          <cell r="F57" t="str">
            <v>34</v>
          </cell>
          <cell r="G57" t="str">
            <v>TEX</v>
          </cell>
          <cell r="H57" t="str">
            <v>NIM</v>
          </cell>
          <cell r="I57" t="str">
            <v xml:space="preserve"> </v>
          </cell>
          <cell r="J57" t="str">
            <v xml:space="preserve"> </v>
          </cell>
          <cell r="K57" t="str">
            <v>B2</v>
          </cell>
          <cell r="L57">
            <v>1</v>
          </cell>
          <cell r="M57">
            <v>0</v>
          </cell>
          <cell r="N57">
            <v>0.99999999999999989</v>
          </cell>
          <cell r="O57">
            <v>1000</v>
          </cell>
          <cell r="P57">
            <v>134</v>
          </cell>
          <cell r="Q57">
            <v>1.82</v>
          </cell>
          <cell r="R57">
            <v>0.97389999999999999</v>
          </cell>
          <cell r="S57">
            <v>0.97</v>
          </cell>
          <cell r="T57">
            <v>2.4799999999999999E-2</v>
          </cell>
          <cell r="U57">
            <v>2.7370948756873843</v>
          </cell>
          <cell r="V57">
            <v>6.4999999999999997E-3</v>
          </cell>
          <cell r="W57">
            <v>2.7193037589954163</v>
          </cell>
          <cell r="X57">
            <v>84.298416528857899</v>
          </cell>
          <cell r="Z57">
            <v>84.298416528857899</v>
          </cell>
          <cell r="AA57">
            <v>71.703011152416352</v>
          </cell>
          <cell r="AB57">
            <v>0.116865</v>
          </cell>
          <cell r="AC57">
            <v>71.586146152416347</v>
          </cell>
          <cell r="AD57">
            <v>1</v>
          </cell>
          <cell r="AE57">
            <v>0</v>
          </cell>
          <cell r="AF57">
            <v>0.35793073076208176</v>
          </cell>
          <cell r="AI57">
            <v>0</v>
          </cell>
          <cell r="AJ57">
            <v>0</v>
          </cell>
          <cell r="AK57">
            <v>0</v>
          </cell>
          <cell r="AN57">
            <v>0</v>
          </cell>
          <cell r="AP57">
            <v>0</v>
          </cell>
          <cell r="AQ57">
            <v>0</v>
          </cell>
          <cell r="AR57">
            <v>0</v>
          </cell>
          <cell r="AS57" t="str">
            <v>140/34</v>
          </cell>
          <cell r="AT57">
            <v>1</v>
          </cell>
          <cell r="AU57">
            <v>0</v>
          </cell>
          <cell r="AV57">
            <v>61</v>
          </cell>
          <cell r="AW57">
            <v>1</v>
          </cell>
          <cell r="AX57">
            <v>61</v>
          </cell>
          <cell r="AY57">
            <v>0.98218435443183194</v>
          </cell>
          <cell r="AZ57">
            <v>54.835352507929173</v>
          </cell>
          <cell r="BA57">
            <v>54.835352507929173</v>
          </cell>
          <cell r="BB57">
            <v>2.81</v>
          </cell>
          <cell r="BC57">
            <v>0.89815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11.684712913725097</v>
          </cell>
          <cell r="BI57" t="b">
            <v>0</v>
          </cell>
          <cell r="BJ57">
            <v>1.7827821740194481</v>
          </cell>
          <cell r="BK57">
            <v>1.7827821740194481</v>
          </cell>
          <cell r="BL57" t="b">
            <v>0</v>
          </cell>
          <cell r="BM57">
            <v>1.0506891139658348</v>
          </cell>
          <cell r="BN57">
            <v>1.0506891139658348</v>
          </cell>
          <cell r="BO57">
            <v>0</v>
          </cell>
          <cell r="BP57">
            <v>1.8420952691626813</v>
          </cell>
          <cell r="BQ57">
            <v>1.8325167569035254</v>
          </cell>
          <cell r="BR57">
            <v>0</v>
          </cell>
          <cell r="BS57">
            <v>1.0252692160473065</v>
          </cell>
          <cell r="BT57">
            <v>0.98562891146710851</v>
          </cell>
          <cell r="BU57">
            <v>0</v>
          </cell>
          <cell r="BV57">
            <v>1.5556977526139293</v>
          </cell>
          <cell r="BW57">
            <v>1.5374985793215334</v>
          </cell>
          <cell r="BX57">
            <v>0.15</v>
          </cell>
          <cell r="BY57">
            <v>0.8</v>
          </cell>
          <cell r="CA57">
            <v>0</v>
          </cell>
          <cell r="CB57">
            <v>3.7129997559663601</v>
          </cell>
          <cell r="CC57">
            <v>2.2306881434302697</v>
          </cell>
          <cell r="CD57">
            <v>0</v>
          </cell>
          <cell r="CE57">
            <v>-8.4820368050463113E-2</v>
          </cell>
          <cell r="CF57">
            <v>0</v>
          </cell>
          <cell r="CG57">
            <v>2.0793476497356114</v>
          </cell>
          <cell r="CH57">
            <v>1.9134920259251555</v>
          </cell>
          <cell r="CI57">
            <v>0</v>
          </cell>
          <cell r="CJ57">
            <v>-2.1641680177860745</v>
          </cell>
          <cell r="CK57">
            <v>0</v>
          </cell>
          <cell r="CL57">
            <v>1.9341226677141063</v>
          </cell>
          <cell r="CM57">
            <v>1.9341226677141063</v>
          </cell>
          <cell r="CN57">
            <v>0</v>
          </cell>
          <cell r="CO57">
            <v>-4.0982906855001806</v>
          </cell>
        </row>
        <row r="58">
          <cell r="D58" t="str">
            <v>80/34 ROTO IM _B2</v>
          </cell>
          <cell r="E58" t="str">
            <v>80</v>
          </cell>
          <cell r="F58" t="str">
            <v>34</v>
          </cell>
          <cell r="G58" t="str">
            <v>ROTO</v>
          </cell>
          <cell r="H58" t="str">
            <v>IM</v>
          </cell>
          <cell r="I58" t="str">
            <v xml:space="preserve"> </v>
          </cell>
          <cell r="J58" t="str">
            <v xml:space="preserve"> </v>
          </cell>
          <cell r="K58" t="str">
            <v>B2</v>
          </cell>
          <cell r="L58">
            <v>1</v>
          </cell>
          <cell r="M58">
            <v>0</v>
          </cell>
          <cell r="N58">
            <v>1</v>
          </cell>
          <cell r="O58">
            <v>900</v>
          </cell>
          <cell r="P58">
            <v>134</v>
          </cell>
          <cell r="Q58">
            <v>1.8</v>
          </cell>
          <cell r="R58">
            <v>0.97389999999999999</v>
          </cell>
          <cell r="S58">
            <v>0.97</v>
          </cell>
          <cell r="T58">
            <v>2.4799999999999999E-2</v>
          </cell>
          <cell r="U58">
            <v>2.4907563368755201</v>
          </cell>
          <cell r="V58">
            <v>6.4999999999999997E-3</v>
          </cell>
          <cell r="W58">
            <v>2.4745664206858295</v>
          </cell>
          <cell r="X58">
            <v>76.711559041260713</v>
          </cell>
          <cell r="Z58">
            <v>76.711559041260713</v>
          </cell>
          <cell r="AA58">
            <v>74.669516728624544</v>
          </cell>
          <cell r="AB58">
            <v>0.31474000000000008</v>
          </cell>
          <cell r="AC58">
            <v>74.354776728624543</v>
          </cell>
          <cell r="AD58">
            <v>1</v>
          </cell>
          <cell r="AE58">
            <v>0</v>
          </cell>
          <cell r="AF58">
            <v>0.37177388364312275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N58">
            <v>0</v>
          </cell>
          <cell r="AP58">
            <v>0</v>
          </cell>
          <cell r="AQ58">
            <v>0</v>
          </cell>
          <cell r="AR58">
            <v>0</v>
          </cell>
          <cell r="AS58" t="str">
            <v>140/34</v>
          </cell>
          <cell r="AT58">
            <v>1</v>
          </cell>
          <cell r="AU58">
            <v>0</v>
          </cell>
          <cell r="AV58">
            <v>61</v>
          </cell>
          <cell r="AW58">
            <v>1</v>
          </cell>
          <cell r="AX58">
            <v>61</v>
          </cell>
          <cell r="AY58">
            <v>0.98218435443183194</v>
          </cell>
          <cell r="AZ58">
            <v>54.835352507929173</v>
          </cell>
          <cell r="BA58">
            <v>54.835352507929173</v>
          </cell>
          <cell r="BB58">
            <v>2.81</v>
          </cell>
          <cell r="BC58">
            <v>0.89815</v>
          </cell>
          <cell r="BD58">
            <v>0</v>
          </cell>
          <cell r="BE58">
            <v>3.2948098455938539</v>
          </cell>
          <cell r="BF58">
            <v>3.2948098455938539</v>
          </cell>
          <cell r="BG58">
            <v>0</v>
          </cell>
          <cell r="BH58">
            <v>11.144690491458388</v>
          </cell>
          <cell r="BI58" t="b">
            <v>0</v>
          </cell>
          <cell r="BJ58">
            <v>1.959101290131261</v>
          </cell>
          <cell r="BK58">
            <v>1.959101290131261</v>
          </cell>
          <cell r="BL58" t="b">
            <v>0</v>
          </cell>
          <cell r="BM58">
            <v>1.1546034219404773</v>
          </cell>
          <cell r="BN58">
            <v>1.1546034219404773</v>
          </cell>
          <cell r="BO58">
            <v>0</v>
          </cell>
          <cell r="BP58">
            <v>2.0242805155633854</v>
          </cell>
          <cell r="BQ58">
            <v>2.0137546779159612</v>
          </cell>
          <cell r="BR58">
            <v>0</v>
          </cell>
          <cell r="BS58">
            <v>1.1266694681838527</v>
          </cell>
          <cell r="BT58">
            <v>1.0831086939198993</v>
          </cell>
          <cell r="BU58">
            <v>0</v>
          </cell>
          <cell r="BV58">
            <v>1.7095579699054162</v>
          </cell>
          <cell r="BW58">
            <v>1.6895588783753113</v>
          </cell>
          <cell r="BX58">
            <v>0.15</v>
          </cell>
          <cell r="BY58">
            <v>0.8</v>
          </cell>
          <cell r="CA58">
            <v>0</v>
          </cell>
          <cell r="CB58">
            <v>4.0802195120509444</v>
          </cell>
          <cell r="CC58">
            <v>2.4513056521211749</v>
          </cell>
          <cell r="CD58">
            <v>0</v>
          </cell>
          <cell r="CE58">
            <v>-1.7097416863169492</v>
          </cell>
          <cell r="CF58">
            <v>0</v>
          </cell>
          <cell r="CG58">
            <v>2.2849974172918794</v>
          </cell>
          <cell r="CH58">
            <v>2.1027384900276429</v>
          </cell>
          <cell r="CI58">
            <v>0</v>
          </cell>
          <cell r="CJ58">
            <v>-3.9947391036088287</v>
          </cell>
          <cell r="CK58">
            <v>0</v>
          </cell>
          <cell r="CL58">
            <v>2.1254095249605558</v>
          </cell>
          <cell r="CM58">
            <v>2.1254095249605558</v>
          </cell>
          <cell r="CN58">
            <v>0</v>
          </cell>
          <cell r="CO58">
            <v>-6.1201486285693845</v>
          </cell>
        </row>
        <row r="59">
          <cell r="D59" t="str">
            <v>100/34 ROTO IM _B2</v>
          </cell>
          <cell r="E59" t="str">
            <v>100</v>
          </cell>
          <cell r="F59" t="str">
            <v>34</v>
          </cell>
          <cell r="G59" t="str">
            <v>ROTO</v>
          </cell>
          <cell r="H59" t="str">
            <v>IM</v>
          </cell>
          <cell r="I59" t="str">
            <v xml:space="preserve"> </v>
          </cell>
          <cell r="J59" t="str">
            <v xml:space="preserve"> </v>
          </cell>
          <cell r="K59" t="str">
            <v>B2</v>
          </cell>
          <cell r="L59">
            <v>0.5</v>
          </cell>
          <cell r="M59">
            <v>0</v>
          </cell>
          <cell r="N59">
            <v>0.5</v>
          </cell>
          <cell r="O59">
            <v>950</v>
          </cell>
          <cell r="P59">
            <v>172</v>
          </cell>
          <cell r="Q59">
            <v>1.77</v>
          </cell>
          <cell r="R59">
            <v>0.97389999999999999</v>
          </cell>
          <cell r="S59">
            <v>0.97</v>
          </cell>
          <cell r="T59">
            <v>2.4799999999999999E-2</v>
          </cell>
          <cell r="U59">
            <v>3.431904759637912</v>
          </cell>
          <cell r="V59">
            <v>6.4999999999999997E-3</v>
          </cell>
          <cell r="W59">
            <v>3.4095973787002656</v>
          </cell>
          <cell r="X59">
            <v>52.848759369854115</v>
          </cell>
          <cell r="Z59">
            <v>52.848759369854115</v>
          </cell>
          <cell r="AA59">
            <v>71.699516728624545</v>
          </cell>
          <cell r="AB59">
            <v>0.31474000000000008</v>
          </cell>
          <cell r="AC59">
            <v>71.384776728624544</v>
          </cell>
          <cell r="AD59">
            <v>1</v>
          </cell>
          <cell r="AE59">
            <v>0</v>
          </cell>
          <cell r="AF59">
            <v>0.35692388364312272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N59">
            <v>0</v>
          </cell>
          <cell r="AP59">
            <v>0</v>
          </cell>
          <cell r="AQ59">
            <v>0</v>
          </cell>
          <cell r="AR59">
            <v>0</v>
          </cell>
          <cell r="AS59" t="str">
            <v>150/34</v>
          </cell>
          <cell r="AT59">
            <v>1</v>
          </cell>
          <cell r="AU59">
            <v>0</v>
          </cell>
          <cell r="AV59">
            <v>59</v>
          </cell>
          <cell r="AW59">
            <v>1</v>
          </cell>
          <cell r="AX59">
            <v>59</v>
          </cell>
          <cell r="AY59">
            <v>0.98218435443183194</v>
          </cell>
          <cell r="AZ59">
            <v>52.870983799065513</v>
          </cell>
          <cell r="BA59">
            <v>52.870983799065513</v>
          </cell>
          <cell r="BB59">
            <v>2.81</v>
          </cell>
          <cell r="BC59">
            <v>0.89815</v>
          </cell>
          <cell r="BD59">
            <v>0</v>
          </cell>
          <cell r="BE59">
            <v>2.3912576474233487</v>
          </cell>
          <cell r="BF59">
            <v>2.3912576474233487</v>
          </cell>
          <cell r="BG59">
            <v>0</v>
          </cell>
          <cell r="BH59">
            <v>11.057461398492563</v>
          </cell>
          <cell r="BI59" t="b">
            <v>0</v>
          </cell>
          <cell r="BJ59">
            <v>1.4218471358425109</v>
          </cell>
          <cell r="BK59">
            <v>1.4218471358425109</v>
          </cell>
          <cell r="BL59" t="b">
            <v>0</v>
          </cell>
          <cell r="BM59">
            <v>0.83797074545851435</v>
          </cell>
          <cell r="BN59">
            <v>0.83797074545851435</v>
          </cell>
          <cell r="BO59">
            <v>0</v>
          </cell>
          <cell r="BP59">
            <v>1.469151935989363</v>
          </cell>
          <cell r="BQ59">
            <v>1.4615126514935979</v>
          </cell>
          <cell r="BR59">
            <v>0</v>
          </cell>
          <cell r="BS59">
            <v>0.81769725968129203</v>
          </cell>
          <cell r="BT59">
            <v>0.78608237461420361</v>
          </cell>
          <cell r="BU59">
            <v>0</v>
          </cell>
          <cell r="BV59">
            <v>1.2407373295659936</v>
          </cell>
          <cell r="BW59">
            <v>1.2262226890240402</v>
          </cell>
          <cell r="BX59">
            <v>0.15</v>
          </cell>
          <cell r="BY59">
            <v>0.8</v>
          </cell>
          <cell r="CA59">
            <v>0</v>
          </cell>
          <cell r="CB59">
            <v>2.9612804891929101</v>
          </cell>
          <cell r="CC59">
            <v>1.7790718316098539</v>
          </cell>
          <cell r="CD59">
            <v>0</v>
          </cell>
          <cell r="CE59">
            <v>1.5087765027619802</v>
          </cell>
          <cell r="CF59">
            <v>0</v>
          </cell>
          <cell r="CG59">
            <v>1.658371136576769</v>
          </cell>
          <cell r="CH59">
            <v>1.5260939873462558</v>
          </cell>
          <cell r="CI59">
            <v>0</v>
          </cell>
          <cell r="CJ59">
            <v>-0.14959463381478888</v>
          </cell>
          <cell r="CK59">
            <v>0</v>
          </cell>
          <cell r="CL59">
            <v>1.5425478308755958</v>
          </cell>
          <cell r="CM59">
            <v>1.5425478308755958</v>
          </cell>
          <cell r="CN59">
            <v>0</v>
          </cell>
          <cell r="CO59">
            <v>-1.6921424646903847</v>
          </cell>
        </row>
        <row r="60">
          <cell r="D60" t="str">
            <v>150/48 ROTO IM _B2</v>
          </cell>
          <cell r="E60" t="str">
            <v>150</v>
          </cell>
          <cell r="F60" t="str">
            <v>48</v>
          </cell>
          <cell r="G60" t="str">
            <v>ROTO</v>
          </cell>
          <cell r="H60" t="str">
            <v>IM</v>
          </cell>
          <cell r="I60" t="str">
            <v xml:space="preserve"> </v>
          </cell>
          <cell r="J60" t="str">
            <v xml:space="preserve"> </v>
          </cell>
          <cell r="K60" t="str">
            <v>B2</v>
          </cell>
          <cell r="L60">
            <v>1</v>
          </cell>
          <cell r="M60">
            <v>0.37395819290026128</v>
          </cell>
          <cell r="N60">
            <v>0.62604180709973867</v>
          </cell>
          <cell r="O60">
            <v>825</v>
          </cell>
          <cell r="P60">
            <v>256</v>
          </cell>
          <cell r="Q60">
            <v>1.7549999999999999</v>
          </cell>
          <cell r="R60">
            <v>0.97389999999999999</v>
          </cell>
          <cell r="S60">
            <v>0.97</v>
          </cell>
          <cell r="T60">
            <v>2.4799999999999999E-2</v>
          </cell>
          <cell r="U60">
            <v>4.4737656873590161</v>
          </cell>
          <cell r="V60">
            <v>7.0000000000000001E-3</v>
          </cell>
          <cell r="W60">
            <v>4.4424493275475028</v>
          </cell>
          <cell r="X60">
            <v>137.71592915397258</v>
          </cell>
          <cell r="Y60">
            <v>51.5</v>
          </cell>
          <cell r="Z60">
            <v>86.215929153972581</v>
          </cell>
          <cell r="AA60">
            <v>63.543011152416355</v>
          </cell>
          <cell r="AB60">
            <v>0.31474000000000008</v>
          </cell>
          <cell r="AC60">
            <v>63.228271152416355</v>
          </cell>
          <cell r="AD60">
            <v>1</v>
          </cell>
          <cell r="AE60">
            <v>0</v>
          </cell>
          <cell r="AF60">
            <v>0.3161413557620818</v>
          </cell>
          <cell r="AG60">
            <v>1.4956799999999999</v>
          </cell>
          <cell r="AH60">
            <v>90</v>
          </cell>
          <cell r="AI60">
            <v>43.86</v>
          </cell>
          <cell r="AJ60">
            <v>65.600524799999988</v>
          </cell>
          <cell r="AK60">
            <v>33.784270271999993</v>
          </cell>
          <cell r="AM60">
            <v>1.37E-2</v>
          </cell>
          <cell r="AN60">
            <v>0.89872718975999988</v>
          </cell>
          <cell r="AO60">
            <v>5.0599999999999996</v>
          </cell>
          <cell r="AP60">
            <v>1.4705882352941178</v>
          </cell>
          <cell r="AQ60">
            <v>1.6175471868493148</v>
          </cell>
          <cell r="AR60">
            <v>0.12464099711999997</v>
          </cell>
          <cell r="AS60" t="str">
            <v>265/48</v>
          </cell>
          <cell r="AT60">
            <v>1</v>
          </cell>
          <cell r="AU60">
            <v>9.0810787199999972</v>
          </cell>
          <cell r="AV60">
            <v>54.5</v>
          </cell>
          <cell r="AW60">
            <v>1</v>
          </cell>
          <cell r="AX60">
            <v>54.5</v>
          </cell>
          <cell r="AY60">
            <v>0.98267890848743711</v>
          </cell>
          <cell r="AZ60">
            <v>48.475550555685274</v>
          </cell>
          <cell r="BA60">
            <v>48.475550555685274</v>
          </cell>
          <cell r="BB60">
            <v>2.81</v>
          </cell>
          <cell r="BC60">
            <v>0.89815</v>
          </cell>
          <cell r="BD60">
            <v>0</v>
          </cell>
          <cell r="BE60">
            <v>1.8352996748648747</v>
          </cell>
          <cell r="BF60">
            <v>1.8352996748648747</v>
          </cell>
          <cell r="BG60">
            <v>11.491099680426402</v>
          </cell>
          <cell r="BH60">
            <v>7.8931295661041219</v>
          </cell>
          <cell r="BI60" t="b">
            <v>0</v>
          </cell>
          <cell r="BJ60">
            <v>1.0912732841361301</v>
          </cell>
          <cell r="BK60">
            <v>1.0912732841361301</v>
          </cell>
          <cell r="BL60" t="b">
            <v>0</v>
          </cell>
          <cell r="BM60">
            <v>0.64314585186730122</v>
          </cell>
          <cell r="BN60">
            <v>0.64314585186730122</v>
          </cell>
          <cell r="BO60">
            <v>0</v>
          </cell>
          <cell r="BP60">
            <v>1.1275799048060586</v>
          </cell>
          <cell r="BQ60">
            <v>1.1217167238283061</v>
          </cell>
          <cell r="BR60">
            <v>0</v>
          </cell>
          <cell r="BS60">
            <v>0.62758587158018897</v>
          </cell>
          <cell r="BT60">
            <v>0.60332132261072124</v>
          </cell>
          <cell r="BU60">
            <v>0</v>
          </cell>
          <cell r="BV60">
            <v>0.95227079357126188</v>
          </cell>
          <cell r="BW60">
            <v>0.94113074971353228</v>
          </cell>
          <cell r="BX60">
            <v>0.15</v>
          </cell>
          <cell r="BY60">
            <v>0.8</v>
          </cell>
          <cell r="CA60">
            <v>0</v>
          </cell>
          <cell r="CB60">
            <v>2.2727944539375105</v>
          </cell>
          <cell r="CC60">
            <v>1.3654446469342594</v>
          </cell>
          <cell r="CD60">
            <v>4.6264495205279506</v>
          </cell>
          <cell r="CE60">
            <v>0.37847940620567</v>
          </cell>
          <cell r="CF60">
            <v>0</v>
          </cell>
          <cell r="CG60">
            <v>1.2728063874857714</v>
          </cell>
          <cell r="CH60">
            <v>1.1712831537863817</v>
          </cell>
          <cell r="CI60">
            <v>3.353643133042179</v>
          </cell>
          <cell r="CJ60">
            <v>-0.89432698128010135</v>
          </cell>
          <cell r="CK60">
            <v>0</v>
          </cell>
          <cell r="CL60">
            <v>1.1839115435846179</v>
          </cell>
          <cell r="CM60">
            <v>1.1839115435846179</v>
          </cell>
          <cell r="CN60">
            <v>2.1697315894575611</v>
          </cell>
          <cell r="CO60">
            <v>-2.0782385248647195</v>
          </cell>
        </row>
        <row r="61">
          <cell r="D61" t="str">
            <v>150/34 TEX NIM S _B2</v>
          </cell>
          <cell r="E61" t="str">
            <v>150</v>
          </cell>
          <cell r="F61" t="str">
            <v>34</v>
          </cell>
          <cell r="G61" t="str">
            <v>TEX</v>
          </cell>
          <cell r="H61" t="str">
            <v>NIM</v>
          </cell>
          <cell r="I61" t="str">
            <v>S</v>
          </cell>
          <cell r="J61" t="str">
            <v xml:space="preserve"> </v>
          </cell>
          <cell r="K61" t="str">
            <v>B2</v>
          </cell>
          <cell r="L61">
            <v>1.5</v>
          </cell>
          <cell r="M61">
            <v>0.2345734482945222</v>
          </cell>
          <cell r="N61">
            <v>1.2654265517054779</v>
          </cell>
          <cell r="O61">
            <v>875</v>
          </cell>
          <cell r="P61">
            <v>251</v>
          </cell>
          <cell r="Q61">
            <v>1.734</v>
          </cell>
          <cell r="R61">
            <v>0.97389999999999999</v>
          </cell>
          <cell r="S61">
            <v>0.97</v>
          </cell>
          <cell r="T61">
            <v>2.4799999999999999E-2</v>
          </cell>
          <cell r="U61">
            <v>4.7085709900866428</v>
          </cell>
          <cell r="V61">
            <v>7.0000000000000001E-3</v>
          </cell>
          <cell r="W61">
            <v>4.6756109931560363</v>
          </cell>
          <cell r="X61">
            <v>217.41591118175569</v>
          </cell>
          <cell r="Y61">
            <v>34</v>
          </cell>
          <cell r="Z61">
            <v>183.41591118175569</v>
          </cell>
          <cell r="AA61">
            <v>61.326505576208177</v>
          </cell>
          <cell r="AB61">
            <v>0.116865</v>
          </cell>
          <cell r="AC61">
            <v>61.20964057620818</v>
          </cell>
          <cell r="AD61">
            <v>1</v>
          </cell>
          <cell r="AE61">
            <v>0</v>
          </cell>
          <cell r="AF61">
            <v>0.3060482028810409</v>
          </cell>
          <cell r="AG61">
            <v>1.44</v>
          </cell>
          <cell r="AH61">
            <v>90</v>
          </cell>
          <cell r="AI61">
            <v>43.86</v>
          </cell>
          <cell r="AJ61">
            <v>63.1584</v>
          </cell>
          <cell r="AK61">
            <v>21.473856000000001</v>
          </cell>
          <cell r="AM61">
            <v>0.02</v>
          </cell>
          <cell r="AN61">
            <v>1.2631680000000001</v>
          </cell>
          <cell r="AO61">
            <v>5.21</v>
          </cell>
          <cell r="AP61">
            <v>1.4705882352941178</v>
          </cell>
          <cell r="AQ61">
            <v>1.5573304109589043</v>
          </cell>
          <cell r="AR61">
            <v>0.12000096</v>
          </cell>
          <cell r="AS61" t="str">
            <v>265/34</v>
          </cell>
          <cell r="AT61">
            <v>2</v>
          </cell>
          <cell r="AU61">
            <v>0</v>
          </cell>
          <cell r="AV61">
            <v>40</v>
          </cell>
          <cell r="AW61">
            <v>1</v>
          </cell>
          <cell r="AX61">
            <v>54</v>
          </cell>
          <cell r="AY61">
            <v>0.98267890848743711</v>
          </cell>
          <cell r="AZ61">
            <v>37.174743108079745</v>
          </cell>
          <cell r="BA61">
            <v>47.984211101441552</v>
          </cell>
          <cell r="BB61">
            <v>2.81</v>
          </cell>
          <cell r="BC61">
            <v>0.89815</v>
          </cell>
          <cell r="BD61">
            <v>0</v>
          </cell>
          <cell r="BE61">
            <v>0</v>
          </cell>
          <cell r="BF61">
            <v>0</v>
          </cell>
          <cell r="BG61">
            <v>12.654419285667235</v>
          </cell>
          <cell r="BH61">
            <v>8.211231271885584</v>
          </cell>
          <cell r="BI61" t="b">
            <v>0</v>
          </cell>
          <cell r="BJ61">
            <v>1.0368540655707452</v>
          </cell>
          <cell r="BK61">
            <v>1.0368540655707452</v>
          </cell>
          <cell r="BL61" t="b">
            <v>0</v>
          </cell>
          <cell r="BM61">
            <v>0.61107368883446977</v>
          </cell>
          <cell r="BN61">
            <v>0.61107368883446977</v>
          </cell>
          <cell r="BO61">
            <v>0</v>
          </cell>
          <cell r="BP61">
            <v>1.0713501609081753</v>
          </cell>
          <cell r="BQ61">
            <v>1.0657793629033727</v>
          </cell>
          <cell r="BR61">
            <v>0</v>
          </cell>
          <cell r="BS61">
            <v>0.59628964797557116</v>
          </cell>
          <cell r="BT61">
            <v>0.57323511469415844</v>
          </cell>
          <cell r="BU61">
            <v>0</v>
          </cell>
          <cell r="BV61">
            <v>0.90478330056458567</v>
          </cell>
          <cell r="BW61">
            <v>0.8941987843554613</v>
          </cell>
          <cell r="BX61">
            <v>0.15</v>
          </cell>
          <cell r="BY61">
            <v>0.8</v>
          </cell>
          <cell r="CA61">
            <v>0</v>
          </cell>
          <cell r="CB61">
            <v>2.1594555681231014</v>
          </cell>
          <cell r="CC61">
            <v>1.2973531507337708</v>
          </cell>
          <cell r="CD61">
            <v>6.1246128536905875</v>
          </cell>
          <cell r="CE61">
            <v>1.0314248399089352</v>
          </cell>
          <cell r="CF61">
            <v>0</v>
          </cell>
          <cell r="CG61">
            <v>1.2093345422578938</v>
          </cell>
          <cell r="CH61">
            <v>1.1128740321901243</v>
          </cell>
          <cell r="CI61">
            <v>4.9152783114326937</v>
          </cell>
          <cell r="CJ61">
            <v>-0.17790970234895864</v>
          </cell>
          <cell r="CK61">
            <v>0</v>
          </cell>
          <cell r="CL61">
            <v>1.1248726740466217</v>
          </cell>
          <cell r="CM61">
            <v>1.1248726740466217</v>
          </cell>
          <cell r="CN61">
            <v>3.7904056373860717</v>
          </cell>
          <cell r="CO61">
            <v>-1.3027823763955804</v>
          </cell>
        </row>
        <row r="62">
          <cell r="D62" t="str">
            <v>150/34 TEX NIM Z _B2</v>
          </cell>
          <cell r="E62" t="str">
            <v>150</v>
          </cell>
          <cell r="F62" t="str">
            <v>34</v>
          </cell>
          <cell r="G62" t="str">
            <v>TEX</v>
          </cell>
          <cell r="H62" t="str">
            <v>NIM</v>
          </cell>
          <cell r="I62" t="str">
            <v>Z</v>
          </cell>
          <cell r="J62" t="str">
            <v xml:space="preserve"> </v>
          </cell>
          <cell r="K62" t="str">
            <v>B2</v>
          </cell>
          <cell r="L62">
            <v>1</v>
          </cell>
          <cell r="M62">
            <v>0.2345734482945222</v>
          </cell>
          <cell r="N62">
            <v>0.7654265517054778</v>
          </cell>
          <cell r="O62">
            <v>875</v>
          </cell>
          <cell r="P62">
            <v>251</v>
          </cell>
          <cell r="Q62">
            <v>1.734</v>
          </cell>
          <cell r="R62">
            <v>0.97389999999999999</v>
          </cell>
          <cell r="S62">
            <v>0.97</v>
          </cell>
          <cell r="T62">
            <v>2.4799999999999999E-2</v>
          </cell>
          <cell r="U62">
            <v>4.7085709900866428</v>
          </cell>
          <cell r="V62">
            <v>7.0000000000000001E-3</v>
          </cell>
          <cell r="W62">
            <v>4.6756109931560363</v>
          </cell>
          <cell r="X62">
            <v>144.94394078783714</v>
          </cell>
          <cell r="Y62">
            <v>34</v>
          </cell>
          <cell r="Z62">
            <v>110.94394078783714</v>
          </cell>
          <cell r="AA62">
            <v>61.326505576208177</v>
          </cell>
          <cell r="AB62">
            <v>0.116865</v>
          </cell>
          <cell r="AC62">
            <v>61.20964057620818</v>
          </cell>
          <cell r="AD62">
            <v>1</v>
          </cell>
          <cell r="AE62">
            <v>0</v>
          </cell>
          <cell r="AF62">
            <v>0.3060482028810409</v>
          </cell>
          <cell r="AG62">
            <v>1.35</v>
          </cell>
          <cell r="AH62">
            <v>90</v>
          </cell>
          <cell r="AI62">
            <v>43.86</v>
          </cell>
          <cell r="AJ62">
            <v>59.211000000000006</v>
          </cell>
          <cell r="AK62">
            <v>20.131740000000001</v>
          </cell>
          <cell r="AN62">
            <v>0</v>
          </cell>
          <cell r="AO62">
            <v>5.64</v>
          </cell>
          <cell r="AP62">
            <v>1.4705882352941178</v>
          </cell>
          <cell r="AQ62">
            <v>1.459997260273973</v>
          </cell>
          <cell r="AR62">
            <v>0.11250090000000001</v>
          </cell>
          <cell r="AS62" t="str">
            <v>265/34</v>
          </cell>
          <cell r="AT62">
            <v>2</v>
          </cell>
          <cell r="AU62">
            <v>0</v>
          </cell>
          <cell r="AV62">
            <v>40</v>
          </cell>
          <cell r="AW62">
            <v>1</v>
          </cell>
          <cell r="AX62">
            <v>54</v>
          </cell>
          <cell r="AY62">
            <v>0.98267890848743711</v>
          </cell>
          <cell r="AZ62">
            <v>37.174743108079745</v>
          </cell>
          <cell r="BA62">
            <v>47.984211101441552</v>
          </cell>
          <cell r="BB62">
            <v>2.81</v>
          </cell>
          <cell r="BC62">
            <v>0.89815</v>
          </cell>
          <cell r="BD62">
            <v>0</v>
          </cell>
          <cell r="BE62">
            <v>0</v>
          </cell>
          <cell r="BF62">
            <v>0</v>
          </cell>
          <cell r="BG62">
            <v>9.6450204963521706</v>
          </cell>
          <cell r="BH62">
            <v>8.211231271885584</v>
          </cell>
          <cell r="BI62" t="b">
            <v>0</v>
          </cell>
          <cell r="BJ62">
            <v>1.0368540655707452</v>
          </cell>
          <cell r="BK62">
            <v>1.0368540655707452</v>
          </cell>
          <cell r="BL62" t="b">
            <v>0</v>
          </cell>
          <cell r="BM62">
            <v>0.61107368883446977</v>
          </cell>
          <cell r="BN62">
            <v>0.61107368883446977</v>
          </cell>
          <cell r="BO62">
            <v>0</v>
          </cell>
          <cell r="BP62">
            <v>1.0713501609081753</v>
          </cell>
          <cell r="BQ62">
            <v>1.0713501609081753</v>
          </cell>
          <cell r="BR62">
            <v>0</v>
          </cell>
          <cell r="BS62">
            <v>0.59628964797557116</v>
          </cell>
          <cell r="BT62">
            <v>0.59628964797557116</v>
          </cell>
          <cell r="BU62">
            <v>0</v>
          </cell>
          <cell r="BV62">
            <v>0.90478330056458567</v>
          </cell>
          <cell r="BW62">
            <v>0.90478330056458567</v>
          </cell>
          <cell r="BX62">
            <v>0.15</v>
          </cell>
          <cell r="BY62">
            <v>0.8</v>
          </cell>
          <cell r="CA62">
            <v>0</v>
          </cell>
          <cell r="CB62">
            <v>2.1594555681231014</v>
          </cell>
          <cell r="CC62">
            <v>2.1594555681231014</v>
          </cell>
          <cell r="CD62">
            <v>3.1152140643755213</v>
          </cell>
          <cell r="CE62">
            <v>1.0314248399089352</v>
          </cell>
          <cell r="CF62">
            <v>0</v>
          </cell>
          <cell r="CG62">
            <v>1.2093345422578938</v>
          </cell>
          <cell r="CH62">
            <v>1.2093345422578938</v>
          </cell>
          <cell r="CI62">
            <v>1.9058795221176275</v>
          </cell>
          <cell r="CJ62">
            <v>-0.17790970234895864</v>
          </cell>
          <cell r="CK62">
            <v>0</v>
          </cell>
          <cell r="CL62">
            <v>1.1248726740466217</v>
          </cell>
          <cell r="CM62">
            <v>1.1248726740466217</v>
          </cell>
          <cell r="CN62">
            <v>0.78100684807100573</v>
          </cell>
          <cell r="CO62">
            <v>-1.3027823763955804</v>
          </cell>
        </row>
        <row r="63">
          <cell r="AS63">
            <v>0</v>
          </cell>
          <cell r="AV6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YS"/>
      <sheetName val="BS"/>
      <sheetName val="GW"/>
      <sheetName val="Head office"/>
      <sheetName val="consolidated"/>
      <sheetName val="Consolidated excl pz&amp;gw"/>
      <sheetName val="Financials"/>
      <sheetName val="trial_HO"/>
      <sheetName val="trial_Plant"/>
      <sheetName val="U-4_Investments &amp; FD"/>
      <sheetName val="Stock St."/>
      <sheetName val="TOTAL GP"/>
      <sheetName val="Head_office"/>
      <sheetName val="Consolidated_excl_pz&amp;gw"/>
      <sheetName val="U-4_Investments_&amp;_FD"/>
      <sheetName val="TB   Rs  $  APR"/>
      <sheetName val="TB  Rupees "/>
      <sheetName val="P&amp;LSC"/>
      <sheetName val="dump"/>
      <sheetName val="MCCW"/>
      <sheetName val="PO"/>
      <sheetName val="A"/>
      <sheetName val="SUMMARY SHEET"/>
      <sheetName val="Sales inputs "/>
      <sheetName val="Grey Prodn"/>
      <sheetName val="Sales Budget"/>
      <sheetName val="Inputs"/>
      <sheetName val="KPMG-Balance Sheet_EXAMPLE"/>
      <sheetName val="ROIC - NWA"/>
      <sheetName val="43B"/>
      <sheetName val="INV"/>
      <sheetName val="Monat"/>
      <sheetName val="Ref"/>
      <sheetName val="sales "/>
      <sheetName val="Do not delete"/>
      <sheetName val="Financial Codes"/>
      <sheetName val="mgt9900_GE (1)"/>
      <sheetName val="V_Assum"/>
      <sheetName val="GraphData"/>
      <sheetName val="1-2-1"/>
      <sheetName val="FXRATES"/>
      <sheetName val="BALANCE SHEET"/>
      <sheetName val="Links"/>
      <sheetName val="Lead"/>
      <sheetName val="Sheet1"/>
      <sheetName val="COST"/>
      <sheetName val="Rules"/>
      <sheetName val="POP SALARY "/>
      <sheetName val="cell rel"/>
      <sheetName val="Contract Details"/>
      <sheetName val="rawmat break up"/>
      <sheetName val="General Model Upload"/>
      <sheetName val="coa_ramco_168"/>
      <sheetName val="Listing"/>
      <sheetName val="M2M Rates"/>
      <sheetName val="Licences"/>
      <sheetName val="Mexico"/>
      <sheetName val="Personal"/>
      <sheetName val="Improvements"/>
      <sheetName val="SCPC Profile"/>
      <sheetName val="MultipleSecurities"/>
      <sheetName val="FA(Apr 07)"/>
      <sheetName val="Reco O.S"/>
      <sheetName val="WTB"/>
      <sheetName val="Data"/>
      <sheetName val="Cover Page"/>
      <sheetName val="schedules"/>
      <sheetName val="Memphis"/>
      <sheetName val="Lookup"/>
      <sheetName val="Control"/>
      <sheetName val="DRS"/>
      <sheetName val="TB FOR MIS"/>
      <sheetName val="Production &amp; Revenue Schedules"/>
      <sheetName val="Parameter"/>
      <sheetName val="P&amp;L February"/>
      <sheetName val="P&amp;L Feb 2001 cumulative"/>
      <sheetName val="sEP2003"/>
      <sheetName val="TaxComputn"/>
      <sheetName val="(M+L)"/>
      <sheetName val="Performance Summary"/>
      <sheetName val="APR"/>
      <sheetName val="AUG"/>
      <sheetName val="DEC"/>
      <sheetName val="FEB"/>
      <sheetName val="JAN"/>
      <sheetName val="JUL"/>
      <sheetName val="JUN"/>
      <sheetName val="MAR"/>
      <sheetName val="MAY"/>
      <sheetName val="NOV"/>
      <sheetName val="OCT"/>
      <sheetName val="SEP"/>
      <sheetName val="MONTHLY"/>
      <sheetName val="15"/>
      <sheetName val="Profit and Loss"/>
      <sheetName val="Transaction Inputs"/>
      <sheetName val="Target 1"/>
      <sheetName val="Share Calculations"/>
      <sheetName val="Transaction Calculations"/>
      <sheetName val="Sheet3 (2)"/>
      <sheetName val="Set"/>
      <sheetName val="LBO"/>
      <sheetName val="FA"/>
      <sheetName val="F.01 - June 2005"/>
      <sheetName val="Form"/>
      <sheetName val="Challan"/>
      <sheetName val="FORM-16"/>
      <sheetName val="Intaccrual"/>
      <sheetName val="Cash Flow "/>
      <sheetName val="Design"/>
      <sheetName val="Assumptions"/>
      <sheetName val="Sch5TO10"/>
      <sheetName val="Temp"/>
      <sheetName val="Reference"/>
      <sheetName val="Power_Fuel"/>
      <sheetName val="Support"/>
      <sheetName val="N-LIABIL"/>
      <sheetName val="Master (2)"/>
      <sheetName val="Portfolio Summary"/>
      <sheetName val="Standalone"/>
      <sheetName val="entitlements"/>
      <sheetName val="RetailExpenses-Input"/>
      <sheetName val="2003-04"/>
      <sheetName val="INVENTORY"/>
      <sheetName val="lot no 86"/>
      <sheetName val="Users Authorisations"/>
      <sheetName val="Feuil1"/>
      <sheetName val="OFICIAL"/>
      <sheetName val="Revenue Assumptions"/>
    </sheetNames>
    <sheetDataSet>
      <sheetData sheetId="0" refreshError="1">
        <row r="7">
          <cell r="D7">
            <v>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summary"/>
      <sheetName val="YARN PIVOT"/>
      <sheetName val="Sheet1"/>
      <sheetName val="Sheet2"/>
      <sheetName val="YARN CONSUMP-JULY-06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-2.2799999999999998</v>
          </cell>
        </row>
        <row r="3">
          <cell r="N3">
            <v>-2.1850000000000001</v>
          </cell>
        </row>
        <row r="4">
          <cell r="N4">
            <v>-2.415</v>
          </cell>
        </row>
        <row r="5">
          <cell r="N5">
            <v>-2.7069999999999999</v>
          </cell>
        </row>
        <row r="6">
          <cell r="N6">
            <v>-2.0299999999999998</v>
          </cell>
        </row>
        <row r="7">
          <cell r="N7">
            <v>-2.109</v>
          </cell>
        </row>
        <row r="8">
          <cell r="N8">
            <v>-2.1749999999999998</v>
          </cell>
        </row>
        <row r="9">
          <cell r="N9">
            <v>-1.9339999999999999</v>
          </cell>
        </row>
        <row r="10">
          <cell r="N10">
            <v>-1.958</v>
          </cell>
        </row>
        <row r="11">
          <cell r="N11">
            <v>-0.94299999999999995</v>
          </cell>
        </row>
        <row r="12">
          <cell r="N12">
            <v>-2.7559999999999998</v>
          </cell>
        </row>
        <row r="13">
          <cell r="N13">
            <v>-2.6829999999999998</v>
          </cell>
        </row>
        <row r="14">
          <cell r="N14">
            <v>-2.2719999999999998</v>
          </cell>
        </row>
        <row r="15">
          <cell r="N15">
            <v>-2.2719999999999998</v>
          </cell>
        </row>
        <row r="16">
          <cell r="N16">
            <v>-2.5310000000000001</v>
          </cell>
        </row>
        <row r="17">
          <cell r="N17">
            <v>-2.4169999999999998</v>
          </cell>
        </row>
        <row r="18">
          <cell r="N18">
            <v>-1.9339999999999999</v>
          </cell>
        </row>
        <row r="19">
          <cell r="N19">
            <v>-2.1749999999999998</v>
          </cell>
        </row>
        <row r="20">
          <cell r="N20">
            <v>-2.0059999999999998</v>
          </cell>
        </row>
        <row r="21">
          <cell r="N21">
            <v>-4.9649999999999999</v>
          </cell>
        </row>
        <row r="22">
          <cell r="N22">
            <v>-2.0550000000000002</v>
          </cell>
        </row>
        <row r="23">
          <cell r="N23">
            <v>-2.8039999999999998</v>
          </cell>
        </row>
        <row r="24">
          <cell r="N24">
            <v>-2.3199999999999998</v>
          </cell>
        </row>
        <row r="25">
          <cell r="N25">
            <v>-1.6919999999999999</v>
          </cell>
        </row>
        <row r="26">
          <cell r="N26">
            <v>-4.8120000000000003</v>
          </cell>
        </row>
        <row r="27">
          <cell r="N27">
            <v>-2.2240000000000002</v>
          </cell>
        </row>
        <row r="28">
          <cell r="N28">
            <v>-5.31</v>
          </cell>
        </row>
        <row r="29">
          <cell r="N29">
            <v>-6</v>
          </cell>
        </row>
        <row r="30">
          <cell r="N30">
            <v>-6.25</v>
          </cell>
        </row>
        <row r="31">
          <cell r="N31">
            <v>-5.6550000000000002</v>
          </cell>
        </row>
        <row r="32">
          <cell r="N32">
            <v>-5.444</v>
          </cell>
        </row>
        <row r="33">
          <cell r="N33">
            <v>-258.54199999999997</v>
          </cell>
        </row>
        <row r="34">
          <cell r="N34">
            <v>-116.458</v>
          </cell>
        </row>
        <row r="35">
          <cell r="N35">
            <v>-18.395</v>
          </cell>
        </row>
        <row r="36">
          <cell r="N36">
            <v>-0.69</v>
          </cell>
        </row>
        <row r="37">
          <cell r="N37">
            <v>-400.41300000000001</v>
          </cell>
        </row>
        <row r="38">
          <cell r="N38">
            <v>-566.61500000000001</v>
          </cell>
        </row>
        <row r="39">
          <cell r="N39">
            <v>-711</v>
          </cell>
        </row>
        <row r="40">
          <cell r="N40">
            <v>-1184.376</v>
          </cell>
        </row>
        <row r="41">
          <cell r="N41">
            <v>-1197.99</v>
          </cell>
        </row>
        <row r="42">
          <cell r="N42">
            <v>-485.62900000000002</v>
          </cell>
        </row>
        <row r="43">
          <cell r="N43">
            <v>-698.74699999999996</v>
          </cell>
        </row>
        <row r="44">
          <cell r="N44">
            <v>-39.624000000000002</v>
          </cell>
        </row>
        <row r="45">
          <cell r="N45">
            <v>-86.763000000000005</v>
          </cell>
        </row>
        <row r="46">
          <cell r="N46">
            <v>-38.457999999999998</v>
          </cell>
        </row>
        <row r="47">
          <cell r="N47">
            <v>-147</v>
          </cell>
        </row>
        <row r="48">
          <cell r="N48">
            <v>-1183.211</v>
          </cell>
        </row>
        <row r="49">
          <cell r="N49">
            <v>-111.511</v>
          </cell>
        </row>
        <row r="50">
          <cell r="N50">
            <v>-1184.376</v>
          </cell>
        </row>
        <row r="51">
          <cell r="N51">
            <v>-1192.508</v>
          </cell>
        </row>
        <row r="52">
          <cell r="N52">
            <v>-1775.981</v>
          </cell>
        </row>
        <row r="53">
          <cell r="N53">
            <v>-518.23699999999997</v>
          </cell>
        </row>
        <row r="54">
          <cell r="N54">
            <v>-1300</v>
          </cell>
        </row>
        <row r="55">
          <cell r="N55">
            <v>-477</v>
          </cell>
        </row>
        <row r="56">
          <cell r="N56">
            <v>-1194.4259999999999</v>
          </cell>
        </row>
        <row r="57">
          <cell r="N57">
            <v>-1184.376</v>
          </cell>
        </row>
        <row r="58">
          <cell r="N58">
            <v>-1187.8699999999999</v>
          </cell>
        </row>
        <row r="59">
          <cell r="N59">
            <v>-1187.8699999999999</v>
          </cell>
        </row>
        <row r="60">
          <cell r="N60">
            <v>-1067.9179999999999</v>
          </cell>
        </row>
        <row r="61">
          <cell r="N61">
            <v>-1124.9559999999999</v>
          </cell>
        </row>
        <row r="62">
          <cell r="N62">
            <v>-116.458</v>
          </cell>
        </row>
        <row r="63">
          <cell r="N63">
            <v>-1184.376</v>
          </cell>
        </row>
        <row r="64">
          <cell r="N64">
            <v>-1777.146</v>
          </cell>
        </row>
        <row r="65">
          <cell r="N65">
            <v>-1777.146</v>
          </cell>
        </row>
        <row r="66">
          <cell r="N66">
            <v>-37.86</v>
          </cell>
        </row>
        <row r="67">
          <cell r="N67">
            <v>-696</v>
          </cell>
        </row>
        <row r="68">
          <cell r="N68">
            <v>-440.91399999999999</v>
          </cell>
        </row>
        <row r="69">
          <cell r="N69">
            <v>-108.681</v>
          </cell>
        </row>
        <row r="70">
          <cell r="N70">
            <v>-222.624</v>
          </cell>
        </row>
        <row r="71">
          <cell r="N71">
            <v>-177</v>
          </cell>
        </row>
        <row r="72">
          <cell r="N72">
            <v>-229</v>
          </cell>
        </row>
        <row r="73">
          <cell r="N73">
            <v>-1184.376</v>
          </cell>
        </row>
        <row r="74">
          <cell r="N74">
            <v>-209.624</v>
          </cell>
        </row>
        <row r="75">
          <cell r="N75">
            <v>-974.75199999999995</v>
          </cell>
        </row>
        <row r="76">
          <cell r="N76">
            <v>-112.14</v>
          </cell>
        </row>
        <row r="77">
          <cell r="N77">
            <v>-964.27099999999996</v>
          </cell>
        </row>
        <row r="78">
          <cell r="N78">
            <v>-1169.319</v>
          </cell>
        </row>
        <row r="79">
          <cell r="N79">
            <v>-1048.1199999999999</v>
          </cell>
        </row>
        <row r="80">
          <cell r="N80">
            <v>-695</v>
          </cell>
        </row>
        <row r="81">
          <cell r="N81">
            <v>-692</v>
          </cell>
        </row>
        <row r="82">
          <cell r="N82">
            <v>-636</v>
          </cell>
        </row>
        <row r="83">
          <cell r="N83">
            <v>-656</v>
          </cell>
        </row>
        <row r="84">
          <cell r="N84">
            <v>-1169.319</v>
          </cell>
        </row>
        <row r="85">
          <cell r="N85">
            <v>-36.866999999999997</v>
          </cell>
        </row>
        <row r="86">
          <cell r="N86">
            <v>-45</v>
          </cell>
        </row>
        <row r="87">
          <cell r="N87">
            <v>-1.5269999999999999</v>
          </cell>
        </row>
        <row r="88">
          <cell r="N88">
            <v>-0.88700000000000001</v>
          </cell>
        </row>
        <row r="89">
          <cell r="N89">
            <v>-0.60799999999999998</v>
          </cell>
        </row>
        <row r="90">
          <cell r="N90">
            <v>-1.6359999999999999</v>
          </cell>
        </row>
        <row r="91">
          <cell r="N91">
            <v>-1.7949999999999999</v>
          </cell>
        </row>
        <row r="92">
          <cell r="N92">
            <v>-1.5720000000000001</v>
          </cell>
        </row>
        <row r="93">
          <cell r="N93">
            <v>-1.925</v>
          </cell>
        </row>
        <row r="94">
          <cell r="N94">
            <v>-1.161</v>
          </cell>
        </row>
        <row r="95">
          <cell r="N95">
            <v>-1.6679999999999999</v>
          </cell>
        </row>
        <row r="96">
          <cell r="N96">
            <v>-1.1830000000000001</v>
          </cell>
        </row>
        <row r="97">
          <cell r="N97">
            <v>-1.4710000000000001</v>
          </cell>
        </row>
        <row r="98">
          <cell r="N98">
            <v>-1.119</v>
          </cell>
        </row>
        <row r="99">
          <cell r="N99">
            <v>-1.837</v>
          </cell>
        </row>
        <row r="100">
          <cell r="N100">
            <v>-1.1399999999999999</v>
          </cell>
        </row>
        <row r="101">
          <cell r="N101">
            <v>-0.59</v>
          </cell>
        </row>
        <row r="102">
          <cell r="N102">
            <v>-1.31</v>
          </cell>
        </row>
        <row r="103">
          <cell r="N103">
            <v>-0.84499999999999997</v>
          </cell>
        </row>
        <row r="104">
          <cell r="N104">
            <v>-0.56000000000000005</v>
          </cell>
        </row>
        <row r="105">
          <cell r="N105">
            <v>-8.2910000000000004</v>
          </cell>
        </row>
        <row r="106">
          <cell r="N106">
            <v>-0.51</v>
          </cell>
        </row>
        <row r="107">
          <cell r="N107">
            <v>-0.69299999999999995</v>
          </cell>
        </row>
        <row r="108">
          <cell r="N108">
            <v>-1.4570000000000001</v>
          </cell>
        </row>
        <row r="109">
          <cell r="N109">
            <v>-0.5</v>
          </cell>
        </row>
        <row r="110">
          <cell r="N110">
            <v>-0.65100000000000002</v>
          </cell>
        </row>
        <row r="111">
          <cell r="N111">
            <v>-1.2729999999999999</v>
          </cell>
        </row>
        <row r="112">
          <cell r="N112">
            <v>-0.49</v>
          </cell>
        </row>
        <row r="113">
          <cell r="N113">
            <v>-0.4</v>
          </cell>
        </row>
        <row r="114">
          <cell r="N114">
            <v>-0.82</v>
          </cell>
        </row>
        <row r="115">
          <cell r="N115">
            <v>-0.54</v>
          </cell>
        </row>
        <row r="116">
          <cell r="N116">
            <v>-1.66</v>
          </cell>
        </row>
        <row r="117">
          <cell r="N117">
            <v>-2.718</v>
          </cell>
        </row>
        <row r="118">
          <cell r="N118">
            <v>-2.3740000000000001</v>
          </cell>
        </row>
        <row r="119">
          <cell r="N119">
            <v>-0.76600000000000001</v>
          </cell>
        </row>
        <row r="120">
          <cell r="N120">
            <v>-0.98</v>
          </cell>
        </row>
        <row r="121">
          <cell r="N121">
            <v>-1.903</v>
          </cell>
        </row>
        <row r="122">
          <cell r="N122">
            <v>-1.35</v>
          </cell>
        </row>
        <row r="123">
          <cell r="N123">
            <v>-2.0529999999999999</v>
          </cell>
        </row>
        <row r="124">
          <cell r="N124">
            <v>-2.1749999999999998</v>
          </cell>
        </row>
        <row r="125">
          <cell r="N125">
            <v>-1.9890000000000001</v>
          </cell>
        </row>
        <row r="126">
          <cell r="N126">
            <v>-1.6950000000000001</v>
          </cell>
        </row>
        <row r="127">
          <cell r="N127">
            <v>-1.6160000000000001</v>
          </cell>
        </row>
        <row r="128">
          <cell r="N128">
            <v>-0.92900000000000005</v>
          </cell>
        </row>
        <row r="129">
          <cell r="N129">
            <v>-2.2069999999999999</v>
          </cell>
        </row>
        <row r="130">
          <cell r="N130">
            <v>-1.726</v>
          </cell>
        </row>
        <row r="131">
          <cell r="N131">
            <v>-0.99399999999999999</v>
          </cell>
        </row>
        <row r="132">
          <cell r="N132">
            <v>-2.181</v>
          </cell>
        </row>
        <row r="133">
          <cell r="N133">
            <v>-0.77500000000000002</v>
          </cell>
        </row>
        <row r="134">
          <cell r="N134">
            <v>-2.181</v>
          </cell>
        </row>
        <row r="135">
          <cell r="N135">
            <v>-1.9510000000000001</v>
          </cell>
        </row>
        <row r="136">
          <cell r="N136">
            <v>-1.107</v>
          </cell>
        </row>
        <row r="137">
          <cell r="N137">
            <v>-1.35</v>
          </cell>
        </row>
        <row r="138">
          <cell r="N138">
            <v>-1.7589999999999999</v>
          </cell>
        </row>
        <row r="139">
          <cell r="N139">
            <v>-2.036</v>
          </cell>
        </row>
        <row r="140">
          <cell r="N140">
            <v>-2.2570000000000001</v>
          </cell>
        </row>
        <row r="141">
          <cell r="N141">
            <v>-1.5049999999999999</v>
          </cell>
        </row>
        <row r="142">
          <cell r="N142">
            <v>-2.5009999999999999</v>
          </cell>
        </row>
        <row r="143">
          <cell r="N143">
            <v>-1.3720000000000001</v>
          </cell>
        </row>
        <row r="144">
          <cell r="N144">
            <v>-2.5979999999999999</v>
          </cell>
        </row>
        <row r="145">
          <cell r="N145">
            <v>-1.3720000000000001</v>
          </cell>
        </row>
        <row r="146">
          <cell r="N146">
            <v>-0.66600000000000004</v>
          </cell>
        </row>
        <row r="147">
          <cell r="N147">
            <v>-0.97699999999999998</v>
          </cell>
        </row>
        <row r="148">
          <cell r="N148">
            <v>-0.216</v>
          </cell>
        </row>
        <row r="149">
          <cell r="N149">
            <v>-0.36499999999999999</v>
          </cell>
        </row>
        <row r="150">
          <cell r="N150">
            <v>-0.45100000000000001</v>
          </cell>
        </row>
        <row r="151">
          <cell r="N151">
            <v>-1.1579999999999999</v>
          </cell>
        </row>
        <row r="152">
          <cell r="N152">
            <v>-1.4890000000000001</v>
          </cell>
        </row>
        <row r="153">
          <cell r="N153">
            <v>-0.76900000000000002</v>
          </cell>
        </row>
        <row r="154">
          <cell r="N154">
            <v>-1.105</v>
          </cell>
        </row>
        <row r="155">
          <cell r="N155">
            <v>-1.4890000000000001</v>
          </cell>
        </row>
        <row r="156">
          <cell r="N156">
            <v>-1.681</v>
          </cell>
        </row>
        <row r="157">
          <cell r="N157">
            <v>-1.425</v>
          </cell>
        </row>
        <row r="158">
          <cell r="N158">
            <v>-1.073</v>
          </cell>
        </row>
        <row r="159">
          <cell r="N159">
            <v>-1.0569999999999999</v>
          </cell>
        </row>
        <row r="160">
          <cell r="N160">
            <v>-0.20200000000000001</v>
          </cell>
        </row>
        <row r="161">
          <cell r="N161">
            <v>-0.74199999999999999</v>
          </cell>
        </row>
        <row r="162">
          <cell r="N162">
            <v>-0.69699999999999995</v>
          </cell>
        </row>
        <row r="163">
          <cell r="N163">
            <v>-0.36499999999999999</v>
          </cell>
        </row>
        <row r="164">
          <cell r="N164">
            <v>-0.82099999999999995</v>
          </cell>
        </row>
        <row r="165">
          <cell r="N165">
            <v>-0.877</v>
          </cell>
        </row>
        <row r="166">
          <cell r="N166">
            <v>-48</v>
          </cell>
        </row>
        <row r="167">
          <cell r="N167">
            <v>-24.228999999999999</v>
          </cell>
        </row>
        <row r="168">
          <cell r="N168">
            <v>-31.021000000000001</v>
          </cell>
        </row>
        <row r="169">
          <cell r="N169">
            <v>-17.504999999999999</v>
          </cell>
        </row>
        <row r="170">
          <cell r="N170">
            <v>-49.341000000000001</v>
          </cell>
        </row>
        <row r="171">
          <cell r="N171">
            <v>-13.227</v>
          </cell>
        </row>
        <row r="172">
          <cell r="N172">
            <v>-8.0329999999999995</v>
          </cell>
        </row>
        <row r="173">
          <cell r="N173">
            <v>-1.5529999999999999</v>
          </cell>
        </row>
        <row r="174">
          <cell r="N174">
            <v>-17.026</v>
          </cell>
        </row>
        <row r="175">
          <cell r="N175">
            <v>-21.876999999999999</v>
          </cell>
        </row>
        <row r="176">
          <cell r="N176">
            <v>-2.641</v>
          </cell>
        </row>
        <row r="177">
          <cell r="N177">
            <v>-47.503</v>
          </cell>
        </row>
        <row r="178">
          <cell r="N178">
            <v>-42.615000000000002</v>
          </cell>
        </row>
        <row r="179">
          <cell r="N179">
            <v>-628.87199999999996</v>
          </cell>
        </row>
        <row r="180">
          <cell r="N180">
            <v>-43.213000000000001</v>
          </cell>
        </row>
        <row r="181">
          <cell r="N181">
            <v>-20.068999999999999</v>
          </cell>
        </row>
        <row r="182">
          <cell r="N182">
            <v>-16.981000000000002</v>
          </cell>
        </row>
        <row r="183">
          <cell r="N183">
            <v>-49.222999999999999</v>
          </cell>
        </row>
        <row r="184">
          <cell r="N184">
            <v>-71.980999999999995</v>
          </cell>
        </row>
        <row r="185">
          <cell r="N185">
            <v>-13.343</v>
          </cell>
        </row>
        <row r="186">
          <cell r="N186">
            <v>-15.135</v>
          </cell>
        </row>
        <row r="187">
          <cell r="N187">
            <v>-17.905000000000001</v>
          </cell>
        </row>
        <row r="188">
          <cell r="N188">
            <v>-24.016999999999999</v>
          </cell>
        </row>
        <row r="189">
          <cell r="N189">
            <v>-13.593999999999999</v>
          </cell>
        </row>
        <row r="190">
          <cell r="N190">
            <v>-65.86</v>
          </cell>
        </row>
        <row r="191">
          <cell r="N191">
            <v>-40.948999999999998</v>
          </cell>
        </row>
        <row r="192">
          <cell r="N192">
            <v>-9.8859999999999992</v>
          </cell>
        </row>
        <row r="193">
          <cell r="N193">
            <v>-29.911999999999999</v>
          </cell>
        </row>
        <row r="194">
          <cell r="N194">
            <v>-64.492999999999995</v>
          </cell>
        </row>
        <row r="195">
          <cell r="N195">
            <v>-35.752000000000002</v>
          </cell>
        </row>
        <row r="196">
          <cell r="N196">
            <v>-41.47</v>
          </cell>
        </row>
        <row r="197">
          <cell r="N197">
            <v>-628.87199999999996</v>
          </cell>
        </row>
        <row r="198">
          <cell r="N198">
            <v>-42.652999999999999</v>
          </cell>
        </row>
        <row r="199">
          <cell r="N199">
            <v>-13.994999999999999</v>
          </cell>
        </row>
        <row r="200">
          <cell r="N200">
            <v>-52.798999999999999</v>
          </cell>
        </row>
        <row r="201">
          <cell r="N201">
            <v>-20.018999999999998</v>
          </cell>
        </row>
        <row r="202">
          <cell r="N202">
            <v>-47.173000000000002</v>
          </cell>
        </row>
        <row r="203">
          <cell r="N203">
            <v>-48.88</v>
          </cell>
        </row>
        <row r="204">
          <cell r="N204">
            <v>-13.227</v>
          </cell>
        </row>
        <row r="205">
          <cell r="N205">
            <v>-9.8620000000000001</v>
          </cell>
        </row>
        <row r="206">
          <cell r="N206">
            <v>-53.42</v>
          </cell>
        </row>
        <row r="207">
          <cell r="N207">
            <v>-46.262999999999998</v>
          </cell>
        </row>
        <row r="208">
          <cell r="N208">
            <v>-4.8979999999999997</v>
          </cell>
        </row>
        <row r="209">
          <cell r="N209">
            <v>-21.446999999999999</v>
          </cell>
        </row>
        <row r="210">
          <cell r="N210">
            <v>-21.326000000000001</v>
          </cell>
        </row>
        <row r="211">
          <cell r="N211">
            <v>-43.448999999999998</v>
          </cell>
        </row>
        <row r="212">
          <cell r="N212">
            <v>-22.126999999999999</v>
          </cell>
        </row>
        <row r="213">
          <cell r="N213">
            <v>-17.696000000000002</v>
          </cell>
        </row>
        <row r="214">
          <cell r="N214">
            <v>-54</v>
          </cell>
        </row>
        <row r="215">
          <cell r="N215">
            <v>-46.418999999999997</v>
          </cell>
        </row>
        <row r="216">
          <cell r="N216">
            <v>-42.054000000000002</v>
          </cell>
        </row>
        <row r="217">
          <cell r="N217">
            <v>-18.206</v>
          </cell>
        </row>
        <row r="218">
          <cell r="N218">
            <v>-40.268000000000001</v>
          </cell>
        </row>
        <row r="219">
          <cell r="N219">
            <v>-44.844000000000001</v>
          </cell>
        </row>
        <row r="220">
          <cell r="N220">
            <v>-44.585000000000001</v>
          </cell>
        </row>
        <row r="221">
          <cell r="N221">
            <v>-41.283000000000001</v>
          </cell>
        </row>
        <row r="222">
          <cell r="N222">
            <v>-15.241</v>
          </cell>
        </row>
        <row r="223">
          <cell r="N223">
            <v>-43.762</v>
          </cell>
        </row>
        <row r="224">
          <cell r="N224">
            <v>-14.34</v>
          </cell>
        </row>
        <row r="225">
          <cell r="N225">
            <v>-10.263999999999999</v>
          </cell>
        </row>
        <row r="226">
          <cell r="N226">
            <v>-4.1539999999999999</v>
          </cell>
        </row>
        <row r="227">
          <cell r="N227">
            <v>-45.628</v>
          </cell>
        </row>
        <row r="228">
          <cell r="N228">
            <v>-17.026</v>
          </cell>
        </row>
        <row r="229">
          <cell r="N229">
            <v>-52.289000000000001</v>
          </cell>
        </row>
        <row r="230">
          <cell r="N230">
            <v>-32.929000000000002</v>
          </cell>
        </row>
        <row r="231">
          <cell r="N231">
            <v>-15.295999999999999</v>
          </cell>
        </row>
        <row r="232">
          <cell r="N232">
            <v>-18.469000000000001</v>
          </cell>
        </row>
        <row r="233">
          <cell r="N233">
            <v>-20.588999999999999</v>
          </cell>
        </row>
        <row r="234">
          <cell r="N234">
            <v>-46.841999999999999</v>
          </cell>
        </row>
        <row r="235">
          <cell r="N235">
            <v>-5.1790000000000003</v>
          </cell>
        </row>
        <row r="236">
          <cell r="N236">
            <v>-5.0819999999999999</v>
          </cell>
        </row>
        <row r="237">
          <cell r="N237">
            <v>-58.332999999999998</v>
          </cell>
        </row>
        <row r="238">
          <cell r="N238">
            <v>-41.636000000000003</v>
          </cell>
        </row>
        <row r="239">
          <cell r="N239">
            <v>-19.510999999999999</v>
          </cell>
        </row>
        <row r="240">
          <cell r="N240">
            <v>-6.9649999999999999</v>
          </cell>
        </row>
        <row r="241">
          <cell r="N241">
            <v>-7.2560000000000002</v>
          </cell>
        </row>
        <row r="242">
          <cell r="N242">
            <v>-43.222000000000001</v>
          </cell>
        </row>
        <row r="243">
          <cell r="N243">
            <v>-31.337</v>
          </cell>
        </row>
        <row r="244">
          <cell r="N244">
            <v>-14.643000000000001</v>
          </cell>
        </row>
        <row r="245">
          <cell r="N245">
            <v>-47.856999999999999</v>
          </cell>
        </row>
        <row r="246">
          <cell r="N246">
            <v>-39.35</v>
          </cell>
        </row>
        <row r="247">
          <cell r="N247">
            <v>-43.981000000000002</v>
          </cell>
        </row>
        <row r="248">
          <cell r="N248">
            <v>-52.87</v>
          </cell>
        </row>
        <row r="249">
          <cell r="N249">
            <v>-42.981000000000002</v>
          </cell>
        </row>
        <row r="250">
          <cell r="N250">
            <v>-46.573999999999998</v>
          </cell>
        </row>
        <row r="251">
          <cell r="N251">
            <v>-35.929000000000002</v>
          </cell>
        </row>
        <row r="252">
          <cell r="N252">
            <v>-19.696999999999999</v>
          </cell>
        </row>
        <row r="253">
          <cell r="N253">
            <v>-19.317</v>
          </cell>
        </row>
        <row r="254">
          <cell r="N254">
            <v>-18.603999999999999</v>
          </cell>
        </row>
        <row r="255">
          <cell r="N255">
            <v>-53.781999999999996</v>
          </cell>
        </row>
        <row r="256">
          <cell r="N256">
            <v>-50.494</v>
          </cell>
        </row>
        <row r="257">
          <cell r="N257">
            <v>-4.1340000000000003</v>
          </cell>
        </row>
        <row r="258">
          <cell r="N258">
            <v>-43.957999999999998</v>
          </cell>
        </row>
        <row r="259">
          <cell r="N259">
            <v>-14.56</v>
          </cell>
        </row>
        <row r="260">
          <cell r="N260">
            <v>-43.448999999999998</v>
          </cell>
        </row>
        <row r="261">
          <cell r="N261">
            <v>-17.623000000000001</v>
          </cell>
        </row>
        <row r="262">
          <cell r="N262">
            <v>-13.227</v>
          </cell>
        </row>
        <row r="263">
          <cell r="N263">
            <v>-34.509</v>
          </cell>
        </row>
        <row r="264">
          <cell r="N264">
            <v>-63.732999999999997</v>
          </cell>
        </row>
        <row r="265">
          <cell r="N265">
            <v>-9.36</v>
          </cell>
        </row>
        <row r="266">
          <cell r="N266">
            <v>-42.085000000000001</v>
          </cell>
        </row>
        <row r="267">
          <cell r="N267">
            <v>-48.768000000000001</v>
          </cell>
        </row>
        <row r="268">
          <cell r="N268">
            <v>-40.948999999999998</v>
          </cell>
        </row>
        <row r="269">
          <cell r="N269">
            <v>-52.750999999999998</v>
          </cell>
        </row>
        <row r="270">
          <cell r="N270">
            <v>-45.779000000000003</v>
          </cell>
        </row>
        <row r="271">
          <cell r="N271">
            <v>-5.42</v>
          </cell>
        </row>
        <row r="272">
          <cell r="N272">
            <v>-63.832000000000001</v>
          </cell>
        </row>
        <row r="273">
          <cell r="N273">
            <v>-16.13</v>
          </cell>
        </row>
        <row r="274">
          <cell r="N274">
            <v>-18.376999999999999</v>
          </cell>
        </row>
        <row r="275">
          <cell r="N275">
            <v>-43.606000000000002</v>
          </cell>
        </row>
        <row r="276">
          <cell r="N276">
            <v>-13.231999999999999</v>
          </cell>
        </row>
        <row r="277">
          <cell r="N277">
            <v>-16.477</v>
          </cell>
        </row>
        <row r="278">
          <cell r="N278">
            <v>-36.616</v>
          </cell>
        </row>
        <row r="279">
          <cell r="N279">
            <v>-44.075000000000003</v>
          </cell>
        </row>
        <row r="280">
          <cell r="N280">
            <v>-23.02</v>
          </cell>
        </row>
        <row r="281">
          <cell r="N281">
            <v>-67.231999999999999</v>
          </cell>
        </row>
        <row r="282">
          <cell r="N282">
            <v>-11.981999999999999</v>
          </cell>
        </row>
        <row r="283">
          <cell r="N283">
            <v>-45.731000000000002</v>
          </cell>
        </row>
        <row r="284">
          <cell r="N284">
            <v>-7.4329999999999998</v>
          </cell>
        </row>
        <row r="285">
          <cell r="N285">
            <v>-17.818999999999999</v>
          </cell>
        </row>
        <row r="286">
          <cell r="N286">
            <v>-45.567</v>
          </cell>
        </row>
        <row r="287">
          <cell r="N287">
            <v>-6.76</v>
          </cell>
        </row>
        <row r="288">
          <cell r="N288">
            <v>-4.9930000000000003</v>
          </cell>
        </row>
        <row r="289">
          <cell r="N289">
            <v>-45.637999999999998</v>
          </cell>
        </row>
        <row r="290">
          <cell r="N290">
            <v>-43.917999999999999</v>
          </cell>
        </row>
        <row r="291">
          <cell r="N291">
            <v>-13.807</v>
          </cell>
        </row>
        <row r="292">
          <cell r="N292">
            <v>-16.34</v>
          </cell>
        </row>
        <row r="293">
          <cell r="N293">
            <v>-38.460999999999999</v>
          </cell>
        </row>
        <row r="294">
          <cell r="N294">
            <v>-44.231000000000002</v>
          </cell>
        </row>
        <row r="295">
          <cell r="N295">
            <v>-51.503</v>
          </cell>
        </row>
        <row r="296">
          <cell r="N296">
            <v>-48.188000000000002</v>
          </cell>
        </row>
        <row r="297">
          <cell r="N297">
            <v>-44.390999999999998</v>
          </cell>
        </row>
        <row r="298">
          <cell r="N298">
            <v>-18.603999999999999</v>
          </cell>
        </row>
        <row r="299">
          <cell r="N299">
            <v>-21.802</v>
          </cell>
        </row>
        <row r="300">
          <cell r="N300">
            <v>-13.691000000000001</v>
          </cell>
        </row>
        <row r="301">
          <cell r="N301">
            <v>-20.530999999999999</v>
          </cell>
        </row>
        <row r="302">
          <cell r="N302">
            <v>-6.1029999999999998</v>
          </cell>
        </row>
        <row r="303">
          <cell r="N303">
            <v>-43.027999999999999</v>
          </cell>
        </row>
        <row r="304">
          <cell r="N304">
            <v>-19.23</v>
          </cell>
        </row>
        <row r="305">
          <cell r="N305">
            <v>-16.414000000000001</v>
          </cell>
        </row>
        <row r="306">
          <cell r="N306">
            <v>-19.460999999999999</v>
          </cell>
        </row>
        <row r="307">
          <cell r="N307">
            <v>-40.302</v>
          </cell>
        </row>
        <row r="308">
          <cell r="N308">
            <v>-11.254</v>
          </cell>
        </row>
        <row r="309">
          <cell r="N309">
            <v>-35.273000000000003</v>
          </cell>
        </row>
        <row r="310">
          <cell r="N310">
            <v>-35.585000000000001</v>
          </cell>
        </row>
        <row r="311">
          <cell r="N311">
            <v>-52.414000000000001</v>
          </cell>
        </row>
        <row r="312">
          <cell r="N312">
            <v>-46.262999999999998</v>
          </cell>
        </row>
        <row r="313">
          <cell r="N313">
            <v>-55.104999999999997</v>
          </cell>
        </row>
        <row r="314">
          <cell r="N314">
            <v>-16.414000000000001</v>
          </cell>
        </row>
        <row r="315">
          <cell r="N315">
            <v>-11.765000000000001</v>
          </cell>
        </row>
        <row r="316">
          <cell r="N316">
            <v>-14.861000000000001</v>
          </cell>
        </row>
        <row r="317">
          <cell r="N317">
            <v>-77.98</v>
          </cell>
        </row>
        <row r="318">
          <cell r="N318">
            <v>-39.948999999999998</v>
          </cell>
        </row>
        <row r="319">
          <cell r="N319">
            <v>-46.106000000000002</v>
          </cell>
        </row>
        <row r="320">
          <cell r="N320">
            <v>-21.693000000000001</v>
          </cell>
        </row>
        <row r="321">
          <cell r="N321">
            <v>-9.2910000000000004</v>
          </cell>
        </row>
        <row r="322">
          <cell r="N322">
            <v>-49.802</v>
          </cell>
        </row>
        <row r="323">
          <cell r="N323">
            <v>-13.888999999999999</v>
          </cell>
        </row>
        <row r="324">
          <cell r="N324">
            <v>-45.481000000000002</v>
          </cell>
        </row>
        <row r="325">
          <cell r="N325">
            <v>-41.97</v>
          </cell>
        </row>
        <row r="326">
          <cell r="N326">
            <v>-12.182</v>
          </cell>
        </row>
        <row r="327">
          <cell r="N327">
            <v>-18.206</v>
          </cell>
        </row>
        <row r="328">
          <cell r="N328">
            <v>-12.182</v>
          </cell>
        </row>
        <row r="329">
          <cell r="N329">
            <v>-41.104999999999997</v>
          </cell>
        </row>
        <row r="330">
          <cell r="N330">
            <v>-3.1520000000000001</v>
          </cell>
        </row>
        <row r="331">
          <cell r="N331">
            <v>-42.198999999999998</v>
          </cell>
        </row>
        <row r="332">
          <cell r="N332">
            <v>-3.5750000000000002</v>
          </cell>
        </row>
        <row r="333">
          <cell r="N333">
            <v>-43.417000000000002</v>
          </cell>
        </row>
        <row r="334">
          <cell r="N334">
            <v>-5.9219999999999997</v>
          </cell>
        </row>
        <row r="335">
          <cell r="N335">
            <v>-7.7080000000000002</v>
          </cell>
        </row>
        <row r="336">
          <cell r="N336">
            <v>-13.343999999999999</v>
          </cell>
        </row>
        <row r="337">
          <cell r="N337">
            <v>-41.081000000000003</v>
          </cell>
        </row>
        <row r="338">
          <cell r="N338">
            <v>-16.789000000000001</v>
          </cell>
        </row>
        <row r="339">
          <cell r="N339">
            <v>-14.18</v>
          </cell>
        </row>
        <row r="340">
          <cell r="N340">
            <v>-57.884</v>
          </cell>
        </row>
        <row r="341">
          <cell r="N341">
            <v>-35.878</v>
          </cell>
        </row>
        <row r="342">
          <cell r="N342">
            <v>-13.585000000000001</v>
          </cell>
        </row>
        <row r="343">
          <cell r="N343">
            <v>-65.25</v>
          </cell>
        </row>
        <row r="344">
          <cell r="N344">
            <v>-14.952999999999999</v>
          </cell>
        </row>
        <row r="345">
          <cell r="N345">
            <v>-11.846</v>
          </cell>
        </row>
        <row r="346">
          <cell r="N346">
            <v>-36.872999999999998</v>
          </cell>
        </row>
        <row r="347">
          <cell r="N347">
            <v>-11.164999999999999</v>
          </cell>
        </row>
        <row r="348">
          <cell r="N348">
            <v>-47.265999999999998</v>
          </cell>
        </row>
        <row r="349">
          <cell r="N349">
            <v>-12.496</v>
          </cell>
        </row>
        <row r="350">
          <cell r="N350">
            <v>-44.719000000000001</v>
          </cell>
        </row>
        <row r="351">
          <cell r="N351">
            <v>-5.681</v>
          </cell>
        </row>
        <row r="352">
          <cell r="N352">
            <v>-22.155999999999999</v>
          </cell>
        </row>
        <row r="353">
          <cell r="N353">
            <v>-20.111999999999998</v>
          </cell>
        </row>
        <row r="354">
          <cell r="N354">
            <v>-44.313000000000002</v>
          </cell>
        </row>
        <row r="355">
          <cell r="N355">
            <v>-37.304000000000002</v>
          </cell>
        </row>
        <row r="356">
          <cell r="N356">
            <v>-43.070999999999998</v>
          </cell>
        </row>
        <row r="357">
          <cell r="N357">
            <v>-55.335999999999999</v>
          </cell>
        </row>
        <row r="358">
          <cell r="N358">
            <v>-298</v>
          </cell>
        </row>
        <row r="359">
          <cell r="N359">
            <v>-30.896000000000001</v>
          </cell>
        </row>
        <row r="360">
          <cell r="N360">
            <v>-20.856000000000002</v>
          </cell>
        </row>
        <row r="361">
          <cell r="N361">
            <v>-52.289000000000001</v>
          </cell>
        </row>
        <row r="362">
          <cell r="N362">
            <v>-5.4960000000000004</v>
          </cell>
        </row>
        <row r="363">
          <cell r="N363">
            <v>-6.35</v>
          </cell>
        </row>
        <row r="364">
          <cell r="N364">
            <v>-37.51</v>
          </cell>
        </row>
        <row r="365">
          <cell r="N365">
            <v>-9.218</v>
          </cell>
        </row>
        <row r="366">
          <cell r="N366">
            <v>-12.266999999999999</v>
          </cell>
        </row>
        <row r="367">
          <cell r="N367">
            <v>-51.162999999999997</v>
          </cell>
        </row>
        <row r="368">
          <cell r="N368">
            <v>-5.24</v>
          </cell>
        </row>
        <row r="369">
          <cell r="N369">
            <v>-0.16200000000000001</v>
          </cell>
        </row>
        <row r="370">
          <cell r="N370">
            <v>-35.947000000000003</v>
          </cell>
        </row>
        <row r="371">
          <cell r="N371">
            <v>-41.86</v>
          </cell>
        </row>
        <row r="372">
          <cell r="N372">
            <v>-10.459</v>
          </cell>
        </row>
        <row r="373">
          <cell r="N373">
            <v>-3.5000000000000003E-2</v>
          </cell>
        </row>
        <row r="374">
          <cell r="N374">
            <v>-22.864999999999998</v>
          </cell>
        </row>
        <row r="375">
          <cell r="N375">
            <v>-58.112000000000002</v>
          </cell>
        </row>
        <row r="376">
          <cell r="N376">
            <v>-11.37</v>
          </cell>
        </row>
        <row r="377">
          <cell r="N377">
            <v>-5.34</v>
          </cell>
        </row>
        <row r="378">
          <cell r="N378">
            <v>-2.524</v>
          </cell>
        </row>
        <row r="379">
          <cell r="N379">
            <v>-45.168999999999997</v>
          </cell>
        </row>
        <row r="380">
          <cell r="N380">
            <v>-14.161</v>
          </cell>
        </row>
        <row r="381">
          <cell r="N381">
            <v>-1.988</v>
          </cell>
        </row>
        <row r="382">
          <cell r="N382">
            <v>-0.53</v>
          </cell>
        </row>
        <row r="383">
          <cell r="N383">
            <v>-6.9880000000000004</v>
          </cell>
        </row>
        <row r="384">
          <cell r="N384">
            <v>-0.81499999999999995</v>
          </cell>
        </row>
        <row r="385">
          <cell r="N385">
            <v>-6.0000000000000001E-3</v>
          </cell>
        </row>
        <row r="386">
          <cell r="N386">
            <v>-9.1229999999999993</v>
          </cell>
        </row>
        <row r="387">
          <cell r="N387">
            <v>-21.248999999999999</v>
          </cell>
        </row>
        <row r="388">
          <cell r="N388">
            <v>-6.4000000000000001E-2</v>
          </cell>
        </row>
        <row r="389">
          <cell r="N389">
            <v>-22.405000000000001</v>
          </cell>
        </row>
        <row r="390">
          <cell r="N390">
            <v>-16.241</v>
          </cell>
        </row>
        <row r="391">
          <cell r="N391">
            <v>-34.554000000000002</v>
          </cell>
        </row>
        <row r="392">
          <cell r="N392">
            <v>-11.677</v>
          </cell>
        </row>
        <row r="393">
          <cell r="N393">
            <v>-49.222999999999999</v>
          </cell>
        </row>
        <row r="394">
          <cell r="N394">
            <v>-67.911000000000001</v>
          </cell>
        </row>
        <row r="395">
          <cell r="N395">
            <v>-33.134</v>
          </cell>
        </row>
        <row r="396">
          <cell r="N396">
            <v>-43.234999999999999</v>
          </cell>
        </row>
        <row r="397">
          <cell r="N397">
            <v>-43.780999999999999</v>
          </cell>
        </row>
        <row r="398">
          <cell r="N398">
            <v>-10.586</v>
          </cell>
        </row>
        <row r="399">
          <cell r="N399">
            <v>-40.9</v>
          </cell>
        </row>
        <row r="400">
          <cell r="N400">
            <v>-32.491</v>
          </cell>
        </row>
        <row r="401">
          <cell r="N401">
            <v>-39.698</v>
          </cell>
        </row>
        <row r="402">
          <cell r="N402">
            <v>-37.932000000000002</v>
          </cell>
        </row>
        <row r="403">
          <cell r="N403">
            <v>-15.598000000000001</v>
          </cell>
        </row>
        <row r="404">
          <cell r="N404">
            <v>-4.5810000000000004</v>
          </cell>
        </row>
        <row r="405">
          <cell r="N405">
            <v>-51.274999999999999</v>
          </cell>
        </row>
        <row r="406">
          <cell r="N406">
            <v>-13.055</v>
          </cell>
        </row>
        <row r="407">
          <cell r="N407">
            <v>-36.103999999999999</v>
          </cell>
        </row>
        <row r="408">
          <cell r="N408">
            <v>-15.347</v>
          </cell>
        </row>
        <row r="409">
          <cell r="N409">
            <v>-40.692</v>
          </cell>
        </row>
        <row r="410">
          <cell r="N410">
            <v>-5.66</v>
          </cell>
        </row>
        <row r="411">
          <cell r="N411">
            <v>-36.796999999999997</v>
          </cell>
        </row>
        <row r="412">
          <cell r="N412">
            <v>-9.2590000000000003</v>
          </cell>
        </row>
        <row r="413">
          <cell r="N413">
            <v>-49.908000000000001</v>
          </cell>
        </row>
        <row r="414">
          <cell r="N414">
            <v>-10.906000000000001</v>
          </cell>
        </row>
        <row r="415">
          <cell r="N415">
            <v>-31.571000000000002</v>
          </cell>
        </row>
        <row r="416">
          <cell r="N416">
            <v>-49.741999999999997</v>
          </cell>
        </row>
        <row r="417">
          <cell r="N417">
            <v>-21.7</v>
          </cell>
        </row>
        <row r="418">
          <cell r="N418">
            <v>-14.756</v>
          </cell>
        </row>
        <row r="419">
          <cell r="N419">
            <v>-4.6779999999999999</v>
          </cell>
        </row>
        <row r="420">
          <cell r="N420">
            <v>-40.691000000000003</v>
          </cell>
        </row>
        <row r="421">
          <cell r="N421">
            <v>-10.856999999999999</v>
          </cell>
        </row>
        <row r="422">
          <cell r="N422">
            <v>-25.584</v>
          </cell>
        </row>
        <row r="423">
          <cell r="N423">
            <v>-43.664999999999999</v>
          </cell>
        </row>
        <row r="424">
          <cell r="N424">
            <v>-17.623000000000001</v>
          </cell>
        </row>
        <row r="425">
          <cell r="N425">
            <v>-13.843</v>
          </cell>
        </row>
        <row r="426">
          <cell r="N426">
            <v>-22.978999999999999</v>
          </cell>
        </row>
        <row r="427">
          <cell r="N427">
            <v>-59.716000000000001</v>
          </cell>
        </row>
        <row r="428">
          <cell r="N428">
            <v>-6.0430000000000001</v>
          </cell>
        </row>
        <row r="429">
          <cell r="N429">
            <v>-51.225999999999999</v>
          </cell>
        </row>
        <row r="430">
          <cell r="N430">
            <v>-11.834</v>
          </cell>
        </row>
        <row r="431">
          <cell r="N431">
            <v>-19.855</v>
          </cell>
        </row>
        <row r="432">
          <cell r="N432">
            <v>-51.58</v>
          </cell>
        </row>
        <row r="433">
          <cell r="N433">
            <v>-9.9659999999999993</v>
          </cell>
        </row>
        <row r="434">
          <cell r="N434">
            <v>-38.238999999999997</v>
          </cell>
        </row>
        <row r="435">
          <cell r="N435">
            <v>-14.56</v>
          </cell>
        </row>
        <row r="436">
          <cell r="N436">
            <v>-11.677</v>
          </cell>
        </row>
        <row r="437">
          <cell r="N437">
            <v>-17.117999999999999</v>
          </cell>
        </row>
        <row r="438">
          <cell r="N438">
            <v>-32.491</v>
          </cell>
        </row>
        <row r="439">
          <cell r="N439">
            <v>-62.021999999999998</v>
          </cell>
        </row>
        <row r="440">
          <cell r="N440">
            <v>-12.994999999999999</v>
          </cell>
        </row>
        <row r="441">
          <cell r="N441">
            <v>-45.99</v>
          </cell>
        </row>
        <row r="442">
          <cell r="N442">
            <v>-11.029</v>
          </cell>
        </row>
        <row r="443">
          <cell r="N443">
            <v>-5.8819999999999997</v>
          </cell>
        </row>
        <row r="444">
          <cell r="N444">
            <v>-2.9449999999999998</v>
          </cell>
        </row>
        <row r="445">
          <cell r="N445">
            <v>-42.042999999999999</v>
          </cell>
        </row>
        <row r="446">
          <cell r="N446">
            <v>-3.6259999999999999</v>
          </cell>
        </row>
        <row r="447">
          <cell r="N447">
            <v>-40.874000000000002</v>
          </cell>
        </row>
        <row r="448">
          <cell r="N448">
            <v>-12.994999999999999</v>
          </cell>
        </row>
        <row r="449">
          <cell r="N449">
            <v>-46.106000000000002</v>
          </cell>
        </row>
        <row r="450">
          <cell r="N450">
            <v>-16.657</v>
          </cell>
        </row>
        <row r="451">
          <cell r="N451">
            <v>-14.333</v>
          </cell>
        </row>
        <row r="452">
          <cell r="N452">
            <v>-10.993</v>
          </cell>
        </row>
        <row r="453">
          <cell r="N453">
            <v>-66.981999999999999</v>
          </cell>
        </row>
        <row r="454">
          <cell r="N454">
            <v>-23.923999999999999</v>
          </cell>
        </row>
        <row r="455">
          <cell r="N455">
            <v>-57.2</v>
          </cell>
        </row>
        <row r="456">
          <cell r="N456">
            <v>-2.3290000000000002</v>
          </cell>
        </row>
        <row r="457">
          <cell r="N457">
            <v>-5.8220000000000001</v>
          </cell>
        </row>
        <row r="458">
          <cell r="N458">
            <v>-13.071999999999999</v>
          </cell>
        </row>
        <row r="459">
          <cell r="N459">
            <v>-44.390999999999998</v>
          </cell>
        </row>
        <row r="460">
          <cell r="N460">
            <v>-15.199</v>
          </cell>
        </row>
        <row r="461">
          <cell r="N461">
            <v>-20.384</v>
          </cell>
        </row>
        <row r="462">
          <cell r="N462">
            <v>-60.390999999999998</v>
          </cell>
        </row>
        <row r="463">
          <cell r="N463">
            <v>-60.390999999999998</v>
          </cell>
        </row>
        <row r="464">
          <cell r="N464">
            <v>-3.0950000000000002</v>
          </cell>
        </row>
        <row r="465">
          <cell r="N465">
            <v>-36.520000000000003</v>
          </cell>
        </row>
        <row r="466">
          <cell r="N466">
            <v>-47.68</v>
          </cell>
        </row>
        <row r="467">
          <cell r="N467">
            <v>-5.0620000000000003</v>
          </cell>
        </row>
        <row r="468">
          <cell r="N468">
            <v>-12.214</v>
          </cell>
        </row>
        <row r="469">
          <cell r="N469">
            <v>-15.159000000000001</v>
          </cell>
        </row>
        <row r="470">
          <cell r="N470">
            <v>-42.249000000000002</v>
          </cell>
        </row>
        <row r="471">
          <cell r="N471">
            <v>-48.478999999999999</v>
          </cell>
        </row>
        <row r="472">
          <cell r="N472">
            <v>-77.78</v>
          </cell>
        </row>
        <row r="473">
          <cell r="N473">
            <v>-51.048000000000002</v>
          </cell>
        </row>
        <row r="474">
          <cell r="N474">
            <v>-10.558</v>
          </cell>
        </row>
        <row r="475">
          <cell r="N475">
            <v>-4.4370000000000003</v>
          </cell>
        </row>
        <row r="476">
          <cell r="N476">
            <v>-11.881</v>
          </cell>
        </row>
        <row r="477">
          <cell r="N477">
            <v>-45.481000000000002</v>
          </cell>
        </row>
        <row r="478">
          <cell r="N478">
            <v>-9.5679999999999996</v>
          </cell>
        </row>
        <row r="479">
          <cell r="N479">
            <v>-4.9749999999999996</v>
          </cell>
        </row>
        <row r="480">
          <cell r="N480">
            <v>-15.066000000000001</v>
          </cell>
        </row>
        <row r="481">
          <cell r="N481">
            <v>-10.348000000000001</v>
          </cell>
        </row>
        <row r="482">
          <cell r="N482">
            <v>-13.231999999999999</v>
          </cell>
        </row>
        <row r="483">
          <cell r="N483">
            <v>-46.106000000000002</v>
          </cell>
        </row>
        <row r="484">
          <cell r="N484">
            <v>-13.888999999999999</v>
          </cell>
        </row>
        <row r="485">
          <cell r="N485">
            <v>-18.141999999999999</v>
          </cell>
        </row>
        <row r="486">
          <cell r="N486">
            <v>-22.661000000000001</v>
          </cell>
        </row>
        <row r="487">
          <cell r="N487">
            <v>-46.262999999999998</v>
          </cell>
        </row>
        <row r="488">
          <cell r="N488">
            <v>-2.7949999999999999</v>
          </cell>
        </row>
        <row r="489">
          <cell r="N489">
            <v>-51.228999999999999</v>
          </cell>
        </row>
        <row r="490">
          <cell r="N490">
            <v>-18.66</v>
          </cell>
        </row>
        <row r="491">
          <cell r="N491">
            <v>-15.523</v>
          </cell>
        </row>
        <row r="492">
          <cell r="N492">
            <v>-42.198999999999998</v>
          </cell>
        </row>
        <row r="493">
          <cell r="N493">
            <v>-40.412999999999997</v>
          </cell>
        </row>
        <row r="494">
          <cell r="N494">
            <v>-15.199</v>
          </cell>
        </row>
        <row r="495">
          <cell r="N495">
            <v>-37.151000000000003</v>
          </cell>
        </row>
        <row r="496">
          <cell r="N496">
            <v>-37.381999999999998</v>
          </cell>
        </row>
        <row r="497">
          <cell r="N497">
            <v>-21.251999999999999</v>
          </cell>
        </row>
        <row r="498">
          <cell r="N498">
            <v>-1.4999999999999999E-2</v>
          </cell>
        </row>
        <row r="499">
          <cell r="N499">
            <v>-13.526</v>
          </cell>
        </row>
        <row r="500">
          <cell r="N500">
            <v>-5.5810000000000004</v>
          </cell>
        </row>
        <row r="501">
          <cell r="N501">
            <v>-15.377000000000001</v>
          </cell>
        </row>
        <row r="502">
          <cell r="N502">
            <v>-29.670999999999999</v>
          </cell>
        </row>
        <row r="503">
          <cell r="N503">
            <v>-47.41</v>
          </cell>
        </row>
        <row r="504">
          <cell r="N504">
            <v>-13.638999999999999</v>
          </cell>
        </row>
        <row r="505">
          <cell r="N505">
            <v>-47.866999999999997</v>
          </cell>
        </row>
        <row r="506">
          <cell r="N506">
            <v>-56.95</v>
          </cell>
        </row>
        <row r="507">
          <cell r="N507">
            <v>-12.417999999999999</v>
          </cell>
        </row>
        <row r="508">
          <cell r="N508">
            <v>-12.066000000000001</v>
          </cell>
        </row>
        <row r="509">
          <cell r="N509">
            <v>-5.28</v>
          </cell>
        </row>
        <row r="510">
          <cell r="N510">
            <v>-42.158999999999999</v>
          </cell>
        </row>
        <row r="511">
          <cell r="N511">
            <v>-4.8680000000000003</v>
          </cell>
        </row>
        <row r="512">
          <cell r="N512">
            <v>-20.462</v>
          </cell>
        </row>
        <row r="513">
          <cell r="N513">
            <v>-4.2160000000000002</v>
          </cell>
        </row>
        <row r="514">
          <cell r="N514">
            <v>-48.649000000000001</v>
          </cell>
        </row>
        <row r="515">
          <cell r="N515">
            <v>-54.643999999999998</v>
          </cell>
        </row>
        <row r="516">
          <cell r="N516">
            <v>-14.161</v>
          </cell>
        </row>
        <row r="517">
          <cell r="N517">
            <v>-9.8780000000000001</v>
          </cell>
        </row>
        <row r="518">
          <cell r="N518">
            <v>-25.76</v>
          </cell>
        </row>
        <row r="519">
          <cell r="N519">
            <v>-14.859</v>
          </cell>
        </row>
        <row r="520">
          <cell r="N520">
            <v>-3.9350000000000001</v>
          </cell>
        </row>
        <row r="521">
          <cell r="N521">
            <v>-3.1850000000000001</v>
          </cell>
        </row>
        <row r="522">
          <cell r="N522">
            <v>-45.35</v>
          </cell>
        </row>
        <row r="523">
          <cell r="N523">
            <v>-17.314</v>
          </cell>
        </row>
        <row r="524">
          <cell r="N524">
            <v>-60.162999999999997</v>
          </cell>
        </row>
        <row r="525">
          <cell r="N525">
            <v>-38.549999999999997</v>
          </cell>
        </row>
        <row r="526">
          <cell r="N526">
            <v>-65.483000000000004</v>
          </cell>
        </row>
        <row r="527">
          <cell r="N527">
            <v>-13.083</v>
          </cell>
        </row>
        <row r="528">
          <cell r="N528">
            <v>-48.606999999999999</v>
          </cell>
        </row>
        <row r="529">
          <cell r="N529">
            <v>-12.689</v>
          </cell>
        </row>
        <row r="530">
          <cell r="N530">
            <v>-13.343999999999999</v>
          </cell>
        </row>
        <row r="531">
          <cell r="N531">
            <v>-50.871000000000002</v>
          </cell>
        </row>
        <row r="532">
          <cell r="N532">
            <v>-13.459</v>
          </cell>
        </row>
        <row r="533">
          <cell r="N533">
            <v>-50.515999999999998</v>
          </cell>
        </row>
        <row r="534">
          <cell r="N534">
            <v>-6.4009999999999998</v>
          </cell>
        </row>
        <row r="535">
          <cell r="N535">
            <v>-22.318000000000001</v>
          </cell>
        </row>
        <row r="536">
          <cell r="N536">
            <v>-15.204000000000001</v>
          </cell>
        </row>
        <row r="537">
          <cell r="N537">
            <v>-2E-3</v>
          </cell>
        </row>
        <row r="538">
          <cell r="N538">
            <v>-43.603999999999999</v>
          </cell>
        </row>
        <row r="539">
          <cell r="N539">
            <v>-4.3170000000000002</v>
          </cell>
        </row>
        <row r="540">
          <cell r="N540">
            <v>-50.723999999999997</v>
          </cell>
        </row>
        <row r="541">
          <cell r="N541">
            <v>-14.734999999999999</v>
          </cell>
        </row>
        <row r="542">
          <cell r="N542">
            <v>-46.575000000000003</v>
          </cell>
        </row>
        <row r="543">
          <cell r="N543">
            <v>-46.08</v>
          </cell>
        </row>
        <row r="544">
          <cell r="N544">
            <v>-71.87</v>
          </cell>
        </row>
        <row r="545">
          <cell r="N545">
            <v>-13.247</v>
          </cell>
        </row>
        <row r="546">
          <cell r="N546">
            <v>-43.070999999999998</v>
          </cell>
        </row>
        <row r="547">
          <cell r="N547">
            <v>-44.231000000000002</v>
          </cell>
        </row>
        <row r="548">
          <cell r="N548">
            <v>-45.866</v>
          </cell>
        </row>
        <row r="549">
          <cell r="N549">
            <v>-21.347000000000001</v>
          </cell>
        </row>
        <row r="550">
          <cell r="N550">
            <v>-37.301000000000002</v>
          </cell>
        </row>
        <row r="551">
          <cell r="N551">
            <v>-11.621</v>
          </cell>
        </row>
        <row r="552">
          <cell r="N552">
            <v>-14.138</v>
          </cell>
        </row>
        <row r="553">
          <cell r="N553">
            <v>-38.679000000000002</v>
          </cell>
        </row>
        <row r="554">
          <cell r="N554">
            <v>-22.687999999999999</v>
          </cell>
        </row>
        <row r="555">
          <cell r="N555">
            <v>-53.521000000000001</v>
          </cell>
        </row>
        <row r="556">
          <cell r="N556">
            <v>-49.856999999999999</v>
          </cell>
        </row>
        <row r="557">
          <cell r="N557">
            <v>-41.47</v>
          </cell>
        </row>
        <row r="558">
          <cell r="N558">
            <v>-39.698</v>
          </cell>
        </row>
        <row r="559">
          <cell r="N559">
            <v>-34.939</v>
          </cell>
        </row>
        <row r="560">
          <cell r="N560">
            <v>-30.58</v>
          </cell>
        </row>
        <row r="561">
          <cell r="N561">
            <v>-7</v>
          </cell>
        </row>
        <row r="562">
          <cell r="N562">
            <v>-7</v>
          </cell>
        </row>
        <row r="563">
          <cell r="N563">
            <v>-7</v>
          </cell>
        </row>
        <row r="564">
          <cell r="N564">
            <v>-39.710999999999999</v>
          </cell>
        </row>
        <row r="565">
          <cell r="N565">
            <v>-37.991999999999997</v>
          </cell>
        </row>
        <row r="566">
          <cell r="N566">
            <v>-15.723000000000001</v>
          </cell>
        </row>
        <row r="567">
          <cell r="N567">
            <v>-15.494999999999999</v>
          </cell>
        </row>
        <row r="568">
          <cell r="N568">
            <v>-45.99</v>
          </cell>
        </row>
        <row r="569">
          <cell r="N569">
            <v>-9.5139999999999993</v>
          </cell>
        </row>
        <row r="570">
          <cell r="N570">
            <v>-15.244</v>
          </cell>
        </row>
        <row r="571">
          <cell r="N571">
            <v>-13.585000000000001</v>
          </cell>
        </row>
        <row r="572">
          <cell r="N572">
            <v>-18.297999999999998</v>
          </cell>
        </row>
        <row r="573">
          <cell r="N573">
            <v>-12.762</v>
          </cell>
        </row>
        <row r="574">
          <cell r="N574">
            <v>-44.231000000000002</v>
          </cell>
        </row>
        <row r="575">
          <cell r="N575">
            <v>-44.747999999999998</v>
          </cell>
        </row>
        <row r="576">
          <cell r="N576">
            <v>-5.0880000000000001</v>
          </cell>
        </row>
        <row r="577">
          <cell r="N577">
            <v>-53.326000000000001</v>
          </cell>
        </row>
        <row r="578">
          <cell r="N578">
            <v>-15.494999999999999</v>
          </cell>
        </row>
        <row r="579">
          <cell r="N579">
            <v>-9.843</v>
          </cell>
        </row>
        <row r="580">
          <cell r="N580">
            <v>-16.850999999999999</v>
          </cell>
        </row>
        <row r="581">
          <cell r="N581">
            <v>-13.753</v>
          </cell>
        </row>
        <row r="582">
          <cell r="N582">
            <v>-3.085</v>
          </cell>
        </row>
        <row r="583">
          <cell r="N583">
            <v>-44.075000000000003</v>
          </cell>
        </row>
        <row r="584">
          <cell r="N584">
            <v>-12.798999999999999</v>
          </cell>
        </row>
        <row r="585">
          <cell r="N585">
            <v>-45.354999999999997</v>
          </cell>
        </row>
        <row r="586">
          <cell r="N586">
            <v>-12.689</v>
          </cell>
        </row>
        <row r="587">
          <cell r="N587">
            <v>-35.683999999999997</v>
          </cell>
        </row>
        <row r="588">
          <cell r="N588">
            <v>-59.734000000000002</v>
          </cell>
        </row>
        <row r="589">
          <cell r="N589">
            <v>-63.914999999999999</v>
          </cell>
        </row>
        <row r="590">
          <cell r="N590">
            <v>-3.2749999999999999</v>
          </cell>
        </row>
        <row r="591">
          <cell r="N591">
            <v>-32.094000000000001</v>
          </cell>
        </row>
        <row r="592">
          <cell r="N592">
            <v>-2.3730000000000002</v>
          </cell>
        </row>
        <row r="593">
          <cell r="N593">
            <v>-4.407</v>
          </cell>
        </row>
        <row r="594">
          <cell r="N594">
            <v>-43.186</v>
          </cell>
        </row>
        <row r="595">
          <cell r="N595">
            <v>-0.75900000000000001</v>
          </cell>
        </row>
        <row r="596">
          <cell r="N596">
            <v>-42.942</v>
          </cell>
        </row>
        <row r="597">
          <cell r="N597">
            <v>-10.039999999999999</v>
          </cell>
        </row>
        <row r="598">
          <cell r="N598">
            <v>-15.775</v>
          </cell>
        </row>
        <row r="599">
          <cell r="N599">
            <v>-36.17</v>
          </cell>
        </row>
        <row r="600">
          <cell r="N600">
            <v>-6.0999999999999999E-2</v>
          </cell>
        </row>
        <row r="601">
          <cell r="N601">
            <v>-19.053999999999998</v>
          </cell>
        </row>
        <row r="602">
          <cell r="N602">
            <v>-20.337</v>
          </cell>
        </row>
        <row r="603">
          <cell r="N603">
            <v>-18.399999999999999</v>
          </cell>
        </row>
        <row r="604">
          <cell r="N604">
            <v>-5.1589999999999998</v>
          </cell>
        </row>
        <row r="605">
          <cell r="N605">
            <v>-14.643000000000001</v>
          </cell>
        </row>
        <row r="606">
          <cell r="N606">
            <v>-40.302</v>
          </cell>
        </row>
        <row r="607">
          <cell r="N607">
            <v>-3.3780000000000001</v>
          </cell>
        </row>
        <row r="608">
          <cell r="N608">
            <v>-4.6779999999999999</v>
          </cell>
        </row>
        <row r="609">
          <cell r="N609">
            <v>-14.271000000000001</v>
          </cell>
        </row>
        <row r="610">
          <cell r="N610">
            <v>-35.069000000000003</v>
          </cell>
        </row>
        <row r="611">
          <cell r="N611">
            <v>-18.876999999999999</v>
          </cell>
        </row>
        <row r="612">
          <cell r="N612">
            <v>-18.966000000000001</v>
          </cell>
        </row>
        <row r="613">
          <cell r="N613">
            <v>-70.924000000000007</v>
          </cell>
        </row>
        <row r="614">
          <cell r="N614">
            <v>-43.866</v>
          </cell>
        </row>
        <row r="615">
          <cell r="N615">
            <v>-19.562000000000001</v>
          </cell>
        </row>
        <row r="616">
          <cell r="N616">
            <v>-58.793999999999997</v>
          </cell>
        </row>
        <row r="617">
          <cell r="N617">
            <v>-43.780999999999999</v>
          </cell>
        </row>
        <row r="618">
          <cell r="N618">
            <v>-43.292999999999999</v>
          </cell>
        </row>
        <row r="619">
          <cell r="N619">
            <v>-42.249000000000002</v>
          </cell>
        </row>
        <row r="620">
          <cell r="N620">
            <v>-5.0289999999999999</v>
          </cell>
        </row>
        <row r="621">
          <cell r="N621">
            <v>-8.6850000000000005</v>
          </cell>
        </row>
        <row r="622">
          <cell r="N622">
            <v>-40.941000000000003</v>
          </cell>
        </row>
        <row r="623">
          <cell r="N623">
            <v>-22.466999999999999</v>
          </cell>
        </row>
        <row r="624">
          <cell r="N624">
            <v>-10.076000000000001</v>
          </cell>
        </row>
        <row r="625">
          <cell r="N625">
            <v>-23.436</v>
          </cell>
        </row>
        <row r="626">
          <cell r="N626">
            <v>-42.707999999999998</v>
          </cell>
        </row>
        <row r="627">
          <cell r="N627">
            <v>-43.298999999999999</v>
          </cell>
        </row>
        <row r="628">
          <cell r="N628">
            <v>-35.165999999999997</v>
          </cell>
        </row>
        <row r="629">
          <cell r="N629">
            <v>-45.375999999999998</v>
          </cell>
        </row>
        <row r="630">
          <cell r="N630">
            <v>-48.88</v>
          </cell>
        </row>
        <row r="631">
          <cell r="N631">
            <v>-16.931999999999999</v>
          </cell>
        </row>
        <row r="632">
          <cell r="N632">
            <v>-43.414999999999999</v>
          </cell>
        </row>
        <row r="633">
          <cell r="N633">
            <v>-10.997</v>
          </cell>
        </row>
        <row r="634">
          <cell r="N634">
            <v>-14.34</v>
          </cell>
        </row>
        <row r="635">
          <cell r="N635">
            <v>-32.548000000000002</v>
          </cell>
        </row>
        <row r="636">
          <cell r="N636">
            <v>-14.18</v>
          </cell>
        </row>
        <row r="637">
          <cell r="N637">
            <v>-40.768000000000001</v>
          </cell>
        </row>
        <row r="638">
          <cell r="N638">
            <v>-51.731000000000002</v>
          </cell>
        </row>
        <row r="639">
          <cell r="N639">
            <v>-39.195</v>
          </cell>
        </row>
        <row r="640">
          <cell r="N640">
            <v>-17.314</v>
          </cell>
        </row>
        <row r="641">
          <cell r="N641">
            <v>-14.861000000000001</v>
          </cell>
        </row>
        <row r="642">
          <cell r="N642">
            <v>-44.457000000000001</v>
          </cell>
        </row>
        <row r="643">
          <cell r="N643">
            <v>-13.574999999999999</v>
          </cell>
        </row>
        <row r="644">
          <cell r="N644">
            <v>-45.779000000000003</v>
          </cell>
        </row>
        <row r="645">
          <cell r="N645">
            <v>-45.122</v>
          </cell>
        </row>
        <row r="646">
          <cell r="N646">
            <v>-9.5679999999999996</v>
          </cell>
        </row>
        <row r="647">
          <cell r="N647">
            <v>-52.643999999999998</v>
          </cell>
        </row>
        <row r="648">
          <cell r="N648">
            <v>-19.367999999999999</v>
          </cell>
        </row>
        <row r="649">
          <cell r="N649">
            <v>-51.487000000000002</v>
          </cell>
        </row>
        <row r="650">
          <cell r="N650">
            <v>-162</v>
          </cell>
        </row>
        <row r="651">
          <cell r="N651">
            <v>-288</v>
          </cell>
        </row>
        <row r="652">
          <cell r="N652">
            <v>-7</v>
          </cell>
        </row>
        <row r="653">
          <cell r="N653">
            <v>-14.467000000000001</v>
          </cell>
        </row>
        <row r="654">
          <cell r="N654">
            <v>-13.835000000000001</v>
          </cell>
        </row>
        <row r="655">
          <cell r="N655">
            <v>-32.630000000000003</v>
          </cell>
        </row>
        <row r="656">
          <cell r="N656">
            <v>-2.3439999999999999</v>
          </cell>
        </row>
        <row r="657">
          <cell r="N657">
            <v>-42.576999999999998</v>
          </cell>
        </row>
        <row r="658">
          <cell r="N658">
            <v>-40.058999999999997</v>
          </cell>
        </row>
        <row r="659">
          <cell r="N659">
            <v>-32.978000000000002</v>
          </cell>
        </row>
        <row r="660">
          <cell r="N660">
            <v>-9.5679999999999996</v>
          </cell>
        </row>
        <row r="661">
          <cell r="N661">
            <v>-20.209</v>
          </cell>
        </row>
        <row r="662">
          <cell r="N662">
            <v>-50.161999999999999</v>
          </cell>
        </row>
        <row r="663">
          <cell r="N663">
            <v>-32.353000000000002</v>
          </cell>
        </row>
        <row r="664">
          <cell r="N664">
            <v>-43.298999999999999</v>
          </cell>
        </row>
        <row r="665">
          <cell r="N665">
            <v>-12.414</v>
          </cell>
        </row>
        <row r="666">
          <cell r="N666">
            <v>-4.6790000000000003</v>
          </cell>
        </row>
        <row r="667">
          <cell r="N667">
            <v>-43.292999999999999</v>
          </cell>
        </row>
        <row r="668">
          <cell r="N668">
            <v>-4.1340000000000003</v>
          </cell>
        </row>
        <row r="669">
          <cell r="N669">
            <v>-35.752000000000002</v>
          </cell>
        </row>
        <row r="670">
          <cell r="N670">
            <v>-35.4</v>
          </cell>
        </row>
        <row r="671">
          <cell r="N671">
            <v>-12.298</v>
          </cell>
        </row>
        <row r="672">
          <cell r="N672">
            <v>-41.932000000000002</v>
          </cell>
        </row>
        <row r="673">
          <cell r="N673">
            <v>-2.2440000000000002</v>
          </cell>
        </row>
        <row r="674">
          <cell r="N674">
            <v>-24.016999999999999</v>
          </cell>
        </row>
        <row r="675">
          <cell r="N675">
            <v>-10.79</v>
          </cell>
        </row>
        <row r="676">
          <cell r="N676">
            <v>-16.657</v>
          </cell>
        </row>
        <row r="677">
          <cell r="N677">
            <v>-22.855</v>
          </cell>
        </row>
        <row r="678">
          <cell r="N678">
            <v>-17.314</v>
          </cell>
        </row>
        <row r="679">
          <cell r="N679">
            <v>-29.52</v>
          </cell>
        </row>
        <row r="680">
          <cell r="N680">
            <v>-13.821999999999999</v>
          </cell>
        </row>
        <row r="681">
          <cell r="N681">
            <v>-46.930999999999997</v>
          </cell>
        </row>
        <row r="682">
          <cell r="N682">
            <v>-56.734999999999999</v>
          </cell>
        </row>
        <row r="683">
          <cell r="N683">
            <v>-73.930000000000007</v>
          </cell>
        </row>
        <row r="684">
          <cell r="N684">
            <v>-15.494999999999999</v>
          </cell>
        </row>
        <row r="685">
          <cell r="N685">
            <v>-8.7530000000000001</v>
          </cell>
        </row>
        <row r="686">
          <cell r="N686">
            <v>-54.412999999999997</v>
          </cell>
        </row>
        <row r="687">
          <cell r="N687">
            <v>-17.431999999999999</v>
          </cell>
        </row>
        <row r="688">
          <cell r="N688">
            <v>-15.811999999999999</v>
          </cell>
        </row>
        <row r="689">
          <cell r="N689">
            <v>-22.687999999999999</v>
          </cell>
        </row>
        <row r="690">
          <cell r="N690">
            <v>-11.066000000000001</v>
          </cell>
        </row>
        <row r="691">
          <cell r="N691">
            <v>-70.924000000000007</v>
          </cell>
        </row>
        <row r="692">
          <cell r="N692">
            <v>-61.984000000000002</v>
          </cell>
        </row>
        <row r="693">
          <cell r="N693">
            <v>-40.479999999999997</v>
          </cell>
        </row>
        <row r="694">
          <cell r="N694">
            <v>-35.585000000000001</v>
          </cell>
        </row>
        <row r="695">
          <cell r="N695">
            <v>-43.249000000000002</v>
          </cell>
        </row>
        <row r="696">
          <cell r="N696">
            <v>-49.11</v>
          </cell>
        </row>
        <row r="697">
          <cell r="N697">
            <v>-5.9039999999999999</v>
          </cell>
        </row>
        <row r="698">
          <cell r="N698">
            <v>-19.478999999999999</v>
          </cell>
        </row>
        <row r="699">
          <cell r="N699">
            <v>-34.21</v>
          </cell>
        </row>
        <row r="700">
          <cell r="N700">
            <v>-19.004999999999999</v>
          </cell>
        </row>
        <row r="701">
          <cell r="N701">
            <v>-1.6E-2</v>
          </cell>
        </row>
        <row r="702">
          <cell r="N702">
            <v>-15.723000000000001</v>
          </cell>
        </row>
        <row r="703">
          <cell r="N703">
            <v>-57.884</v>
          </cell>
        </row>
        <row r="704">
          <cell r="N704">
            <v>-43.664999999999999</v>
          </cell>
        </row>
        <row r="705">
          <cell r="N705">
            <v>-42.466999999999999</v>
          </cell>
        </row>
        <row r="706">
          <cell r="N706">
            <v>-43.345999999999997</v>
          </cell>
        </row>
        <row r="707">
          <cell r="N707">
            <v>-3.1909999999999998</v>
          </cell>
        </row>
        <row r="708">
          <cell r="N708">
            <v>-47.488</v>
          </cell>
        </row>
        <row r="709">
          <cell r="N709">
            <v>-298</v>
          </cell>
        </row>
        <row r="710">
          <cell r="N710">
            <v>-240</v>
          </cell>
        </row>
        <row r="711">
          <cell r="N711">
            <v>-8.5</v>
          </cell>
        </row>
        <row r="712">
          <cell r="N712">
            <v>-17.238</v>
          </cell>
        </row>
        <row r="713">
          <cell r="N713">
            <v>-12.35</v>
          </cell>
        </row>
        <row r="714">
          <cell r="N714">
            <v>-68.731999999999999</v>
          </cell>
        </row>
        <row r="715">
          <cell r="N715">
            <v>-45.637999999999998</v>
          </cell>
        </row>
        <row r="716">
          <cell r="N716">
            <v>-11.196</v>
          </cell>
        </row>
        <row r="717">
          <cell r="N717">
            <v>-18.701000000000001</v>
          </cell>
        </row>
        <row r="718">
          <cell r="N718">
            <v>-31.884</v>
          </cell>
        </row>
        <row r="719">
          <cell r="N719">
            <v>-58.984999999999999</v>
          </cell>
        </row>
        <row r="720">
          <cell r="N720">
            <v>-14.859</v>
          </cell>
        </row>
        <row r="721">
          <cell r="N721">
            <v>-13.111000000000001</v>
          </cell>
        </row>
        <row r="722">
          <cell r="N722">
            <v>-40.414999999999999</v>
          </cell>
        </row>
        <row r="723">
          <cell r="N723">
            <v>-4.5279999999999996</v>
          </cell>
        </row>
        <row r="724">
          <cell r="N724">
            <v>-27.863</v>
          </cell>
        </row>
        <row r="725">
          <cell r="N725">
            <v>-31.192</v>
          </cell>
        </row>
        <row r="726">
          <cell r="N726">
            <v>-37.088999999999999</v>
          </cell>
        </row>
        <row r="727">
          <cell r="N727">
            <v>-45.805999999999997</v>
          </cell>
        </row>
        <row r="728">
          <cell r="N728">
            <v>-10.789</v>
          </cell>
        </row>
        <row r="729">
          <cell r="N729">
            <v>-36.103999999999999</v>
          </cell>
        </row>
        <row r="730">
          <cell r="N730">
            <v>-20.068999999999999</v>
          </cell>
        </row>
        <row r="731">
          <cell r="N731">
            <v>-22.274000000000001</v>
          </cell>
        </row>
        <row r="732">
          <cell r="N732">
            <v>-43.387999999999998</v>
          </cell>
        </row>
        <row r="733">
          <cell r="N733">
            <v>-43.292999999999999</v>
          </cell>
        </row>
        <row r="734">
          <cell r="N734">
            <v>-36.573</v>
          </cell>
        </row>
        <row r="735">
          <cell r="N735">
            <v>-43.524000000000001</v>
          </cell>
        </row>
        <row r="736">
          <cell r="N736">
            <v>-54.238</v>
          </cell>
        </row>
        <row r="737">
          <cell r="N737">
            <v>-14.039</v>
          </cell>
        </row>
        <row r="738">
          <cell r="N738">
            <v>-17.431999999999999</v>
          </cell>
        </row>
        <row r="739">
          <cell r="N739">
            <v>-14.428000000000001</v>
          </cell>
        </row>
        <row r="740">
          <cell r="N740">
            <v>-17.117999999999999</v>
          </cell>
        </row>
        <row r="741">
          <cell r="N741">
            <v>-51.237000000000002</v>
          </cell>
        </row>
        <row r="742">
          <cell r="N742">
            <v>-37.040999999999997</v>
          </cell>
        </row>
        <row r="743">
          <cell r="N743">
            <v>-46.414999999999999</v>
          </cell>
        </row>
        <row r="744">
          <cell r="N744">
            <v>-0.88</v>
          </cell>
        </row>
        <row r="745">
          <cell r="N745">
            <v>-11.922000000000001</v>
          </cell>
        </row>
        <row r="746">
          <cell r="N746">
            <v>-42.843000000000004</v>
          </cell>
        </row>
        <row r="747">
          <cell r="N747">
            <v>-41.104999999999997</v>
          </cell>
        </row>
        <row r="748">
          <cell r="N748">
            <v>-39.386000000000003</v>
          </cell>
        </row>
        <row r="749">
          <cell r="N749">
            <v>-42.198999999999998</v>
          </cell>
        </row>
        <row r="750">
          <cell r="N750">
            <v>-54.238</v>
          </cell>
        </row>
        <row r="751">
          <cell r="N751">
            <v>-20.530999999999999</v>
          </cell>
        </row>
        <row r="752">
          <cell r="N752">
            <v>-32.082000000000001</v>
          </cell>
        </row>
        <row r="753">
          <cell r="N753">
            <v>-37.991999999999997</v>
          </cell>
        </row>
        <row r="754">
          <cell r="N754">
            <v>-80.703999999999994</v>
          </cell>
        </row>
        <row r="755">
          <cell r="N755">
            <v>-17.867000000000001</v>
          </cell>
        </row>
        <row r="756">
          <cell r="N756">
            <v>-52.485999999999997</v>
          </cell>
        </row>
        <row r="757">
          <cell r="N757">
            <v>-71.161000000000001</v>
          </cell>
        </row>
        <row r="758">
          <cell r="N758">
            <v>-48.667000000000002</v>
          </cell>
        </row>
        <row r="759">
          <cell r="N759">
            <v>-30</v>
          </cell>
        </row>
        <row r="760">
          <cell r="N760">
            <v>-18.297999999999998</v>
          </cell>
        </row>
        <row r="761">
          <cell r="N761">
            <v>-15.525</v>
          </cell>
        </row>
        <row r="762">
          <cell r="N762">
            <v>-18.314</v>
          </cell>
        </row>
        <row r="763">
          <cell r="N763">
            <v>-51.503</v>
          </cell>
        </row>
        <row r="764">
          <cell r="N764">
            <v>-10.993</v>
          </cell>
        </row>
        <row r="765">
          <cell r="N765">
            <v>-13.227</v>
          </cell>
        </row>
        <row r="766">
          <cell r="N766">
            <v>-16.248999999999999</v>
          </cell>
        </row>
        <row r="767">
          <cell r="N767">
            <v>-31.942</v>
          </cell>
        </row>
        <row r="768">
          <cell r="N768">
            <v>-11.372999999999999</v>
          </cell>
        </row>
        <row r="769">
          <cell r="N769">
            <v>-14.657</v>
          </cell>
        </row>
        <row r="770">
          <cell r="N770">
            <v>-14.039</v>
          </cell>
        </row>
        <row r="771">
          <cell r="N771">
            <v>-41.298999999999999</v>
          </cell>
        </row>
        <row r="772">
          <cell r="N772">
            <v>-43.292999999999999</v>
          </cell>
        </row>
        <row r="773">
          <cell r="N773">
            <v>-13.286</v>
          </cell>
        </row>
        <row r="774">
          <cell r="N774">
            <v>-21.498999999999999</v>
          </cell>
        </row>
        <row r="775">
          <cell r="N775">
            <v>-48.768000000000001</v>
          </cell>
        </row>
        <row r="776">
          <cell r="N776">
            <v>-162</v>
          </cell>
        </row>
        <row r="777">
          <cell r="N777">
            <v>-41.573999999999998</v>
          </cell>
        </row>
        <row r="778">
          <cell r="N778">
            <v>-63.482999999999997</v>
          </cell>
        </row>
        <row r="779">
          <cell r="N779">
            <v>-45.097000000000001</v>
          </cell>
        </row>
        <row r="780">
          <cell r="N780">
            <v>-22.855</v>
          </cell>
        </row>
        <row r="781">
          <cell r="N781">
            <v>-40.792000000000002</v>
          </cell>
        </row>
        <row r="782">
          <cell r="N782">
            <v>-21.885999999999999</v>
          </cell>
        </row>
        <row r="783">
          <cell r="N783">
            <v>-38.49</v>
          </cell>
        </row>
        <row r="784">
          <cell r="N784">
            <v>-30.477</v>
          </cell>
        </row>
        <row r="785">
          <cell r="N785">
            <v>-57.2</v>
          </cell>
        </row>
        <row r="786">
          <cell r="N786">
            <v>-46.945</v>
          </cell>
        </row>
        <row r="787">
          <cell r="N787">
            <v>-73.340999999999994</v>
          </cell>
        </row>
        <row r="788">
          <cell r="N788">
            <v>-9.9779999999999998</v>
          </cell>
        </row>
        <row r="789">
          <cell r="N789">
            <v>-40.414999999999999</v>
          </cell>
        </row>
        <row r="790">
          <cell r="N790">
            <v>-13.058999999999999</v>
          </cell>
        </row>
        <row r="791">
          <cell r="N791">
            <v>-8.8179999999999996</v>
          </cell>
        </row>
        <row r="792">
          <cell r="N792">
            <v>-40.052999999999997</v>
          </cell>
        </row>
        <row r="793">
          <cell r="N793">
            <v>-37.088999999999999</v>
          </cell>
        </row>
        <row r="794">
          <cell r="N794">
            <v>-11.117000000000001</v>
          </cell>
        </row>
        <row r="795">
          <cell r="N795">
            <v>-53.485999999999997</v>
          </cell>
        </row>
        <row r="796">
          <cell r="N796">
            <v>-41.73</v>
          </cell>
        </row>
        <row r="797">
          <cell r="N797">
            <v>-13.448</v>
          </cell>
        </row>
        <row r="798">
          <cell r="N798">
            <v>-17.818999999999999</v>
          </cell>
        </row>
        <row r="799">
          <cell r="N799">
            <v>-61.984000000000002</v>
          </cell>
        </row>
        <row r="800">
          <cell r="N800">
            <v>-45.234000000000002</v>
          </cell>
        </row>
        <row r="801">
          <cell r="N801">
            <v>-14.167999999999999</v>
          </cell>
        </row>
        <row r="802">
          <cell r="N802">
            <v>-48.103999999999999</v>
          </cell>
        </row>
        <row r="803">
          <cell r="N803">
            <v>-4.1879999999999997</v>
          </cell>
        </row>
        <row r="804">
          <cell r="N804">
            <v>-24.016999999999999</v>
          </cell>
        </row>
        <row r="805">
          <cell r="N805">
            <v>-45.325000000000003</v>
          </cell>
        </row>
        <row r="806">
          <cell r="N806">
            <v>-30.256</v>
          </cell>
        </row>
        <row r="807">
          <cell r="N807">
            <v>-47.597000000000001</v>
          </cell>
        </row>
        <row r="808">
          <cell r="N808">
            <v>-33.909999999999997</v>
          </cell>
        </row>
        <row r="809">
          <cell r="N809">
            <v>-13.728</v>
          </cell>
        </row>
        <row r="810">
          <cell r="N810">
            <v>-56.258000000000003</v>
          </cell>
        </row>
        <row r="811">
          <cell r="N811">
            <v>-43.058</v>
          </cell>
        </row>
        <row r="812">
          <cell r="N812">
            <v>-49.509</v>
          </cell>
        </row>
        <row r="813">
          <cell r="N813">
            <v>-44.7</v>
          </cell>
        </row>
        <row r="814">
          <cell r="N814">
            <v>-19.696999999999999</v>
          </cell>
        </row>
        <row r="815">
          <cell r="N815">
            <v>-12.977</v>
          </cell>
        </row>
        <row r="816">
          <cell r="N816">
            <v>-1.2E-2</v>
          </cell>
        </row>
        <row r="817">
          <cell r="N817">
            <v>-47.173000000000002</v>
          </cell>
        </row>
        <row r="818">
          <cell r="N818">
            <v>-14.387</v>
          </cell>
        </row>
        <row r="819">
          <cell r="N819">
            <v>-12.182</v>
          </cell>
        </row>
        <row r="820">
          <cell r="N820">
            <v>-53.722000000000001</v>
          </cell>
        </row>
        <row r="821">
          <cell r="N821">
            <v>-45.375999999999998</v>
          </cell>
        </row>
        <row r="822">
          <cell r="N822">
            <v>-40.954999999999998</v>
          </cell>
        </row>
        <row r="823">
          <cell r="N823">
            <v>-38.084000000000003</v>
          </cell>
        </row>
        <row r="824">
          <cell r="N824">
            <v>-40.143999999999998</v>
          </cell>
        </row>
        <row r="825">
          <cell r="N825">
            <v>-53.554000000000002</v>
          </cell>
        </row>
        <row r="826">
          <cell r="N826">
            <v>-38.917000000000002</v>
          </cell>
        </row>
        <row r="827">
          <cell r="N827">
            <v>-14.271000000000001</v>
          </cell>
        </row>
        <row r="828">
          <cell r="N828">
            <v>-9.9779999999999998</v>
          </cell>
        </row>
        <row r="829">
          <cell r="N829">
            <v>-45.325000000000003</v>
          </cell>
        </row>
        <row r="830">
          <cell r="N830">
            <v>-9.6839999999999993</v>
          </cell>
        </row>
        <row r="831">
          <cell r="N831">
            <v>-18.771000000000001</v>
          </cell>
        </row>
        <row r="832">
          <cell r="N832">
            <v>-15.301</v>
          </cell>
        </row>
        <row r="833">
          <cell r="N833">
            <v>-40.588000000000001</v>
          </cell>
        </row>
        <row r="834">
          <cell r="N834">
            <v>-13.994999999999999</v>
          </cell>
        </row>
        <row r="835">
          <cell r="N835">
            <v>-33.152999999999999</v>
          </cell>
        </row>
        <row r="836">
          <cell r="N836">
            <v>-15.083</v>
          </cell>
        </row>
        <row r="837">
          <cell r="N837">
            <v>-48.737000000000002</v>
          </cell>
        </row>
        <row r="838">
          <cell r="N838">
            <v>-9.1660000000000004</v>
          </cell>
        </row>
        <row r="839">
          <cell r="N839">
            <v>-40.549999999999997</v>
          </cell>
        </row>
        <row r="840">
          <cell r="N840">
            <v>-46.496000000000002</v>
          </cell>
        </row>
        <row r="841">
          <cell r="N841">
            <v>-40.323999999999998</v>
          </cell>
        </row>
        <row r="842">
          <cell r="N842">
            <v>-37.581000000000003</v>
          </cell>
        </row>
        <row r="843">
          <cell r="N843">
            <v>-21.498999999999999</v>
          </cell>
        </row>
        <row r="844">
          <cell r="N844">
            <v>-68.731999999999999</v>
          </cell>
        </row>
        <row r="845">
          <cell r="N845">
            <v>-43.448999999999998</v>
          </cell>
        </row>
        <row r="846">
          <cell r="N846">
            <v>-44.695999999999998</v>
          </cell>
        </row>
        <row r="847">
          <cell r="N847">
            <v>-13.752000000000001</v>
          </cell>
        </row>
        <row r="848">
          <cell r="N848">
            <v>-4.8730000000000002</v>
          </cell>
        </row>
        <row r="849">
          <cell r="N849">
            <v>-14.428000000000001</v>
          </cell>
        </row>
        <row r="850">
          <cell r="N850">
            <v>-39.073</v>
          </cell>
        </row>
        <row r="851">
          <cell r="N851">
            <v>-48.487000000000002</v>
          </cell>
        </row>
        <row r="852">
          <cell r="N852">
            <v>-45.097000000000001</v>
          </cell>
        </row>
        <row r="853">
          <cell r="N853">
            <v>-108</v>
          </cell>
        </row>
        <row r="854">
          <cell r="N854">
            <v>-3.57</v>
          </cell>
        </row>
        <row r="855">
          <cell r="N855">
            <v>-16.241</v>
          </cell>
        </row>
        <row r="856">
          <cell r="N856">
            <v>-52.414000000000001</v>
          </cell>
        </row>
        <row r="857">
          <cell r="N857">
            <v>-44.543999999999997</v>
          </cell>
        </row>
        <row r="858">
          <cell r="N858">
            <v>-39.835999999999999</v>
          </cell>
        </row>
        <row r="859">
          <cell r="N859">
            <v>-44.075000000000003</v>
          </cell>
        </row>
        <row r="860">
          <cell r="N860">
            <v>-59.484000000000002</v>
          </cell>
        </row>
        <row r="861">
          <cell r="N861">
            <v>-21.693000000000001</v>
          </cell>
        </row>
        <row r="862">
          <cell r="N862">
            <v>-12.994999999999999</v>
          </cell>
        </row>
        <row r="863">
          <cell r="N863">
            <v>-11.807</v>
          </cell>
        </row>
        <row r="864">
          <cell r="N864">
            <v>-53.485999999999997</v>
          </cell>
        </row>
        <row r="865">
          <cell r="N865">
            <v>-49.389000000000003</v>
          </cell>
        </row>
        <row r="866">
          <cell r="N866">
            <v>-12.214</v>
          </cell>
        </row>
        <row r="867">
          <cell r="N867">
            <v>-53.326000000000001</v>
          </cell>
        </row>
        <row r="868">
          <cell r="N868">
            <v>-6.8010000000000002</v>
          </cell>
        </row>
        <row r="869">
          <cell r="N869">
            <v>-9</v>
          </cell>
        </row>
        <row r="870">
          <cell r="N870">
            <v>-57.484999999999999</v>
          </cell>
        </row>
        <row r="871">
          <cell r="N871">
            <v>-19.524000000000001</v>
          </cell>
        </row>
        <row r="872">
          <cell r="N872">
            <v>-41.527000000000001</v>
          </cell>
        </row>
        <row r="873">
          <cell r="N873">
            <v>-100</v>
          </cell>
        </row>
        <row r="874">
          <cell r="N874">
            <v>-17.09</v>
          </cell>
        </row>
        <row r="875">
          <cell r="N875">
            <v>-13.192</v>
          </cell>
        </row>
        <row r="876">
          <cell r="N876">
            <v>-39.942</v>
          </cell>
        </row>
        <row r="877">
          <cell r="N877">
            <v>-40.011000000000003</v>
          </cell>
        </row>
        <row r="878">
          <cell r="N878">
            <v>-6.6340000000000003</v>
          </cell>
        </row>
        <row r="879">
          <cell r="N879">
            <v>-170.63800000000001</v>
          </cell>
        </row>
        <row r="880">
          <cell r="N880">
            <v>-22.661000000000001</v>
          </cell>
        </row>
        <row r="881">
          <cell r="N881">
            <v>-47.401000000000003</v>
          </cell>
        </row>
        <row r="882">
          <cell r="N882">
            <v>-8.7639999999999993</v>
          </cell>
        </row>
        <row r="883">
          <cell r="N883">
            <v>-440.74700000000001</v>
          </cell>
        </row>
        <row r="884">
          <cell r="N884">
            <v>-24.210999999999999</v>
          </cell>
        </row>
        <row r="885">
          <cell r="N885">
            <v>-39.229999999999997</v>
          </cell>
        </row>
        <row r="886">
          <cell r="N886">
            <v>-815.57899999999995</v>
          </cell>
        </row>
        <row r="887">
          <cell r="N887">
            <v>-29.187999999999999</v>
          </cell>
        </row>
        <row r="888">
          <cell r="N888">
            <v>-2000</v>
          </cell>
        </row>
        <row r="889">
          <cell r="N889">
            <v>-35.121000000000002</v>
          </cell>
        </row>
        <row r="890">
          <cell r="N890">
            <v>-54.692999999999998</v>
          </cell>
        </row>
        <row r="891">
          <cell r="N891">
            <v>-36.840000000000003</v>
          </cell>
        </row>
        <row r="892">
          <cell r="N892">
            <v>-10.442</v>
          </cell>
        </row>
        <row r="893">
          <cell r="N893">
            <v>-57.411000000000001</v>
          </cell>
        </row>
        <row r="894">
          <cell r="N894">
            <v>-48.996000000000002</v>
          </cell>
        </row>
        <row r="895">
          <cell r="N895">
            <v>-40.590000000000003</v>
          </cell>
        </row>
        <row r="896">
          <cell r="N896">
            <v>-42.354999999999997</v>
          </cell>
        </row>
        <row r="897">
          <cell r="N897">
            <v>-67.555999999999997</v>
          </cell>
        </row>
        <row r="898">
          <cell r="N898">
            <v>-10.586</v>
          </cell>
        </row>
        <row r="899">
          <cell r="N899">
            <v>-37.131999999999998</v>
          </cell>
        </row>
        <row r="900">
          <cell r="N900">
            <v>-11.95</v>
          </cell>
        </row>
        <row r="901">
          <cell r="N901">
            <v>-38.917000000000002</v>
          </cell>
        </row>
        <row r="902">
          <cell r="N902">
            <v>-13.558</v>
          </cell>
        </row>
        <row r="903">
          <cell r="N903">
            <v>-49.572000000000003</v>
          </cell>
        </row>
        <row r="904">
          <cell r="N904">
            <v>-40.792000000000002</v>
          </cell>
        </row>
        <row r="905">
          <cell r="N905">
            <v>-21</v>
          </cell>
        </row>
        <row r="906">
          <cell r="N906">
            <v>-49.223999999999997</v>
          </cell>
        </row>
        <row r="907">
          <cell r="N907">
            <v>-6.3810000000000002</v>
          </cell>
        </row>
        <row r="908">
          <cell r="N908">
            <v>-40.26</v>
          </cell>
        </row>
        <row r="909">
          <cell r="N909">
            <v>-60.984000000000002</v>
          </cell>
        </row>
        <row r="910">
          <cell r="N910">
            <v>-36.03</v>
          </cell>
        </row>
        <row r="911">
          <cell r="N911">
            <v>-49.109000000000002</v>
          </cell>
        </row>
        <row r="912">
          <cell r="N912">
            <v>-40.412999999999997</v>
          </cell>
        </row>
        <row r="913">
          <cell r="N913">
            <v>-30.256</v>
          </cell>
        </row>
        <row r="914">
          <cell r="N914">
            <v>-11.602</v>
          </cell>
        </row>
        <row r="915">
          <cell r="N915">
            <v>-15.199</v>
          </cell>
        </row>
        <row r="916">
          <cell r="N916">
            <v>-9.9749999999999996</v>
          </cell>
        </row>
        <row r="917">
          <cell r="N917">
            <v>-57.884</v>
          </cell>
        </row>
        <row r="918">
          <cell r="N918">
            <v>-38.761000000000003</v>
          </cell>
        </row>
        <row r="919">
          <cell r="N919">
            <v>-12.414</v>
          </cell>
        </row>
        <row r="920">
          <cell r="N920">
            <v>-53.235999999999997</v>
          </cell>
        </row>
        <row r="921">
          <cell r="N921">
            <v>-13.459</v>
          </cell>
        </row>
        <row r="922">
          <cell r="N922">
            <v>-2.0750000000000002</v>
          </cell>
        </row>
        <row r="923">
          <cell r="N923">
            <v>-53.985999999999997</v>
          </cell>
        </row>
        <row r="924">
          <cell r="N924">
            <v>-51.838999999999999</v>
          </cell>
        </row>
        <row r="925">
          <cell r="N925">
            <v>-20.614000000000001</v>
          </cell>
        </row>
        <row r="926">
          <cell r="N926">
            <v>-19.004999999999999</v>
          </cell>
        </row>
        <row r="927">
          <cell r="N927">
            <v>-158</v>
          </cell>
        </row>
        <row r="928">
          <cell r="N928">
            <v>-14.989000000000001</v>
          </cell>
        </row>
        <row r="929">
          <cell r="N929">
            <v>-46.414999999999999</v>
          </cell>
        </row>
        <row r="930">
          <cell r="N930">
            <v>-37.222999999999999</v>
          </cell>
        </row>
        <row r="931">
          <cell r="N931">
            <v>-10.586</v>
          </cell>
        </row>
        <row r="932">
          <cell r="N932">
            <v>-50.482999999999997</v>
          </cell>
        </row>
        <row r="933">
          <cell r="N933">
            <v>-19.292000000000002</v>
          </cell>
        </row>
        <row r="934">
          <cell r="N934">
            <v>-45.168999999999997</v>
          </cell>
        </row>
        <row r="935">
          <cell r="N935">
            <v>-27.401</v>
          </cell>
        </row>
        <row r="936">
          <cell r="N936">
            <v>-41.945999999999998</v>
          </cell>
        </row>
        <row r="937">
          <cell r="N937">
            <v>-53.722000000000001</v>
          </cell>
        </row>
        <row r="938">
          <cell r="N938">
            <v>-21.1</v>
          </cell>
        </row>
        <row r="939">
          <cell r="N939">
            <v>-3.8679999999999999</v>
          </cell>
        </row>
        <row r="940">
          <cell r="N940">
            <v>-66.861000000000004</v>
          </cell>
        </row>
        <row r="941">
          <cell r="N941">
            <v>-51.935000000000002</v>
          </cell>
        </row>
        <row r="942">
          <cell r="N942">
            <v>-56.95</v>
          </cell>
        </row>
        <row r="943">
          <cell r="N943">
            <v>-39.704000000000001</v>
          </cell>
        </row>
        <row r="944">
          <cell r="N944">
            <v>-38.335000000000001</v>
          </cell>
        </row>
        <row r="945">
          <cell r="N945">
            <v>-15.547000000000001</v>
          </cell>
        </row>
        <row r="946">
          <cell r="N946">
            <v>-42.512</v>
          </cell>
        </row>
        <row r="947">
          <cell r="N947">
            <v>-41.97</v>
          </cell>
        </row>
        <row r="948">
          <cell r="N948">
            <v>-21.943000000000001</v>
          </cell>
        </row>
        <row r="949">
          <cell r="N949">
            <v>-14.154999999999999</v>
          </cell>
        </row>
        <row r="950">
          <cell r="N950">
            <v>-53.985999999999997</v>
          </cell>
        </row>
        <row r="951">
          <cell r="N951">
            <v>-46.226999999999997</v>
          </cell>
        </row>
        <row r="952">
          <cell r="N952">
            <v>-23.18</v>
          </cell>
        </row>
        <row r="953">
          <cell r="N953">
            <v>-2.6539999999999999</v>
          </cell>
        </row>
        <row r="954">
          <cell r="N954">
            <v>-2.504</v>
          </cell>
        </row>
        <row r="955">
          <cell r="N955">
            <v>-43.137</v>
          </cell>
        </row>
        <row r="956">
          <cell r="N956">
            <v>-44.008000000000003</v>
          </cell>
        </row>
        <row r="957">
          <cell r="N957">
            <v>-44.868000000000002</v>
          </cell>
        </row>
        <row r="958">
          <cell r="N958">
            <v>-18.206</v>
          </cell>
        </row>
        <row r="959">
          <cell r="N959">
            <v>-45.908000000000001</v>
          </cell>
        </row>
        <row r="960">
          <cell r="N960">
            <v>-20.289000000000001</v>
          </cell>
        </row>
        <row r="961">
          <cell r="N961">
            <v>-15.083</v>
          </cell>
        </row>
        <row r="962">
          <cell r="N962">
            <v>-61.985999999999997</v>
          </cell>
        </row>
        <row r="963">
          <cell r="N963">
            <v>-13.558</v>
          </cell>
        </row>
        <row r="964">
          <cell r="N964">
            <v>-13.459</v>
          </cell>
        </row>
        <row r="965">
          <cell r="N965">
            <v>-50.987000000000002</v>
          </cell>
        </row>
        <row r="966">
          <cell r="N966">
            <v>-43.755000000000003</v>
          </cell>
        </row>
        <row r="967">
          <cell r="N967">
            <v>-7.1150000000000002</v>
          </cell>
        </row>
        <row r="968">
          <cell r="N968">
            <v>-15.083</v>
          </cell>
        </row>
        <row r="969">
          <cell r="N969">
            <v>-15.349</v>
          </cell>
        </row>
        <row r="970">
          <cell r="N970">
            <v>-13.477</v>
          </cell>
        </row>
        <row r="971">
          <cell r="N971">
            <v>-54.735999999999997</v>
          </cell>
        </row>
        <row r="972">
          <cell r="N972">
            <v>-53.485999999999997</v>
          </cell>
        </row>
        <row r="973">
          <cell r="N973">
            <v>-58.613999999999997</v>
          </cell>
        </row>
        <row r="974">
          <cell r="N974">
            <v>-5.6820000000000004</v>
          </cell>
        </row>
        <row r="975">
          <cell r="N975">
            <v>-34.031999999999996</v>
          </cell>
        </row>
        <row r="976">
          <cell r="N976">
            <v>-30.132999999999999</v>
          </cell>
        </row>
        <row r="977">
          <cell r="N977">
            <v>-11.486000000000001</v>
          </cell>
        </row>
        <row r="978">
          <cell r="N978">
            <v>-162</v>
          </cell>
        </row>
        <row r="979">
          <cell r="N979">
            <v>-15.077</v>
          </cell>
        </row>
        <row r="980">
          <cell r="N980">
            <v>-55.604999999999997</v>
          </cell>
        </row>
        <row r="981">
          <cell r="N981">
            <v>-96</v>
          </cell>
        </row>
        <row r="982">
          <cell r="N982">
            <v>-25</v>
          </cell>
        </row>
        <row r="983">
          <cell r="N983">
            <v>-9</v>
          </cell>
        </row>
        <row r="984">
          <cell r="N984">
            <v>-45.805999999999997</v>
          </cell>
        </row>
        <row r="985">
          <cell r="N985">
            <v>-628.87300000000005</v>
          </cell>
        </row>
        <row r="986">
          <cell r="N986">
            <v>-67.481999999999999</v>
          </cell>
        </row>
        <row r="987">
          <cell r="N987">
            <v>-39.386000000000003</v>
          </cell>
        </row>
        <row r="988">
          <cell r="N988">
            <v>-628.572</v>
          </cell>
        </row>
        <row r="989">
          <cell r="N989">
            <v>-100.873</v>
          </cell>
        </row>
        <row r="990">
          <cell r="N990">
            <v>-39.536000000000001</v>
          </cell>
        </row>
        <row r="991">
          <cell r="N991">
            <v>-46.844999999999999</v>
          </cell>
        </row>
        <row r="992">
          <cell r="N992">
            <v>-16.268999999999998</v>
          </cell>
        </row>
        <row r="993">
          <cell r="N993">
            <v>-42.198999999999998</v>
          </cell>
        </row>
        <row r="994">
          <cell r="N994">
            <v>-12.994999999999999</v>
          </cell>
        </row>
        <row r="995">
          <cell r="N995">
            <v>-13.231999999999999</v>
          </cell>
        </row>
        <row r="996">
          <cell r="N996">
            <v>-42.198999999999998</v>
          </cell>
        </row>
        <row r="997">
          <cell r="N997">
            <v>-10.997</v>
          </cell>
        </row>
        <row r="998">
          <cell r="N998">
            <v>-22.466999999999999</v>
          </cell>
        </row>
        <row r="999">
          <cell r="N999">
            <v>-49.338000000000001</v>
          </cell>
        </row>
        <row r="1000">
          <cell r="N1000">
            <v>-2.6539999999999999</v>
          </cell>
        </row>
        <row r="1001">
          <cell r="N1001">
            <v>-20.530999999999999</v>
          </cell>
        </row>
        <row r="1002">
          <cell r="N1002">
            <v>-36.484000000000002</v>
          </cell>
        </row>
        <row r="1003">
          <cell r="N1003">
            <v>-12.298</v>
          </cell>
        </row>
        <row r="1004">
          <cell r="N1004">
            <v>-5.7489999999999997</v>
          </cell>
        </row>
        <row r="1005">
          <cell r="N1005">
            <v>-14.851000000000001</v>
          </cell>
        </row>
        <row r="1006">
          <cell r="N1006">
            <v>-59.707000000000001</v>
          </cell>
        </row>
        <row r="1007">
          <cell r="N1007">
            <v>-50.338999999999999</v>
          </cell>
        </row>
        <row r="1008">
          <cell r="N1008">
            <v>-52.466000000000001</v>
          </cell>
        </row>
        <row r="1009">
          <cell r="N1009">
            <v>-2.7949999999999999</v>
          </cell>
        </row>
        <row r="1010">
          <cell r="N1010">
            <v>-16.931999999999999</v>
          </cell>
        </row>
        <row r="1011">
          <cell r="N1011">
            <v>-58.484999999999999</v>
          </cell>
        </row>
        <row r="1012">
          <cell r="N1012">
            <v>-2.4940000000000002</v>
          </cell>
        </row>
        <row r="1013">
          <cell r="N1013">
            <v>-13.691000000000001</v>
          </cell>
        </row>
        <row r="1014">
          <cell r="N1014">
            <v>-25.606000000000002</v>
          </cell>
        </row>
        <row r="1015">
          <cell r="N1015">
            <v>-19.058</v>
          </cell>
        </row>
        <row r="1016">
          <cell r="N1016">
            <v>-41.298999999999999</v>
          </cell>
        </row>
        <row r="1017">
          <cell r="N1017">
            <v>-54.643999999999998</v>
          </cell>
        </row>
        <row r="1018">
          <cell r="N1018">
            <v>-50.954999999999998</v>
          </cell>
        </row>
        <row r="1019">
          <cell r="N1019">
            <v>-43.606000000000002</v>
          </cell>
        </row>
        <row r="1020">
          <cell r="N1020">
            <v>-14.013999999999999</v>
          </cell>
        </row>
        <row r="1021">
          <cell r="N1021">
            <v>-18.594000000000001</v>
          </cell>
        </row>
        <row r="1022">
          <cell r="N1022">
            <v>-35.286000000000001</v>
          </cell>
        </row>
        <row r="1023">
          <cell r="N1023">
            <v>-42.981000000000002</v>
          </cell>
        </row>
        <row r="1024">
          <cell r="N1024">
            <v>-54.49</v>
          </cell>
        </row>
        <row r="1025">
          <cell r="N1025">
            <v>-16.949000000000002</v>
          </cell>
        </row>
        <row r="1026">
          <cell r="N1026">
            <v>-36.573</v>
          </cell>
        </row>
        <row r="1027">
          <cell r="N1027">
            <v>-53.781999999999996</v>
          </cell>
        </row>
        <row r="1028">
          <cell r="N1028">
            <v>-43.070999999999998</v>
          </cell>
        </row>
        <row r="1029">
          <cell r="N1029">
            <v>-36.374000000000002</v>
          </cell>
        </row>
        <row r="1030">
          <cell r="N1030">
            <v>-45.021999999999998</v>
          </cell>
        </row>
        <row r="1031">
          <cell r="N1031">
            <v>-35.634999999999998</v>
          </cell>
        </row>
        <row r="1032">
          <cell r="N1032">
            <v>-14.039</v>
          </cell>
        </row>
        <row r="1033">
          <cell r="N1033">
            <v>-14.686</v>
          </cell>
        </row>
        <row r="1034">
          <cell r="N1034">
            <v>-72.730999999999995</v>
          </cell>
        </row>
        <row r="1035">
          <cell r="N1035">
            <v>-15.882</v>
          </cell>
        </row>
        <row r="1036">
          <cell r="N1036">
            <v>-32.698999999999998</v>
          </cell>
        </row>
        <row r="1037">
          <cell r="N1037">
            <v>-43.781999999999996</v>
          </cell>
        </row>
        <row r="1038">
          <cell r="N1038">
            <v>-9.0500000000000007</v>
          </cell>
        </row>
        <row r="1039">
          <cell r="N1039">
            <v>-77</v>
          </cell>
        </row>
        <row r="1040">
          <cell r="N1040">
            <v>-298</v>
          </cell>
        </row>
        <row r="1041">
          <cell r="N1041">
            <v>-52.107999999999997</v>
          </cell>
        </row>
        <row r="1042">
          <cell r="N1042">
            <v>-16.850999999999999</v>
          </cell>
        </row>
        <row r="1043">
          <cell r="N1043">
            <v>-10.326000000000001</v>
          </cell>
        </row>
        <row r="1044">
          <cell r="N1044">
            <v>-36.273000000000003</v>
          </cell>
        </row>
        <row r="1045">
          <cell r="N1045">
            <v>-68.923000000000002</v>
          </cell>
        </row>
        <row r="1046">
          <cell r="N1046">
            <v>-55.984999999999999</v>
          </cell>
        </row>
        <row r="1047">
          <cell r="N1047">
            <v>-36.26</v>
          </cell>
        </row>
        <row r="1048">
          <cell r="N1048">
            <v>-37.040999999999997</v>
          </cell>
        </row>
        <row r="1049">
          <cell r="N1049">
            <v>-49.223999999999997</v>
          </cell>
        </row>
        <row r="1050">
          <cell r="N1050">
            <v>-11.948</v>
          </cell>
        </row>
        <row r="1051">
          <cell r="N1051">
            <v>-17.625</v>
          </cell>
        </row>
        <row r="1052">
          <cell r="N1052">
            <v>-12.994999999999999</v>
          </cell>
        </row>
        <row r="1053">
          <cell r="N1053">
            <v>-59.024999999999999</v>
          </cell>
        </row>
        <row r="1054">
          <cell r="N1054">
            <v>-40.792000000000002</v>
          </cell>
        </row>
        <row r="1055">
          <cell r="N1055">
            <v>-42.823999999999998</v>
          </cell>
        </row>
        <row r="1056">
          <cell r="N1056">
            <v>-64.233000000000004</v>
          </cell>
        </row>
        <row r="1057">
          <cell r="N1057">
            <v>-48.478000000000002</v>
          </cell>
        </row>
        <row r="1058">
          <cell r="N1058">
            <v>-50.064999999999998</v>
          </cell>
        </row>
        <row r="1059">
          <cell r="N1059">
            <v>-14.762</v>
          </cell>
        </row>
        <row r="1060">
          <cell r="N1060">
            <v>-13.111000000000001</v>
          </cell>
        </row>
        <row r="1061">
          <cell r="N1061">
            <v>-38.448</v>
          </cell>
        </row>
        <row r="1062">
          <cell r="N1062">
            <v>-15.55</v>
          </cell>
        </row>
        <row r="1063">
          <cell r="N1063">
            <v>-63.808999999999997</v>
          </cell>
        </row>
        <row r="1064">
          <cell r="N1064">
            <v>-45.578000000000003</v>
          </cell>
        </row>
        <row r="1065">
          <cell r="N1065">
            <v>-36.335999999999999</v>
          </cell>
        </row>
        <row r="1066">
          <cell r="N1066">
            <v>-71.480999999999995</v>
          </cell>
        </row>
        <row r="1067">
          <cell r="N1067">
            <v>-41.814</v>
          </cell>
        </row>
        <row r="1068">
          <cell r="N1068">
            <v>-48.88</v>
          </cell>
        </row>
        <row r="1069">
          <cell r="N1069">
            <v>-34.814999999999998</v>
          </cell>
        </row>
        <row r="1070">
          <cell r="N1070">
            <v>-26.524999999999999</v>
          </cell>
        </row>
        <row r="1071">
          <cell r="N1071">
            <v>-0.81399999999999995</v>
          </cell>
        </row>
        <row r="1072">
          <cell r="N1072">
            <v>-0.92800000000000005</v>
          </cell>
        </row>
        <row r="1073">
          <cell r="N1073">
            <v>-46.225000000000001</v>
          </cell>
        </row>
        <row r="1074">
          <cell r="N1074">
            <v>-38.134999999999998</v>
          </cell>
        </row>
        <row r="1075">
          <cell r="N1075">
            <v>-22.855</v>
          </cell>
        </row>
        <row r="1076">
          <cell r="N1076">
            <v>-20.724</v>
          </cell>
        </row>
        <row r="1077">
          <cell r="N1077">
            <v>-45.35</v>
          </cell>
        </row>
        <row r="1078">
          <cell r="N1078">
            <v>-15.779</v>
          </cell>
        </row>
        <row r="1079">
          <cell r="N1079">
            <v>-2.8050000000000002</v>
          </cell>
        </row>
        <row r="1080">
          <cell r="N1080">
            <v>-52.622999999999998</v>
          </cell>
        </row>
        <row r="1081">
          <cell r="N1081">
            <v>-41.085999999999999</v>
          </cell>
        </row>
        <row r="1082">
          <cell r="N1082">
            <v>-10.79</v>
          </cell>
        </row>
        <row r="1083">
          <cell r="N1083">
            <v>-35.585000000000001</v>
          </cell>
        </row>
        <row r="1084">
          <cell r="N1084">
            <v>-53.235999999999997</v>
          </cell>
        </row>
        <row r="1085">
          <cell r="N1085">
            <v>-43.762</v>
          </cell>
        </row>
        <row r="1086">
          <cell r="N1086">
            <v>-61.234000000000002</v>
          </cell>
        </row>
        <row r="1087">
          <cell r="N1087">
            <v>-13.172000000000001</v>
          </cell>
        </row>
        <row r="1088">
          <cell r="N1088">
            <v>-49.381</v>
          </cell>
        </row>
        <row r="1089">
          <cell r="N1089">
            <v>-18.66</v>
          </cell>
        </row>
        <row r="1090">
          <cell r="N1090">
            <v>-21.082000000000001</v>
          </cell>
        </row>
        <row r="1091">
          <cell r="N1091">
            <v>-15.199</v>
          </cell>
        </row>
        <row r="1092">
          <cell r="N1092">
            <v>-41.573999999999998</v>
          </cell>
        </row>
        <row r="1093">
          <cell r="N1093">
            <v>-14.539</v>
          </cell>
        </row>
        <row r="1094">
          <cell r="N1094">
            <v>-15.895</v>
          </cell>
        </row>
        <row r="1095">
          <cell r="N1095">
            <v>-48.085000000000001</v>
          </cell>
        </row>
        <row r="1096">
          <cell r="N1096">
            <v>-29.460999999999999</v>
          </cell>
        </row>
        <row r="1097">
          <cell r="N1097">
            <v>-36.03</v>
          </cell>
        </row>
        <row r="1098">
          <cell r="N1098">
            <v>-14.234</v>
          </cell>
        </row>
        <row r="1099">
          <cell r="N1099">
            <v>-18.074999999999999</v>
          </cell>
        </row>
        <row r="1100">
          <cell r="N1100">
            <v>-13.807</v>
          </cell>
        </row>
        <row r="1101">
          <cell r="N1101">
            <v>-2.194</v>
          </cell>
        </row>
        <row r="1102">
          <cell r="N1102">
            <v>-46.793999999999997</v>
          </cell>
        </row>
        <row r="1103">
          <cell r="N1103">
            <v>-8.6780000000000008</v>
          </cell>
        </row>
        <row r="1104">
          <cell r="N1104">
            <v>-15.723000000000001</v>
          </cell>
        </row>
        <row r="1105">
          <cell r="N1105">
            <v>-12.414</v>
          </cell>
        </row>
        <row r="1106">
          <cell r="N1106">
            <v>-45.021999999999998</v>
          </cell>
        </row>
        <row r="1107">
          <cell r="N1107">
            <v>-45.481999999999999</v>
          </cell>
        </row>
        <row r="1108">
          <cell r="N1108">
            <v>-2.6040000000000001</v>
          </cell>
        </row>
        <row r="1109">
          <cell r="N1109">
            <v>-1.482</v>
          </cell>
        </row>
        <row r="1110">
          <cell r="N1110">
            <v>-1.4930000000000001</v>
          </cell>
        </row>
        <row r="1111">
          <cell r="N1111">
            <v>-2.2309999999999999</v>
          </cell>
        </row>
        <row r="1112">
          <cell r="N1112">
            <v>-55.484999999999999</v>
          </cell>
        </row>
        <row r="1113">
          <cell r="N1113">
            <v>-4.1630000000000003</v>
          </cell>
        </row>
        <row r="1114">
          <cell r="N1114">
            <v>-5.2160000000000002</v>
          </cell>
        </row>
        <row r="1115">
          <cell r="N1115">
            <v>-7.7469999999999999</v>
          </cell>
        </row>
        <row r="1116">
          <cell r="N1116">
            <v>-7.827</v>
          </cell>
        </row>
        <row r="1117">
          <cell r="N1117">
            <v>-7.9349999999999996</v>
          </cell>
        </row>
        <row r="1118">
          <cell r="N1118">
            <v>-9.9320000000000004</v>
          </cell>
        </row>
        <row r="1119">
          <cell r="N1119">
            <v>-9.6920000000000002</v>
          </cell>
        </row>
        <row r="1120">
          <cell r="N1120">
            <v>-9.4770000000000003</v>
          </cell>
        </row>
        <row r="1121">
          <cell r="N1121">
            <v>-9.4550000000000001</v>
          </cell>
        </row>
        <row r="1122">
          <cell r="N1122">
            <v>-9.2720000000000002</v>
          </cell>
        </row>
        <row r="1123">
          <cell r="N1123">
            <v>-30.256</v>
          </cell>
        </row>
        <row r="1124">
          <cell r="N1124">
            <v>-9.2040000000000006</v>
          </cell>
        </row>
        <row r="1125">
          <cell r="N1125">
            <v>-8.5340000000000007</v>
          </cell>
        </row>
        <row r="1126">
          <cell r="N1126">
            <v>-36.26</v>
          </cell>
        </row>
        <row r="1127">
          <cell r="N1127">
            <v>-48.212000000000003</v>
          </cell>
        </row>
        <row r="1128">
          <cell r="N1128">
            <v>-1.022</v>
          </cell>
        </row>
        <row r="1129">
          <cell r="N1129">
            <v>-59.984000000000002</v>
          </cell>
        </row>
        <row r="1130">
          <cell r="N1130">
            <v>-8.8179999999999996</v>
          </cell>
        </row>
        <row r="1131">
          <cell r="N1131">
            <v>-3.0350000000000001</v>
          </cell>
        </row>
        <row r="1132">
          <cell r="N1132">
            <v>-40.954999999999998</v>
          </cell>
        </row>
        <row r="1133">
          <cell r="N1133">
            <v>-162</v>
          </cell>
        </row>
        <row r="1134">
          <cell r="N1134">
            <v>-81</v>
          </cell>
        </row>
        <row r="1135">
          <cell r="N1135">
            <v>-298</v>
          </cell>
        </row>
        <row r="1136">
          <cell r="N1136">
            <v>-298</v>
          </cell>
        </row>
        <row r="1137">
          <cell r="N1137">
            <v>-38.603999999999999</v>
          </cell>
        </row>
        <row r="1138">
          <cell r="N1138">
            <v>-7.4939999999999998</v>
          </cell>
        </row>
        <row r="1139">
          <cell r="N1139">
            <v>-49.076000000000001</v>
          </cell>
        </row>
        <row r="1140">
          <cell r="N1140">
            <v>-43.405999999999999</v>
          </cell>
        </row>
        <row r="1141">
          <cell r="N1141">
            <v>-56.289000000000001</v>
          </cell>
        </row>
        <row r="1142">
          <cell r="N1142">
            <v>-55.832999999999998</v>
          </cell>
        </row>
        <row r="1143">
          <cell r="N1143">
            <v>-56.484999999999999</v>
          </cell>
        </row>
        <row r="1144">
          <cell r="N1144">
            <v>-12.298</v>
          </cell>
        </row>
        <row r="1145">
          <cell r="N1145">
            <v>-47.447000000000003</v>
          </cell>
        </row>
        <row r="1146">
          <cell r="N1146">
            <v>-12.066000000000001</v>
          </cell>
        </row>
        <row r="1147">
          <cell r="N1147">
            <v>-19.178000000000001</v>
          </cell>
        </row>
        <row r="1148">
          <cell r="N1148">
            <v>-42.667999999999999</v>
          </cell>
        </row>
        <row r="1149">
          <cell r="N1149">
            <v>-52.735999999999997</v>
          </cell>
        </row>
        <row r="1150">
          <cell r="N1150">
            <v>-23.823</v>
          </cell>
        </row>
        <row r="1151">
          <cell r="N1151">
            <v>-3.1850000000000001</v>
          </cell>
        </row>
        <row r="1152">
          <cell r="N1152">
            <v>-31.975000000000001</v>
          </cell>
        </row>
        <row r="1153">
          <cell r="N1153">
            <v>-73.230999999999995</v>
          </cell>
        </row>
        <row r="1154">
          <cell r="N1154">
            <v>-3.9540000000000002</v>
          </cell>
        </row>
        <row r="1155">
          <cell r="N1155">
            <v>-60.265000000000001</v>
          </cell>
        </row>
        <row r="1156">
          <cell r="N1156">
            <v>-48.920999999999999</v>
          </cell>
        </row>
        <row r="1157">
          <cell r="N1157">
            <v>-14.039</v>
          </cell>
        </row>
        <row r="1158">
          <cell r="N1158">
            <v>-44.387</v>
          </cell>
        </row>
        <row r="1159">
          <cell r="N1159">
            <v>-23.242000000000001</v>
          </cell>
        </row>
        <row r="1160">
          <cell r="N1160">
            <v>-19.148</v>
          </cell>
        </row>
        <row r="1161">
          <cell r="N1161">
            <v>-56.542999999999999</v>
          </cell>
        </row>
        <row r="1162">
          <cell r="N1162">
            <v>-16.501000000000001</v>
          </cell>
        </row>
        <row r="1163">
          <cell r="N1163">
            <v>-45.012</v>
          </cell>
        </row>
        <row r="1164">
          <cell r="N1164">
            <v>-9.1660000000000004</v>
          </cell>
        </row>
        <row r="1165">
          <cell r="N1165">
            <v>-65.25</v>
          </cell>
        </row>
        <row r="1166">
          <cell r="N1166">
            <v>-63.866999999999997</v>
          </cell>
        </row>
        <row r="1167">
          <cell r="N1167">
            <v>-3.2149999999999999</v>
          </cell>
        </row>
        <row r="1168">
          <cell r="N1168">
            <v>-2.6949999999999998</v>
          </cell>
        </row>
        <row r="1169">
          <cell r="N1169">
            <v>-43.982999999999997</v>
          </cell>
        </row>
        <row r="1170">
          <cell r="N1170">
            <v>-29.065999999999999</v>
          </cell>
        </row>
        <row r="1171">
          <cell r="N1171">
            <v>-45.04</v>
          </cell>
        </row>
        <row r="1172">
          <cell r="N1172">
            <v>-43.386000000000003</v>
          </cell>
        </row>
        <row r="1173">
          <cell r="N1173">
            <v>-43.606000000000002</v>
          </cell>
        </row>
        <row r="1174">
          <cell r="N1174">
            <v>-40.479999999999997</v>
          </cell>
        </row>
        <row r="1175">
          <cell r="N1175">
            <v>-53.174999999999997</v>
          </cell>
        </row>
        <row r="1176">
          <cell r="N1176">
            <v>-13.477</v>
          </cell>
        </row>
        <row r="1177">
          <cell r="N1177">
            <v>-15.779</v>
          </cell>
        </row>
        <row r="1178">
          <cell r="N1178">
            <v>-18.373999999999999</v>
          </cell>
        </row>
        <row r="1179">
          <cell r="N1179">
            <v>-35.121000000000002</v>
          </cell>
        </row>
        <row r="1180">
          <cell r="N1180">
            <v>-45.805999999999997</v>
          </cell>
        </row>
        <row r="1181">
          <cell r="N1181">
            <v>-42.436</v>
          </cell>
        </row>
        <row r="1182">
          <cell r="N1182">
            <v>-12.53</v>
          </cell>
        </row>
        <row r="1183">
          <cell r="N1183">
            <v>-14.989000000000001</v>
          </cell>
        </row>
        <row r="1184">
          <cell r="N1184">
            <v>-62.442999999999998</v>
          </cell>
        </row>
        <row r="1185">
          <cell r="N1185">
            <v>-48.768000000000001</v>
          </cell>
        </row>
        <row r="1186">
          <cell r="N1186">
            <v>-54.412999999999997</v>
          </cell>
        </row>
        <row r="1187">
          <cell r="N1187">
            <v>-47.68</v>
          </cell>
        </row>
        <row r="1188">
          <cell r="N1188">
            <v>-59.255000000000003</v>
          </cell>
        </row>
        <row r="1189">
          <cell r="N1189">
            <v>-18.206</v>
          </cell>
        </row>
        <row r="1190">
          <cell r="N1190">
            <v>-16.827000000000002</v>
          </cell>
        </row>
        <row r="1191">
          <cell r="N1191">
            <v>-49.268000000000001</v>
          </cell>
        </row>
        <row r="1192">
          <cell r="N1192">
            <v>-38.238999999999997</v>
          </cell>
        </row>
        <row r="1193">
          <cell r="N1193">
            <v>-10.093999999999999</v>
          </cell>
        </row>
        <row r="1194">
          <cell r="N1194">
            <v>-40.167000000000002</v>
          </cell>
        </row>
        <row r="1195">
          <cell r="N1195">
            <v>-30.425000000000001</v>
          </cell>
        </row>
        <row r="1196">
          <cell r="N1196">
            <v>-4.8000000000000001E-2</v>
          </cell>
        </row>
        <row r="1197">
          <cell r="N1197">
            <v>-2.9249999999999998</v>
          </cell>
        </row>
        <row r="1198">
          <cell r="N1198">
            <v>-2.274</v>
          </cell>
        </row>
        <row r="1199">
          <cell r="N1199">
            <v>-22.466999999999999</v>
          </cell>
        </row>
        <row r="1200">
          <cell r="N1200">
            <v>-75.48</v>
          </cell>
        </row>
        <row r="1201">
          <cell r="N1201">
            <v>-56.72</v>
          </cell>
        </row>
        <row r="1202">
          <cell r="N1202">
            <v>-39.942</v>
          </cell>
        </row>
        <row r="1203">
          <cell r="N1203">
            <v>-2.9350000000000001</v>
          </cell>
        </row>
        <row r="1204">
          <cell r="N1204">
            <v>-0.11700000000000001</v>
          </cell>
        </row>
        <row r="1205">
          <cell r="N1205">
            <v>-47.619</v>
          </cell>
        </row>
        <row r="1206">
          <cell r="N1206">
            <v>-4.2590000000000003</v>
          </cell>
        </row>
        <row r="1207">
          <cell r="N1207">
            <v>-14.34</v>
          </cell>
        </row>
        <row r="1208">
          <cell r="N1208">
            <v>-8.9999999999999993E-3</v>
          </cell>
        </row>
        <row r="1209">
          <cell r="N1209">
            <v>-40.118000000000002</v>
          </cell>
        </row>
        <row r="1210">
          <cell r="N1210">
            <v>-44.078000000000003</v>
          </cell>
        </row>
        <row r="1211">
          <cell r="N1211">
            <v>-41.887</v>
          </cell>
        </row>
        <row r="1212">
          <cell r="N1212">
            <v>-34.213000000000001</v>
          </cell>
        </row>
        <row r="1213">
          <cell r="N1213">
            <v>-2.4E-2</v>
          </cell>
        </row>
        <row r="1214">
          <cell r="N1214">
            <v>-5.0000000000000001E-3</v>
          </cell>
        </row>
        <row r="1215">
          <cell r="N1215">
            <v>-63.125</v>
          </cell>
        </row>
        <row r="1216">
          <cell r="N1216">
            <v>-3.3000000000000002E-2</v>
          </cell>
        </row>
        <row r="1217">
          <cell r="N1217">
            <v>-13.638999999999999</v>
          </cell>
        </row>
        <row r="1218">
          <cell r="N1218">
            <v>-8.9999999999999993E-3</v>
          </cell>
        </row>
        <row r="1219">
          <cell r="N1219">
            <v>-5.0000000000000001E-3</v>
          </cell>
        </row>
        <row r="1220">
          <cell r="N1220">
            <v>-3.2210000000000001</v>
          </cell>
        </row>
        <row r="1221">
          <cell r="N1221">
            <v>-46.085000000000001</v>
          </cell>
        </row>
        <row r="1222">
          <cell r="N1222">
            <v>-3.0000000000000001E-3</v>
          </cell>
        </row>
        <row r="1223">
          <cell r="N1223">
            <v>-17.986999999999998</v>
          </cell>
        </row>
        <row r="1224">
          <cell r="N1224">
            <v>-6.0000000000000001E-3</v>
          </cell>
        </row>
        <row r="1225">
          <cell r="N1225">
            <v>-11.95</v>
          </cell>
        </row>
        <row r="1226">
          <cell r="N1226">
            <v>-40.636000000000003</v>
          </cell>
        </row>
        <row r="1227">
          <cell r="N1227">
            <v>-52.348999999999997</v>
          </cell>
        </row>
        <row r="1228">
          <cell r="N1228">
            <v>-15.032</v>
          </cell>
        </row>
        <row r="1229">
          <cell r="N1229">
            <v>-26.02</v>
          </cell>
        </row>
        <row r="1230">
          <cell r="N1230">
            <v>-53.235999999999997</v>
          </cell>
        </row>
        <row r="1231">
          <cell r="N1231">
            <v>-18.13</v>
          </cell>
        </row>
        <row r="1232">
          <cell r="N1232">
            <v>-12.785</v>
          </cell>
        </row>
        <row r="1233">
          <cell r="N1233">
            <v>-40.948999999999998</v>
          </cell>
        </row>
        <row r="1234">
          <cell r="N1234">
            <v>-600</v>
          </cell>
        </row>
        <row r="1235">
          <cell r="N1235">
            <v>-617.226</v>
          </cell>
        </row>
        <row r="1236">
          <cell r="N1236">
            <v>-16.242999999999999</v>
          </cell>
        </row>
        <row r="1237">
          <cell r="N1237">
            <v>-45.728000000000002</v>
          </cell>
        </row>
        <row r="1238">
          <cell r="N1238">
            <v>-22.855</v>
          </cell>
        </row>
        <row r="1239">
          <cell r="N1239">
            <v>-29.454000000000001</v>
          </cell>
        </row>
        <row r="1240">
          <cell r="N1240">
            <v>-19.148</v>
          </cell>
        </row>
        <row r="1241">
          <cell r="N1241">
            <v>-2.9049999999999998</v>
          </cell>
        </row>
        <row r="1242">
          <cell r="N1242">
            <v>-46.575000000000003</v>
          </cell>
        </row>
        <row r="1243">
          <cell r="N1243">
            <v>-41.887</v>
          </cell>
        </row>
        <row r="1244">
          <cell r="N1244">
            <v>-44.738</v>
          </cell>
        </row>
        <row r="1245">
          <cell r="N1245">
            <v>-2.895</v>
          </cell>
        </row>
        <row r="1246">
          <cell r="N1246">
            <v>-47.957999999999998</v>
          </cell>
        </row>
        <row r="1247">
          <cell r="N1247">
            <v>-36.9</v>
          </cell>
        </row>
        <row r="1248">
          <cell r="N1248">
            <v>-44.893999999999998</v>
          </cell>
        </row>
        <row r="1249">
          <cell r="N1249">
            <v>-12.879</v>
          </cell>
        </row>
        <row r="1250">
          <cell r="N1250">
            <v>-18.567</v>
          </cell>
        </row>
        <row r="1251">
          <cell r="N1251">
            <v>-54.466000000000001</v>
          </cell>
        </row>
        <row r="1252">
          <cell r="N1252">
            <v>-84.477999999999994</v>
          </cell>
        </row>
        <row r="1253">
          <cell r="N1253">
            <v>-298</v>
          </cell>
        </row>
        <row r="1254">
          <cell r="N1254">
            <v>-13.343</v>
          </cell>
        </row>
        <row r="1255">
          <cell r="N1255">
            <v>-298</v>
          </cell>
        </row>
        <row r="1256">
          <cell r="N1256">
            <v>-18.206</v>
          </cell>
        </row>
        <row r="1257">
          <cell r="N1257">
            <v>-298</v>
          </cell>
        </row>
        <row r="1258">
          <cell r="N1258">
            <v>-53.14</v>
          </cell>
        </row>
        <row r="1259">
          <cell r="N1259">
            <v>-2.5339999999999998</v>
          </cell>
        </row>
        <row r="1260">
          <cell r="N1260">
            <v>-5.7</v>
          </cell>
        </row>
        <row r="1261">
          <cell r="N1261">
            <v>-3.8119999999999998</v>
          </cell>
        </row>
        <row r="1262">
          <cell r="N1262">
            <v>-20.905999999999999</v>
          </cell>
        </row>
        <row r="1263">
          <cell r="N1263">
            <v>-39.542000000000002</v>
          </cell>
        </row>
        <row r="1264">
          <cell r="N1264">
            <v>-11.718</v>
          </cell>
        </row>
        <row r="1265">
          <cell r="N1265">
            <v>-61.073999999999998</v>
          </cell>
        </row>
        <row r="1266">
          <cell r="N1266">
            <v>-50.921999999999997</v>
          </cell>
        </row>
        <row r="1267">
          <cell r="N1267">
            <v>-2.835</v>
          </cell>
        </row>
        <row r="1268">
          <cell r="N1268">
            <v>-59.255000000000003</v>
          </cell>
        </row>
        <row r="1269">
          <cell r="N1269">
            <v>-2.8450000000000002</v>
          </cell>
        </row>
        <row r="1270">
          <cell r="N1270">
            <v>-5.6719999999999997</v>
          </cell>
        </row>
        <row r="1271">
          <cell r="N1271">
            <v>-23.823</v>
          </cell>
        </row>
        <row r="1272">
          <cell r="N1272">
            <v>-2.7850000000000001</v>
          </cell>
        </row>
        <row r="1273">
          <cell r="N1273">
            <v>-53.722000000000001</v>
          </cell>
        </row>
        <row r="1274">
          <cell r="N1274">
            <v>-18.832999999999998</v>
          </cell>
        </row>
        <row r="1275">
          <cell r="N1275">
            <v>-298</v>
          </cell>
        </row>
        <row r="1276">
          <cell r="N1276">
            <v>-16.440000000000001</v>
          </cell>
        </row>
        <row r="1277">
          <cell r="N1277">
            <v>-38.448</v>
          </cell>
        </row>
        <row r="1278">
          <cell r="N1278">
            <v>-42.981000000000002</v>
          </cell>
        </row>
        <row r="1279">
          <cell r="N1279">
            <v>-14.311999999999999</v>
          </cell>
        </row>
        <row r="1280">
          <cell r="N1280">
            <v>-2.3439999999999999</v>
          </cell>
        </row>
        <row r="1281">
          <cell r="N1281">
            <v>-11.138</v>
          </cell>
        </row>
        <row r="1282">
          <cell r="N1282">
            <v>-66.087999999999994</v>
          </cell>
        </row>
        <row r="1283">
          <cell r="N1283">
            <v>-11.718</v>
          </cell>
        </row>
        <row r="1284">
          <cell r="N1284">
            <v>-10.178000000000001</v>
          </cell>
        </row>
        <row r="1285">
          <cell r="N1285">
            <v>-54.01</v>
          </cell>
        </row>
        <row r="1286">
          <cell r="N1286">
            <v>-42.78</v>
          </cell>
        </row>
        <row r="1287">
          <cell r="N1287">
            <v>-39.386000000000003</v>
          </cell>
        </row>
        <row r="1288">
          <cell r="N1288">
            <v>-18.399999999999999</v>
          </cell>
        </row>
        <row r="1289">
          <cell r="N1289">
            <v>-10.586</v>
          </cell>
        </row>
        <row r="1290">
          <cell r="N1290">
            <v>-14.72</v>
          </cell>
        </row>
        <row r="1291">
          <cell r="N1291">
            <v>-100</v>
          </cell>
        </row>
        <row r="1292">
          <cell r="N1292">
            <v>-12.824999999999999</v>
          </cell>
        </row>
        <row r="1293">
          <cell r="N1293">
            <v>-14.513</v>
          </cell>
        </row>
        <row r="1294">
          <cell r="N1294">
            <v>-53.261000000000003</v>
          </cell>
        </row>
        <row r="1295">
          <cell r="N1295">
            <v>-60.845999999999997</v>
          </cell>
        </row>
        <row r="1296">
          <cell r="N1296">
            <v>-28.222000000000001</v>
          </cell>
        </row>
        <row r="1297">
          <cell r="N1297">
            <v>-15.723000000000001</v>
          </cell>
        </row>
        <row r="1298">
          <cell r="N1298">
            <v>-15.032</v>
          </cell>
        </row>
        <row r="1299">
          <cell r="N1299">
            <v>-1.7729999999999999</v>
          </cell>
        </row>
        <row r="1300">
          <cell r="N1300">
            <v>-12.182</v>
          </cell>
        </row>
        <row r="1301">
          <cell r="N1301">
            <v>-13.345000000000001</v>
          </cell>
        </row>
        <row r="1302">
          <cell r="N1302">
            <v>-60.408000000000001</v>
          </cell>
        </row>
        <row r="1303">
          <cell r="N1303">
            <v>-38.463000000000001</v>
          </cell>
        </row>
        <row r="1304">
          <cell r="N1304">
            <v>-51.744</v>
          </cell>
        </row>
        <row r="1305">
          <cell r="N1305">
            <v>-48.478000000000002</v>
          </cell>
        </row>
        <row r="1306">
          <cell r="N1306">
            <v>-162</v>
          </cell>
        </row>
        <row r="1307">
          <cell r="N1307">
            <v>-2.1840000000000002</v>
          </cell>
        </row>
        <row r="1308">
          <cell r="N1308">
            <v>-2.8149999999999999</v>
          </cell>
        </row>
        <row r="1309">
          <cell r="N1309">
            <v>-33.002000000000002</v>
          </cell>
        </row>
        <row r="1310">
          <cell r="N1310">
            <v>-37.978999999999999</v>
          </cell>
        </row>
        <row r="1311">
          <cell r="N1311">
            <v>-58.734999999999999</v>
          </cell>
        </row>
        <row r="1312">
          <cell r="N1312">
            <v>-38.761000000000003</v>
          </cell>
        </row>
        <row r="1313">
          <cell r="N1313">
            <v>-45.122</v>
          </cell>
        </row>
        <row r="1314">
          <cell r="N1314">
            <v>-42.354999999999997</v>
          </cell>
        </row>
        <row r="1315">
          <cell r="N1315">
            <v>-77.73</v>
          </cell>
        </row>
        <row r="1316">
          <cell r="N1316">
            <v>-65.483000000000004</v>
          </cell>
        </row>
        <row r="1317">
          <cell r="N1317">
            <v>-2.7450000000000001</v>
          </cell>
        </row>
        <row r="1318">
          <cell r="N1318">
            <v>-11.834</v>
          </cell>
        </row>
        <row r="1319">
          <cell r="N1319">
            <v>-14.526</v>
          </cell>
        </row>
        <row r="1320">
          <cell r="N1320">
            <v>-2.7149999999999999</v>
          </cell>
        </row>
        <row r="1321">
          <cell r="N1321">
            <v>-38.917000000000002</v>
          </cell>
        </row>
        <row r="1322">
          <cell r="N1322">
            <v>-23.823</v>
          </cell>
        </row>
        <row r="1323">
          <cell r="N1323">
            <v>-43.780999999999999</v>
          </cell>
        </row>
        <row r="1324">
          <cell r="N1324">
            <v>-2.7450000000000001</v>
          </cell>
        </row>
        <row r="1325">
          <cell r="N1325">
            <v>-58.484999999999999</v>
          </cell>
        </row>
        <row r="1326">
          <cell r="N1326">
            <v>-57.655999999999999</v>
          </cell>
        </row>
        <row r="1327">
          <cell r="N1327">
            <v>-44.008000000000003</v>
          </cell>
        </row>
        <row r="1328">
          <cell r="N1328">
            <v>-2.3740000000000001</v>
          </cell>
        </row>
        <row r="1329">
          <cell r="N1329">
            <v>-16.068000000000001</v>
          </cell>
        </row>
        <row r="1330">
          <cell r="N1330">
            <v>-29.852</v>
          </cell>
        </row>
        <row r="1331">
          <cell r="N1331">
            <v>-39.542000000000002</v>
          </cell>
        </row>
        <row r="1332">
          <cell r="N1332">
            <v>-298</v>
          </cell>
        </row>
        <row r="1333">
          <cell r="N1333">
            <v>-34.228000000000002</v>
          </cell>
        </row>
        <row r="1334">
          <cell r="N1334">
            <v>-35.322000000000003</v>
          </cell>
        </row>
        <row r="1335">
          <cell r="N1335">
            <v>-10.586</v>
          </cell>
        </row>
        <row r="1336">
          <cell r="N1336">
            <v>-38.448</v>
          </cell>
        </row>
        <row r="1337">
          <cell r="N1337">
            <v>-9.8620000000000001</v>
          </cell>
        </row>
        <row r="1338">
          <cell r="N1338">
            <v>-52.985999999999997</v>
          </cell>
        </row>
        <row r="1339">
          <cell r="N1339">
            <v>-3.2210000000000001</v>
          </cell>
        </row>
        <row r="1340">
          <cell r="N1340">
            <v>-40.235999999999997</v>
          </cell>
        </row>
        <row r="1341">
          <cell r="N1341">
            <v>-55.377000000000002</v>
          </cell>
        </row>
        <row r="1342">
          <cell r="N1342">
            <v>-48.994</v>
          </cell>
        </row>
        <row r="1343">
          <cell r="N1343">
            <v>-27.946999999999999</v>
          </cell>
        </row>
        <row r="1344">
          <cell r="N1344">
            <v>-59.234000000000002</v>
          </cell>
        </row>
        <row r="1345">
          <cell r="N1345">
            <v>-25.734999999999999</v>
          </cell>
        </row>
        <row r="1346">
          <cell r="N1346">
            <v>-17.105</v>
          </cell>
        </row>
        <row r="1347">
          <cell r="N1347">
            <v>-44.351999999999997</v>
          </cell>
        </row>
        <row r="1348">
          <cell r="N1348">
            <v>-53.235999999999997</v>
          </cell>
        </row>
        <row r="1349">
          <cell r="N1349">
            <v>-48.643000000000001</v>
          </cell>
        </row>
        <row r="1350">
          <cell r="N1350">
            <v>-20.724</v>
          </cell>
        </row>
        <row r="1351">
          <cell r="N1351">
            <v>-13.574999999999999</v>
          </cell>
        </row>
        <row r="1352">
          <cell r="N1352">
            <v>-2.3639999999999999</v>
          </cell>
        </row>
        <row r="1353">
          <cell r="N1353">
            <v>-18.66</v>
          </cell>
        </row>
        <row r="1354">
          <cell r="N1354">
            <v>-19.350999999999999</v>
          </cell>
        </row>
        <row r="1355">
          <cell r="N1355">
            <v>-27.672000000000001</v>
          </cell>
        </row>
        <row r="1356">
          <cell r="N1356">
            <v>-12.762</v>
          </cell>
        </row>
        <row r="1357">
          <cell r="N1357">
            <v>-15.675000000000001</v>
          </cell>
        </row>
        <row r="1358">
          <cell r="N1358">
            <v>-64.983000000000004</v>
          </cell>
        </row>
        <row r="1359">
          <cell r="N1359">
            <v>-42.354999999999997</v>
          </cell>
        </row>
        <row r="1360">
          <cell r="N1360">
            <v>-38.905999999999999</v>
          </cell>
        </row>
        <row r="1361">
          <cell r="N1361">
            <v>-37.51</v>
          </cell>
        </row>
        <row r="1362">
          <cell r="N1362">
            <v>-36.698</v>
          </cell>
        </row>
        <row r="1363">
          <cell r="N1363">
            <v>-39.698</v>
          </cell>
        </row>
        <row r="1364">
          <cell r="N1364">
            <v>-52.338000000000001</v>
          </cell>
        </row>
        <row r="1365">
          <cell r="N1365">
            <v>-59.947000000000003</v>
          </cell>
        </row>
        <row r="1366">
          <cell r="N1366">
            <v>-37.51</v>
          </cell>
        </row>
        <row r="1367">
          <cell r="N1367">
            <v>-56.366</v>
          </cell>
        </row>
        <row r="1368">
          <cell r="N1368">
            <v>-43.527000000000001</v>
          </cell>
        </row>
        <row r="1369">
          <cell r="N1369">
            <v>-81.478999999999999</v>
          </cell>
        </row>
        <row r="1370">
          <cell r="N1370">
            <v>-61.1</v>
          </cell>
        </row>
        <row r="1371">
          <cell r="N1371">
            <v>-47.274999999999999</v>
          </cell>
        </row>
        <row r="1372">
          <cell r="N1372">
            <v>-4.1870000000000003</v>
          </cell>
        </row>
        <row r="1373">
          <cell r="N1373">
            <v>-2.8849999999999998</v>
          </cell>
        </row>
        <row r="1374">
          <cell r="N1374">
            <v>-20.77</v>
          </cell>
        </row>
        <row r="1375">
          <cell r="N1375">
            <v>-55.566000000000003</v>
          </cell>
        </row>
        <row r="1376">
          <cell r="N1376">
            <v>-65.983000000000004</v>
          </cell>
        </row>
        <row r="1377">
          <cell r="N1377">
            <v>-53.792000000000002</v>
          </cell>
        </row>
        <row r="1378">
          <cell r="N1378">
            <v>-35.273000000000003</v>
          </cell>
        </row>
        <row r="1379">
          <cell r="N1379">
            <v>-17.238</v>
          </cell>
        </row>
        <row r="1380">
          <cell r="N1380">
            <v>-2.5139999999999998</v>
          </cell>
        </row>
        <row r="1381">
          <cell r="N1381">
            <v>-2.4540000000000002</v>
          </cell>
        </row>
        <row r="1382">
          <cell r="N1382">
            <v>-2.5640000000000001</v>
          </cell>
        </row>
        <row r="1383">
          <cell r="N1383">
            <v>-10.210000000000001</v>
          </cell>
        </row>
        <row r="1384">
          <cell r="N1384">
            <v>-36.494999999999997</v>
          </cell>
        </row>
        <row r="1385">
          <cell r="N1385">
            <v>-55.734999999999999</v>
          </cell>
        </row>
        <row r="1386">
          <cell r="N1386">
            <v>-33.759</v>
          </cell>
        </row>
        <row r="1387">
          <cell r="N1387">
            <v>-11.403</v>
          </cell>
        </row>
        <row r="1388">
          <cell r="N1388">
            <v>-55.302</v>
          </cell>
        </row>
        <row r="1389">
          <cell r="N1389">
            <v>-11.749000000000001</v>
          </cell>
        </row>
        <row r="1390">
          <cell r="N1390">
            <v>-55.149000000000001</v>
          </cell>
        </row>
        <row r="1391">
          <cell r="N1391">
            <v>-15.377000000000001</v>
          </cell>
        </row>
        <row r="1392">
          <cell r="N1392">
            <v>-54.920999999999999</v>
          </cell>
        </row>
        <row r="1393">
          <cell r="N1393">
            <v>-18.594000000000001</v>
          </cell>
        </row>
        <row r="1394">
          <cell r="N1394">
            <v>-31.337</v>
          </cell>
        </row>
        <row r="1395">
          <cell r="N1395">
            <v>-13.945</v>
          </cell>
        </row>
        <row r="1396">
          <cell r="N1396">
            <v>-21.085999999999999</v>
          </cell>
        </row>
        <row r="1397">
          <cell r="N1397">
            <v>-0.02</v>
          </cell>
        </row>
        <row r="1398">
          <cell r="N1398">
            <v>-4.2229999999999999</v>
          </cell>
        </row>
        <row r="1399">
          <cell r="N1399">
            <v>-44.438000000000002</v>
          </cell>
        </row>
        <row r="1400">
          <cell r="N1400">
            <v>-2.8149999999999999</v>
          </cell>
        </row>
        <row r="1401">
          <cell r="N1401">
            <v>-3.105</v>
          </cell>
        </row>
        <row r="1402">
          <cell r="N1402">
            <v>-298</v>
          </cell>
        </row>
        <row r="1403">
          <cell r="N1403">
            <v>-9.1880000000000006</v>
          </cell>
        </row>
        <row r="1404">
          <cell r="N1404">
            <v>-11.576000000000001</v>
          </cell>
        </row>
        <row r="1405">
          <cell r="N1405">
            <v>-298</v>
          </cell>
        </row>
        <row r="1406">
          <cell r="N1406">
            <v>-26.946000000000002</v>
          </cell>
        </row>
        <row r="1407">
          <cell r="N1407">
            <v>-20.77</v>
          </cell>
        </row>
        <row r="1408">
          <cell r="N1408">
            <v>-298</v>
          </cell>
        </row>
        <row r="1409">
          <cell r="N1409">
            <v>-298</v>
          </cell>
        </row>
        <row r="1410">
          <cell r="N1410">
            <v>-162</v>
          </cell>
        </row>
        <row r="1411">
          <cell r="N1411">
            <v>-13.821999999999999</v>
          </cell>
        </row>
        <row r="1412">
          <cell r="N1412">
            <v>-16.068000000000001</v>
          </cell>
        </row>
        <row r="1413">
          <cell r="N1413">
            <v>-54.965000000000003</v>
          </cell>
        </row>
        <row r="1414">
          <cell r="N1414">
            <v>-59.485999999999997</v>
          </cell>
        </row>
        <row r="1415">
          <cell r="N1415">
            <v>-24.597999999999999</v>
          </cell>
        </row>
        <row r="1416">
          <cell r="N1416">
            <v>-44.665999999999997</v>
          </cell>
        </row>
        <row r="1417">
          <cell r="N1417">
            <v>-8.9570000000000007</v>
          </cell>
        </row>
        <row r="1418">
          <cell r="N1418">
            <v>-11.37</v>
          </cell>
        </row>
        <row r="1419">
          <cell r="N1419">
            <v>-3.0249999999999999</v>
          </cell>
        </row>
        <row r="1420">
          <cell r="N1420">
            <v>-13.131</v>
          </cell>
        </row>
        <row r="1421">
          <cell r="N1421">
            <v>-56.734999999999999</v>
          </cell>
        </row>
        <row r="1422">
          <cell r="N1422">
            <v>-63.982999999999997</v>
          </cell>
        </row>
        <row r="1423">
          <cell r="N1423">
            <v>-17.349</v>
          </cell>
        </row>
        <row r="1424">
          <cell r="N1424">
            <v>-56.517000000000003</v>
          </cell>
        </row>
        <row r="1425">
          <cell r="N1425">
            <v>-53.353000000000002</v>
          </cell>
        </row>
        <row r="1426">
          <cell r="N1426">
            <v>-49.223999999999997</v>
          </cell>
        </row>
        <row r="1427">
          <cell r="N1427">
            <v>-4.0000000000000001E-3</v>
          </cell>
        </row>
        <row r="1428">
          <cell r="N1428">
            <v>-14.917999999999999</v>
          </cell>
        </row>
        <row r="1429">
          <cell r="N1429">
            <v>-31.388999999999999</v>
          </cell>
        </row>
        <row r="1430">
          <cell r="N1430">
            <v>-15.438000000000001</v>
          </cell>
        </row>
        <row r="1431">
          <cell r="N1431">
            <v>-47.149000000000001</v>
          </cell>
        </row>
        <row r="1432">
          <cell r="N1432">
            <v>-277</v>
          </cell>
        </row>
        <row r="1433">
          <cell r="N1433">
            <v>-25</v>
          </cell>
        </row>
        <row r="1434">
          <cell r="N1434">
            <v>-44.665999999999997</v>
          </cell>
        </row>
        <row r="1435">
          <cell r="N1435">
            <v>-48.88</v>
          </cell>
        </row>
        <row r="1436">
          <cell r="N1436">
            <v>-29.974</v>
          </cell>
        </row>
        <row r="1437">
          <cell r="N1437">
            <v>-14.167999999999999</v>
          </cell>
        </row>
        <row r="1438">
          <cell r="N1438">
            <v>-2.294</v>
          </cell>
        </row>
        <row r="1439">
          <cell r="N1439">
            <v>-23.242000000000001</v>
          </cell>
        </row>
        <row r="1440">
          <cell r="N1440">
            <v>-49.11</v>
          </cell>
        </row>
        <row r="1441">
          <cell r="N1441">
            <v>-83.227999999999994</v>
          </cell>
        </row>
        <row r="1442">
          <cell r="N1442">
            <v>-18.309999999999999</v>
          </cell>
        </row>
        <row r="1443">
          <cell r="N1443">
            <v>-2.254</v>
          </cell>
        </row>
        <row r="1444">
          <cell r="N1444">
            <v>-42.043999999999997</v>
          </cell>
        </row>
        <row r="1445">
          <cell r="N1445">
            <v>-19.756</v>
          </cell>
        </row>
        <row r="1446">
          <cell r="N1446">
            <v>-2.0880000000000001</v>
          </cell>
        </row>
        <row r="1447">
          <cell r="N1447">
            <v>-15.265000000000001</v>
          </cell>
        </row>
        <row r="1448">
          <cell r="N1448">
            <v>-14.686</v>
          </cell>
        </row>
        <row r="1449">
          <cell r="N1449">
            <v>-15.55</v>
          </cell>
        </row>
        <row r="1450">
          <cell r="N1450">
            <v>-9.4220000000000006</v>
          </cell>
        </row>
        <row r="1451">
          <cell r="N1451">
            <v>-18.314</v>
          </cell>
        </row>
        <row r="1452">
          <cell r="N1452">
            <v>-14.526</v>
          </cell>
        </row>
        <row r="1453">
          <cell r="N1453">
            <v>-35.805</v>
          </cell>
        </row>
        <row r="1454">
          <cell r="N1454">
            <v>-31.728000000000002</v>
          </cell>
        </row>
        <row r="1455">
          <cell r="N1455">
            <v>-51.877000000000002</v>
          </cell>
        </row>
        <row r="1456">
          <cell r="N1456">
            <v>-59.478999999999999</v>
          </cell>
        </row>
        <row r="1457">
          <cell r="N1457">
            <v>-12.785</v>
          </cell>
        </row>
        <row r="1458">
          <cell r="N1458">
            <v>-63.482999999999997</v>
          </cell>
        </row>
        <row r="1459">
          <cell r="N1459">
            <v>-10.5</v>
          </cell>
        </row>
        <row r="1460">
          <cell r="N1460">
            <v>-51.959000000000003</v>
          </cell>
        </row>
        <row r="1461">
          <cell r="N1461">
            <v>-2.6040000000000001</v>
          </cell>
        </row>
        <row r="1462">
          <cell r="N1462">
            <v>-25</v>
          </cell>
        </row>
        <row r="1463">
          <cell r="N1463">
            <v>-10</v>
          </cell>
        </row>
        <row r="1464">
          <cell r="N1464">
            <v>-298</v>
          </cell>
        </row>
        <row r="1465">
          <cell r="N1465">
            <v>-2.544</v>
          </cell>
        </row>
        <row r="1466">
          <cell r="N1466">
            <v>-24.07</v>
          </cell>
        </row>
        <row r="1467">
          <cell r="N1467">
            <v>-37.4</v>
          </cell>
        </row>
        <row r="1468">
          <cell r="N1468">
            <v>-46.488999999999997</v>
          </cell>
        </row>
        <row r="1469">
          <cell r="N1469">
            <v>-20.337</v>
          </cell>
        </row>
        <row r="1470">
          <cell r="N1470">
            <v>-60.796999999999997</v>
          </cell>
        </row>
        <row r="1471">
          <cell r="N1471">
            <v>-3.1150000000000002</v>
          </cell>
        </row>
        <row r="1472">
          <cell r="N1472">
            <v>-93.724999999999994</v>
          </cell>
        </row>
        <row r="1473">
          <cell r="N1473">
            <v>-13.795999999999999</v>
          </cell>
        </row>
        <row r="1474">
          <cell r="N1474">
            <v>-14.005000000000001</v>
          </cell>
        </row>
        <row r="1475">
          <cell r="N1475">
            <v>-49.572000000000003</v>
          </cell>
        </row>
        <row r="1476">
          <cell r="N1476">
            <v>-13.994999999999999</v>
          </cell>
        </row>
        <row r="1477">
          <cell r="N1477">
            <v>-13.477</v>
          </cell>
        </row>
        <row r="1478">
          <cell r="N1478">
            <v>-8.8119999999999994</v>
          </cell>
        </row>
        <row r="1479">
          <cell r="N1479">
            <v>-24.015999999999998</v>
          </cell>
        </row>
        <row r="1480">
          <cell r="N1480">
            <v>-12.55</v>
          </cell>
        </row>
        <row r="1481">
          <cell r="N1481">
            <v>-27.620999999999999</v>
          </cell>
        </row>
        <row r="1482">
          <cell r="N1482">
            <v>-25.338000000000001</v>
          </cell>
        </row>
        <row r="1483">
          <cell r="N1483">
            <v>-15.55</v>
          </cell>
        </row>
        <row r="1484">
          <cell r="N1484">
            <v>-46.024000000000001</v>
          </cell>
        </row>
        <row r="1485">
          <cell r="N1485">
            <v>-54.412999999999997</v>
          </cell>
        </row>
        <row r="1486">
          <cell r="N1486">
            <v>-2.8650000000000002</v>
          </cell>
        </row>
        <row r="1487">
          <cell r="N1487">
            <v>-2.7349999999999999</v>
          </cell>
        </row>
        <row r="1488">
          <cell r="N1488">
            <v>-15.55</v>
          </cell>
        </row>
        <row r="1489">
          <cell r="N1489">
            <v>-56.517000000000003</v>
          </cell>
        </row>
        <row r="1490">
          <cell r="N1490">
            <v>-39.786999999999999</v>
          </cell>
        </row>
        <row r="1491">
          <cell r="N1491">
            <v>-18.907</v>
          </cell>
        </row>
        <row r="1492">
          <cell r="N1492">
            <v>-53.326000000000001</v>
          </cell>
        </row>
        <row r="1493">
          <cell r="N1493">
            <v>-31.728000000000002</v>
          </cell>
        </row>
        <row r="1494">
          <cell r="N1494">
            <v>-2.8650000000000002</v>
          </cell>
        </row>
        <row r="1495">
          <cell r="N1495">
            <v>-3.0150000000000001</v>
          </cell>
        </row>
        <row r="1496">
          <cell r="N1496">
            <v>-13.356999999999999</v>
          </cell>
        </row>
        <row r="1497">
          <cell r="N1497">
            <v>-11.749000000000001</v>
          </cell>
        </row>
        <row r="1498">
          <cell r="N1498">
            <v>-76.23</v>
          </cell>
        </row>
        <row r="1499">
          <cell r="N1499">
            <v>-10.473000000000001</v>
          </cell>
        </row>
        <row r="1500">
          <cell r="N1500">
            <v>-2.4740000000000002</v>
          </cell>
        </row>
        <row r="1501">
          <cell r="N1501">
            <v>-15.882</v>
          </cell>
        </row>
        <row r="1502">
          <cell r="N1502">
            <v>-13.994999999999999</v>
          </cell>
        </row>
        <row r="1503">
          <cell r="N1503">
            <v>-56.258000000000003</v>
          </cell>
        </row>
        <row r="1504">
          <cell r="N1504">
            <v>-16.076000000000001</v>
          </cell>
        </row>
        <row r="1505">
          <cell r="N1505">
            <v>-53.781999999999996</v>
          </cell>
        </row>
        <row r="1506">
          <cell r="N1506">
            <v>-35.793999999999997</v>
          </cell>
        </row>
        <row r="1507">
          <cell r="N1507">
            <v>-8.4659999999999993</v>
          </cell>
        </row>
        <row r="1508">
          <cell r="N1508">
            <v>-16.998999999999999</v>
          </cell>
        </row>
        <row r="1509">
          <cell r="N1509">
            <v>-63.982999999999997</v>
          </cell>
        </row>
        <row r="1510">
          <cell r="N1510">
            <v>-57.247999999999998</v>
          </cell>
        </row>
        <row r="1511">
          <cell r="N1511">
            <v>-84.227999999999994</v>
          </cell>
        </row>
        <row r="1512">
          <cell r="N1512">
            <v>-0.69799999999999995</v>
          </cell>
        </row>
        <row r="1513">
          <cell r="N1513">
            <v>-18.314</v>
          </cell>
        </row>
        <row r="1514">
          <cell r="N1514">
            <v>-2.9449999999999998</v>
          </cell>
        </row>
        <row r="1515">
          <cell r="N1515">
            <v>-13.877000000000001</v>
          </cell>
        </row>
        <row r="1516">
          <cell r="N1516">
            <v>-2.464</v>
          </cell>
        </row>
        <row r="1517">
          <cell r="N1517">
            <v>-48.567</v>
          </cell>
        </row>
        <row r="1518">
          <cell r="N1518">
            <v>-5.1890000000000001</v>
          </cell>
        </row>
        <row r="1519">
          <cell r="N1519">
            <v>-21.597000000000001</v>
          </cell>
        </row>
        <row r="1520">
          <cell r="N1520">
            <v>-60.639000000000003</v>
          </cell>
        </row>
        <row r="1521">
          <cell r="N1521">
            <v>-15.478</v>
          </cell>
        </row>
        <row r="1522">
          <cell r="N1522">
            <v>-52.338000000000001</v>
          </cell>
        </row>
        <row r="1523">
          <cell r="N1523">
            <v>-43.387999999999998</v>
          </cell>
        </row>
        <row r="1524">
          <cell r="N1524">
            <v>-50.591000000000001</v>
          </cell>
        </row>
        <row r="1525">
          <cell r="N1525">
            <v>-26.038</v>
          </cell>
        </row>
        <row r="1526">
          <cell r="N1526">
            <v>-12.266999999999999</v>
          </cell>
        </row>
        <row r="1527">
          <cell r="N1527">
            <v>-15.032</v>
          </cell>
        </row>
        <row r="1528">
          <cell r="N1528">
            <v>-54.920999999999999</v>
          </cell>
        </row>
        <row r="1529">
          <cell r="N1529">
            <v>-22.141999999999999</v>
          </cell>
        </row>
        <row r="1530">
          <cell r="N1530">
            <v>-70.481999999999999</v>
          </cell>
        </row>
        <row r="1531">
          <cell r="N1531">
            <v>-16.826000000000001</v>
          </cell>
        </row>
        <row r="1532">
          <cell r="N1532">
            <v>-298</v>
          </cell>
        </row>
        <row r="1533">
          <cell r="N1533">
            <v>-77.98</v>
          </cell>
        </row>
        <row r="1534">
          <cell r="N1534">
            <v>-13.304</v>
          </cell>
        </row>
        <row r="1535">
          <cell r="N1535">
            <v>-58.734999999999999</v>
          </cell>
        </row>
        <row r="1536">
          <cell r="N1536">
            <v>-45.552999999999997</v>
          </cell>
        </row>
        <row r="1537">
          <cell r="N1537">
            <v>-66.543999999999997</v>
          </cell>
        </row>
        <row r="1538">
          <cell r="N1538">
            <v>-10</v>
          </cell>
        </row>
        <row r="1539">
          <cell r="N1539">
            <v>-10</v>
          </cell>
        </row>
        <row r="1540">
          <cell r="N1540">
            <v>-11.016</v>
          </cell>
        </row>
        <row r="1541">
          <cell r="N1541">
            <v>-13.994999999999999</v>
          </cell>
        </row>
        <row r="1542">
          <cell r="N1542">
            <v>-16.664000000000001</v>
          </cell>
        </row>
        <row r="1543">
          <cell r="N1543">
            <v>-16.241</v>
          </cell>
        </row>
        <row r="1544">
          <cell r="N1544">
            <v>-2.6640000000000001</v>
          </cell>
        </row>
        <row r="1545">
          <cell r="N1545">
            <v>-6.6890000000000001</v>
          </cell>
        </row>
        <row r="1546">
          <cell r="N1546">
            <v>-13.648999999999999</v>
          </cell>
        </row>
        <row r="1547">
          <cell r="N1547">
            <v>-17</v>
          </cell>
        </row>
        <row r="1548">
          <cell r="N1548">
            <v>-41.301000000000002</v>
          </cell>
        </row>
        <row r="1549">
          <cell r="N1549">
            <v>-56.95</v>
          </cell>
        </row>
        <row r="1550">
          <cell r="N1550">
            <v>-324</v>
          </cell>
        </row>
        <row r="1551">
          <cell r="N1551">
            <v>-3.1949999999999998</v>
          </cell>
        </row>
        <row r="1552">
          <cell r="N1552">
            <v>-28.762</v>
          </cell>
        </row>
        <row r="1553">
          <cell r="N1553">
            <v>-51.186</v>
          </cell>
        </row>
        <row r="1554">
          <cell r="N1554">
            <v>-13.53</v>
          </cell>
        </row>
        <row r="1555">
          <cell r="N1555">
            <v>-25</v>
          </cell>
        </row>
        <row r="1556">
          <cell r="N1556">
            <v>-14.05</v>
          </cell>
        </row>
        <row r="1557">
          <cell r="N1557">
            <v>-45.569000000000003</v>
          </cell>
        </row>
        <row r="1558">
          <cell r="N1558">
            <v>-13.994999999999999</v>
          </cell>
        </row>
        <row r="1559">
          <cell r="N1559">
            <v>-9.4909999999999997</v>
          </cell>
        </row>
        <row r="1560">
          <cell r="N1560">
            <v>-3.5609999999999999</v>
          </cell>
        </row>
        <row r="1561">
          <cell r="N1561">
            <v>-49.341000000000001</v>
          </cell>
        </row>
        <row r="1562">
          <cell r="N1562">
            <v>-21.77</v>
          </cell>
        </row>
        <row r="1563">
          <cell r="N1563">
            <v>-55.149000000000001</v>
          </cell>
        </row>
        <row r="1564">
          <cell r="N1564">
            <v>-65.733000000000004</v>
          </cell>
        </row>
        <row r="1565">
          <cell r="N1565">
            <v>-16.207000000000001</v>
          </cell>
        </row>
        <row r="1566">
          <cell r="N1566">
            <v>-52.512</v>
          </cell>
        </row>
        <row r="1567">
          <cell r="N1567">
            <v>-50.694000000000003</v>
          </cell>
        </row>
        <row r="1568">
          <cell r="N1568">
            <v>-51.804000000000002</v>
          </cell>
        </row>
        <row r="1569">
          <cell r="N1569">
            <v>-45.805999999999997</v>
          </cell>
        </row>
        <row r="1570">
          <cell r="N1570">
            <v>-48.88</v>
          </cell>
        </row>
        <row r="1571">
          <cell r="N1571">
            <v>-27</v>
          </cell>
        </row>
        <row r="1572">
          <cell r="N1572">
            <v>-21.251999999999999</v>
          </cell>
        </row>
        <row r="1573">
          <cell r="N1573">
            <v>-56.734999999999999</v>
          </cell>
        </row>
        <row r="1574">
          <cell r="N1574">
            <v>-23.629000000000001</v>
          </cell>
        </row>
        <row r="1575">
          <cell r="N1575">
            <v>-75.203000000000003</v>
          </cell>
        </row>
        <row r="1576">
          <cell r="N1576">
            <v>-50.363</v>
          </cell>
        </row>
        <row r="1577">
          <cell r="N1577">
            <v>-16.068000000000001</v>
          </cell>
        </row>
        <row r="1578">
          <cell r="N1578">
            <v>-14.05</v>
          </cell>
        </row>
        <row r="1579">
          <cell r="N1579">
            <v>-69.731999999999999</v>
          </cell>
        </row>
        <row r="1580">
          <cell r="N1580">
            <v>-2.6440000000000001</v>
          </cell>
        </row>
        <row r="1581">
          <cell r="N1581">
            <v>-17.105</v>
          </cell>
        </row>
        <row r="1582">
          <cell r="N1582">
            <v>-15.723000000000001</v>
          </cell>
        </row>
        <row r="1583">
          <cell r="N1583">
            <v>-28.309000000000001</v>
          </cell>
        </row>
        <row r="1584">
          <cell r="N1584">
            <v>-47.326000000000001</v>
          </cell>
        </row>
        <row r="1585">
          <cell r="N1585">
            <v>-2.8650000000000002</v>
          </cell>
        </row>
        <row r="1586">
          <cell r="N1586">
            <v>-16.068000000000001</v>
          </cell>
        </row>
        <row r="1587">
          <cell r="N1587">
            <v>-30.817</v>
          </cell>
        </row>
        <row r="1588">
          <cell r="N1588">
            <v>-14.167999999999999</v>
          </cell>
        </row>
        <row r="1589">
          <cell r="N1589">
            <v>-12.785</v>
          </cell>
        </row>
        <row r="1590">
          <cell r="N1590">
            <v>-15.377000000000001</v>
          </cell>
        </row>
        <row r="1591">
          <cell r="N1591">
            <v>-12.316000000000001</v>
          </cell>
        </row>
        <row r="1592">
          <cell r="N1592">
            <v>-126</v>
          </cell>
        </row>
        <row r="1593">
          <cell r="N1593">
            <v>-10</v>
          </cell>
        </row>
        <row r="1594">
          <cell r="N1594">
            <v>-14.513</v>
          </cell>
        </row>
        <row r="1595">
          <cell r="N1595">
            <v>-15.032</v>
          </cell>
        </row>
        <row r="1596">
          <cell r="N1596">
            <v>-19.081</v>
          </cell>
        </row>
        <row r="1597">
          <cell r="N1597">
            <v>-2.4239999999999999</v>
          </cell>
        </row>
        <row r="1598">
          <cell r="N1598">
            <v>-2.7650000000000001</v>
          </cell>
        </row>
        <row r="1599">
          <cell r="N1599">
            <v>-2.7549999999999999</v>
          </cell>
        </row>
        <row r="1600">
          <cell r="N1600">
            <v>-34.831000000000003</v>
          </cell>
        </row>
        <row r="1601">
          <cell r="N1601">
            <v>-15.265000000000001</v>
          </cell>
        </row>
        <row r="1602">
          <cell r="N1602">
            <v>-2.5739999999999998</v>
          </cell>
        </row>
        <row r="1603">
          <cell r="N1603">
            <v>-15.895</v>
          </cell>
        </row>
        <row r="1604">
          <cell r="N1604">
            <v>-2.2240000000000002</v>
          </cell>
        </row>
        <row r="1605">
          <cell r="N1605">
            <v>-34.817999999999998</v>
          </cell>
        </row>
        <row r="1606">
          <cell r="N1606">
            <v>-2.9849999999999999</v>
          </cell>
        </row>
        <row r="1607">
          <cell r="N1607">
            <v>-42.387</v>
          </cell>
        </row>
        <row r="1608">
          <cell r="N1608">
            <v>-41.122</v>
          </cell>
        </row>
        <row r="1609">
          <cell r="N1609">
            <v>-52.569000000000003</v>
          </cell>
        </row>
        <row r="1610">
          <cell r="N1610">
            <v>-64.983000000000004</v>
          </cell>
        </row>
        <row r="1611">
          <cell r="N1611">
            <v>-17.346</v>
          </cell>
        </row>
        <row r="1612">
          <cell r="N1612">
            <v>-46.033999999999999</v>
          </cell>
        </row>
        <row r="1613">
          <cell r="N1613">
            <v>-10</v>
          </cell>
        </row>
        <row r="1614">
          <cell r="N1614">
            <v>-12.785</v>
          </cell>
        </row>
        <row r="1615">
          <cell r="N1615">
            <v>-19.756</v>
          </cell>
        </row>
        <row r="1616">
          <cell r="N1616">
            <v>-3.6680000000000001</v>
          </cell>
        </row>
        <row r="1617">
          <cell r="N1617">
            <v>-15.265000000000001</v>
          </cell>
        </row>
        <row r="1618">
          <cell r="N1618">
            <v>-43.640999999999998</v>
          </cell>
        </row>
        <row r="1619">
          <cell r="N1619">
            <v>-21.597000000000001</v>
          </cell>
        </row>
        <row r="1620">
          <cell r="N1620">
            <v>-15.204000000000001</v>
          </cell>
        </row>
        <row r="1621">
          <cell r="N1621">
            <v>-2.7149999999999999</v>
          </cell>
        </row>
        <row r="1622">
          <cell r="N1622">
            <v>-15.612</v>
          </cell>
        </row>
        <row r="1623">
          <cell r="N1623">
            <v>-60.484000000000002</v>
          </cell>
        </row>
        <row r="1624">
          <cell r="N1624">
            <v>-58.795000000000002</v>
          </cell>
        </row>
        <row r="1625">
          <cell r="N1625">
            <v>-2.3639999999999999</v>
          </cell>
        </row>
        <row r="1626">
          <cell r="N1626">
            <v>-13.994999999999999</v>
          </cell>
        </row>
        <row r="1627">
          <cell r="N1627">
            <v>-14.859</v>
          </cell>
        </row>
        <row r="1628">
          <cell r="N1628">
            <v>-52.308999999999997</v>
          </cell>
        </row>
        <row r="1629">
          <cell r="N1629">
            <v>-2.6640000000000001</v>
          </cell>
        </row>
        <row r="1630">
          <cell r="N1630">
            <v>-29.823</v>
          </cell>
        </row>
        <row r="1631">
          <cell r="N1631">
            <v>-12.266999999999999</v>
          </cell>
        </row>
        <row r="1632">
          <cell r="N1632">
            <v>-17.346</v>
          </cell>
        </row>
        <row r="1633">
          <cell r="N1633">
            <v>-75.48</v>
          </cell>
        </row>
        <row r="1634">
          <cell r="N1634">
            <v>-14.167999999999999</v>
          </cell>
        </row>
        <row r="1635">
          <cell r="N1635">
            <v>-2.8050000000000002</v>
          </cell>
        </row>
        <row r="1636">
          <cell r="N1636">
            <v>-63.732999999999997</v>
          </cell>
        </row>
        <row r="1637">
          <cell r="N1637">
            <v>-2.7650000000000001</v>
          </cell>
        </row>
        <row r="1638">
          <cell r="N1638">
            <v>-16.132000000000001</v>
          </cell>
        </row>
        <row r="1639">
          <cell r="N1639">
            <v>-17.277999999999999</v>
          </cell>
        </row>
        <row r="1640">
          <cell r="N1640">
            <v>-22.978999999999999</v>
          </cell>
        </row>
        <row r="1641">
          <cell r="N1641">
            <v>-7.1929999999999996</v>
          </cell>
        </row>
        <row r="1642">
          <cell r="N1642">
            <v>-15.032</v>
          </cell>
        </row>
        <row r="1643">
          <cell r="N1643">
            <v>-51.186</v>
          </cell>
        </row>
        <row r="1644">
          <cell r="N1644">
            <v>-20.122</v>
          </cell>
        </row>
        <row r="1645">
          <cell r="N1645">
            <v>-3.597</v>
          </cell>
        </row>
        <row r="1646">
          <cell r="N1646">
            <v>-47.034999999999997</v>
          </cell>
        </row>
        <row r="1647">
          <cell r="N1647">
            <v>-31.337</v>
          </cell>
        </row>
        <row r="1648">
          <cell r="N1648">
            <v>-14.526</v>
          </cell>
        </row>
        <row r="1649">
          <cell r="N1649">
            <v>-36.786000000000001</v>
          </cell>
        </row>
        <row r="1650">
          <cell r="N1650">
            <v>-54.920999999999999</v>
          </cell>
        </row>
        <row r="1651">
          <cell r="N1651">
            <v>-53.408000000000001</v>
          </cell>
        </row>
        <row r="1652">
          <cell r="N1652">
            <v>-56.542999999999999</v>
          </cell>
        </row>
        <row r="1653">
          <cell r="N1653">
            <v>-20.917999999999999</v>
          </cell>
        </row>
        <row r="1654">
          <cell r="N1654">
            <v>-2.3140000000000001</v>
          </cell>
        </row>
        <row r="1655">
          <cell r="N1655">
            <v>-12.836</v>
          </cell>
        </row>
        <row r="1656">
          <cell r="N1656">
            <v>-3.3820000000000001</v>
          </cell>
        </row>
        <row r="1657">
          <cell r="N1657">
            <v>-10</v>
          </cell>
        </row>
        <row r="1658">
          <cell r="N1658">
            <v>-31.337</v>
          </cell>
        </row>
        <row r="1659">
          <cell r="N1659">
            <v>-11.834</v>
          </cell>
        </row>
        <row r="1660">
          <cell r="N1660">
            <v>-21.498999999999999</v>
          </cell>
        </row>
        <row r="1661">
          <cell r="N1661">
            <v>-6.9459999999999997</v>
          </cell>
        </row>
        <row r="1662">
          <cell r="N1662">
            <v>-20.388000000000002</v>
          </cell>
        </row>
        <row r="1663">
          <cell r="N1663">
            <v>-38.170999999999999</v>
          </cell>
        </row>
        <row r="1664">
          <cell r="N1664">
            <v>-13.183</v>
          </cell>
        </row>
        <row r="1665">
          <cell r="N1665">
            <v>-40.954999999999998</v>
          </cell>
        </row>
        <row r="1666">
          <cell r="N1666">
            <v>-2.464</v>
          </cell>
        </row>
        <row r="1667">
          <cell r="N1667">
            <v>-47.957999999999998</v>
          </cell>
        </row>
        <row r="1668">
          <cell r="N1668">
            <v>-43.345999999999997</v>
          </cell>
        </row>
        <row r="1669">
          <cell r="N1669">
            <v>-11.449</v>
          </cell>
        </row>
        <row r="1670">
          <cell r="N1670">
            <v>-10.558</v>
          </cell>
        </row>
        <row r="1671">
          <cell r="N1671">
            <v>-40.564</v>
          </cell>
        </row>
        <row r="1672">
          <cell r="N1672">
            <v>-34.968000000000004</v>
          </cell>
        </row>
        <row r="1673">
          <cell r="N1673">
            <v>-3.0169999999999999</v>
          </cell>
        </row>
        <row r="1674">
          <cell r="N1674">
            <v>-50.161999999999999</v>
          </cell>
        </row>
        <row r="1675">
          <cell r="N1675">
            <v>-12.53</v>
          </cell>
        </row>
        <row r="1676">
          <cell r="N1676">
            <v>-18.66</v>
          </cell>
        </row>
        <row r="1677">
          <cell r="N1677">
            <v>-18.832999999999998</v>
          </cell>
        </row>
        <row r="1678">
          <cell r="N1678">
            <v>-19.869</v>
          </cell>
        </row>
        <row r="1679">
          <cell r="N1679">
            <v>-15.204000000000001</v>
          </cell>
        </row>
        <row r="1680">
          <cell r="N1680">
            <v>-16.826000000000001</v>
          </cell>
        </row>
        <row r="1681">
          <cell r="N1681">
            <v>-10.673999999999999</v>
          </cell>
        </row>
        <row r="1682">
          <cell r="N1682">
            <v>-58.137999999999998</v>
          </cell>
        </row>
        <row r="1683">
          <cell r="N1683">
            <v>-2.3639999999999999</v>
          </cell>
        </row>
        <row r="1684">
          <cell r="N1684">
            <v>-21.423999999999999</v>
          </cell>
        </row>
        <row r="1685">
          <cell r="N1685">
            <v>-14.167999999999999</v>
          </cell>
        </row>
        <row r="1686">
          <cell r="N1686">
            <v>-43.762</v>
          </cell>
        </row>
        <row r="1687">
          <cell r="N1687">
            <v>-57.427999999999997</v>
          </cell>
        </row>
        <row r="1688">
          <cell r="N1688">
            <v>-9.7460000000000004</v>
          </cell>
        </row>
        <row r="1689">
          <cell r="N1689">
            <v>-2.8149999999999999</v>
          </cell>
        </row>
        <row r="1690">
          <cell r="N1690">
            <v>-10.79</v>
          </cell>
        </row>
        <row r="1691">
          <cell r="N1691">
            <v>-13.356999999999999</v>
          </cell>
        </row>
        <row r="1692">
          <cell r="N1692">
            <v>-19.178000000000001</v>
          </cell>
        </row>
        <row r="1693">
          <cell r="N1693">
            <v>-80.978999999999999</v>
          </cell>
        </row>
        <row r="1694">
          <cell r="N1694">
            <v>-15.420999999999999</v>
          </cell>
        </row>
        <row r="1695">
          <cell r="N1695">
            <v>-40.792000000000002</v>
          </cell>
        </row>
        <row r="1696">
          <cell r="N1696">
            <v>-42.173000000000002</v>
          </cell>
        </row>
        <row r="1697">
          <cell r="N1697">
            <v>-16.652000000000001</v>
          </cell>
        </row>
        <row r="1698">
          <cell r="N1698">
            <v>-49.872999999999998</v>
          </cell>
        </row>
        <row r="1699">
          <cell r="N1699">
            <v>-19.367999999999999</v>
          </cell>
        </row>
        <row r="1700">
          <cell r="N1700">
            <v>-50.987000000000002</v>
          </cell>
        </row>
        <row r="1701">
          <cell r="N1701">
            <v>-13.131</v>
          </cell>
        </row>
        <row r="1702">
          <cell r="N1702">
            <v>-24.016999999999999</v>
          </cell>
        </row>
        <row r="1703">
          <cell r="N1703">
            <v>-45.805999999999997</v>
          </cell>
        </row>
        <row r="1704">
          <cell r="N1704">
            <v>-34.831000000000003</v>
          </cell>
        </row>
        <row r="1705">
          <cell r="N1705">
            <v>-15.977</v>
          </cell>
        </row>
        <row r="1706">
          <cell r="N1706">
            <v>-13.648999999999999</v>
          </cell>
        </row>
        <row r="1707">
          <cell r="N1707">
            <v>-15.106999999999999</v>
          </cell>
        </row>
        <row r="1708">
          <cell r="N1708">
            <v>-32.85</v>
          </cell>
        </row>
        <row r="1709">
          <cell r="N1709">
            <v>-4.008</v>
          </cell>
        </row>
        <row r="1710">
          <cell r="N1710">
            <v>-55.566000000000003</v>
          </cell>
        </row>
        <row r="1711">
          <cell r="N1711">
            <v>-16.998999999999999</v>
          </cell>
        </row>
        <row r="1712">
          <cell r="N1712">
            <v>-59.984000000000002</v>
          </cell>
        </row>
        <row r="1713">
          <cell r="N1713">
            <v>-46.488999999999997</v>
          </cell>
        </row>
        <row r="1714">
          <cell r="N1714">
            <v>-56.95</v>
          </cell>
        </row>
        <row r="1715">
          <cell r="N1715">
            <v>-49.237000000000002</v>
          </cell>
        </row>
        <row r="1716">
          <cell r="N1716">
            <v>-17.45</v>
          </cell>
        </row>
        <row r="1717">
          <cell r="N1717">
            <v>-15.032</v>
          </cell>
        </row>
        <row r="1718">
          <cell r="N1718">
            <v>-45.122</v>
          </cell>
        </row>
        <row r="1719">
          <cell r="N1719">
            <v>-2.3940000000000001</v>
          </cell>
        </row>
        <row r="1720">
          <cell r="N1720">
            <v>-25.565999999999999</v>
          </cell>
        </row>
        <row r="1721">
          <cell r="N1721">
            <v>-17.818999999999999</v>
          </cell>
        </row>
        <row r="1722">
          <cell r="N1722">
            <v>-11.602</v>
          </cell>
        </row>
        <row r="1723">
          <cell r="N1723">
            <v>-11.138</v>
          </cell>
        </row>
        <row r="1724">
          <cell r="N1724">
            <v>-18.486999999999998</v>
          </cell>
        </row>
        <row r="1725">
          <cell r="N1725">
            <v>-15.895</v>
          </cell>
        </row>
        <row r="1726">
          <cell r="N1726">
            <v>-2.3340000000000001</v>
          </cell>
        </row>
        <row r="1727">
          <cell r="N1727">
            <v>-13.131</v>
          </cell>
        </row>
        <row r="1728">
          <cell r="N1728">
            <v>-45.012</v>
          </cell>
        </row>
        <row r="1729">
          <cell r="N1729">
            <v>-56.258000000000003</v>
          </cell>
        </row>
        <row r="1730">
          <cell r="N1730">
            <v>-64.721000000000004</v>
          </cell>
        </row>
        <row r="1731">
          <cell r="N1731">
            <v>-23.629000000000001</v>
          </cell>
        </row>
        <row r="1732">
          <cell r="N1732">
            <v>-18.314</v>
          </cell>
        </row>
        <row r="1733">
          <cell r="N1733">
            <v>-11.95</v>
          </cell>
        </row>
        <row r="1734">
          <cell r="N1734">
            <v>-8.3539999999999992</v>
          </cell>
        </row>
        <row r="1735">
          <cell r="N1735">
            <v>-57.252000000000002</v>
          </cell>
        </row>
        <row r="1736">
          <cell r="N1736">
            <v>-14.744</v>
          </cell>
        </row>
        <row r="1737">
          <cell r="N1737">
            <v>-66.316000000000003</v>
          </cell>
        </row>
        <row r="1738">
          <cell r="N1738">
            <v>-37.584000000000003</v>
          </cell>
        </row>
        <row r="1739">
          <cell r="N1739">
            <v>-38.652999999999999</v>
          </cell>
        </row>
        <row r="1740">
          <cell r="N1740">
            <v>-17.227</v>
          </cell>
        </row>
        <row r="1741">
          <cell r="N1741">
            <v>-15.06</v>
          </cell>
        </row>
        <row r="1742">
          <cell r="N1742">
            <v>-48.487000000000002</v>
          </cell>
        </row>
        <row r="1743">
          <cell r="N1743">
            <v>-11.022</v>
          </cell>
        </row>
        <row r="1744">
          <cell r="N1744">
            <v>-45.35</v>
          </cell>
        </row>
        <row r="1745">
          <cell r="N1745">
            <v>-39.536000000000001</v>
          </cell>
        </row>
        <row r="1746">
          <cell r="N1746">
            <v>-25</v>
          </cell>
        </row>
        <row r="1747">
          <cell r="N1747">
            <v>-25</v>
          </cell>
        </row>
        <row r="1748">
          <cell r="N1748">
            <v>-11.254</v>
          </cell>
        </row>
        <row r="1749">
          <cell r="N1749">
            <v>-15.723000000000001</v>
          </cell>
        </row>
        <row r="1750">
          <cell r="N1750">
            <v>-12.298</v>
          </cell>
        </row>
        <row r="1751">
          <cell r="N1751">
            <v>-2.5539999999999998</v>
          </cell>
        </row>
        <row r="1752">
          <cell r="N1752">
            <v>-13.821999999999999</v>
          </cell>
        </row>
        <row r="1753">
          <cell r="N1753">
            <v>-8.673</v>
          </cell>
        </row>
        <row r="1754">
          <cell r="N1754">
            <v>-4.0259999999999998</v>
          </cell>
        </row>
        <row r="1755">
          <cell r="N1755">
            <v>-20.56</v>
          </cell>
        </row>
        <row r="1756">
          <cell r="N1756">
            <v>-34.968000000000004</v>
          </cell>
        </row>
        <row r="1757">
          <cell r="N1757">
            <v>-17.45</v>
          </cell>
        </row>
        <row r="1758">
          <cell r="N1758">
            <v>-2.0329999999999999</v>
          </cell>
        </row>
        <row r="1759">
          <cell r="N1759">
            <v>-10</v>
          </cell>
        </row>
        <row r="1760">
          <cell r="N1760">
            <v>-35.981999999999999</v>
          </cell>
        </row>
        <row r="1761">
          <cell r="N1761">
            <v>-17.783000000000001</v>
          </cell>
        </row>
        <row r="1762">
          <cell r="N1762">
            <v>-33.316000000000003</v>
          </cell>
        </row>
        <row r="1763">
          <cell r="N1763">
            <v>-10</v>
          </cell>
        </row>
        <row r="1764">
          <cell r="N1764">
            <v>-18.04</v>
          </cell>
        </row>
        <row r="1765">
          <cell r="N1765">
            <v>-33.447000000000003</v>
          </cell>
        </row>
        <row r="1766">
          <cell r="N1766">
            <v>-42.488999999999997</v>
          </cell>
        </row>
        <row r="1767">
          <cell r="N1767">
            <v>-23.67</v>
          </cell>
        </row>
        <row r="1768">
          <cell r="N1768">
            <v>-21.498999999999999</v>
          </cell>
        </row>
        <row r="1769">
          <cell r="N1769">
            <v>-16.268999999999998</v>
          </cell>
        </row>
        <row r="1770">
          <cell r="N1770">
            <v>-162</v>
          </cell>
        </row>
        <row r="1771">
          <cell r="N1771">
            <v>-17.366</v>
          </cell>
        </row>
        <row r="1772">
          <cell r="N1772">
            <v>-19.350999999999999</v>
          </cell>
        </row>
        <row r="1773">
          <cell r="N1773">
            <v>-14.167999999999999</v>
          </cell>
        </row>
        <row r="1774">
          <cell r="N1774">
            <v>-36.415999999999997</v>
          </cell>
        </row>
        <row r="1775">
          <cell r="N1775">
            <v>-50.723999999999997</v>
          </cell>
        </row>
        <row r="1776">
          <cell r="N1776">
            <v>-3.2749999999999999</v>
          </cell>
        </row>
        <row r="1777">
          <cell r="N1777">
            <v>-35.277000000000001</v>
          </cell>
        </row>
        <row r="1778">
          <cell r="N1778">
            <v>-42.512</v>
          </cell>
        </row>
        <row r="1779">
          <cell r="N1779">
            <v>-15.895</v>
          </cell>
        </row>
        <row r="1780">
          <cell r="N1780">
            <v>-56.972000000000001</v>
          </cell>
        </row>
        <row r="1781">
          <cell r="N1781">
            <v>-7</v>
          </cell>
        </row>
        <row r="1782">
          <cell r="N1782">
            <v>-7</v>
          </cell>
        </row>
        <row r="1783">
          <cell r="N1783">
            <v>-6</v>
          </cell>
        </row>
        <row r="1784">
          <cell r="N1784">
            <v>-45.405000000000001</v>
          </cell>
        </row>
        <row r="1785">
          <cell r="N1785">
            <v>-15</v>
          </cell>
        </row>
        <row r="1786">
          <cell r="N1786">
            <v>-15.723000000000001</v>
          </cell>
        </row>
        <row r="1787">
          <cell r="N1787">
            <v>-54.238999999999997</v>
          </cell>
        </row>
        <row r="1788">
          <cell r="N1788">
            <v>-40.75</v>
          </cell>
        </row>
        <row r="1789">
          <cell r="N1789">
            <v>-37.51</v>
          </cell>
        </row>
        <row r="1790">
          <cell r="N1790">
            <v>-53.781999999999996</v>
          </cell>
        </row>
        <row r="1791">
          <cell r="N1791">
            <v>-17.625</v>
          </cell>
        </row>
        <row r="1792">
          <cell r="N1792">
            <v>-40.590000000000003</v>
          </cell>
        </row>
        <row r="1793">
          <cell r="N1793">
            <v>-45.198999999999998</v>
          </cell>
        </row>
        <row r="1794">
          <cell r="N1794">
            <v>-16.038</v>
          </cell>
        </row>
        <row r="1795">
          <cell r="N1795">
            <v>-19.588999999999999</v>
          </cell>
        </row>
        <row r="1796">
          <cell r="N1796">
            <v>-26.725000000000001</v>
          </cell>
        </row>
        <row r="1797">
          <cell r="N1797">
            <v>-21.77</v>
          </cell>
        </row>
        <row r="1798">
          <cell r="N1798">
            <v>-19.562000000000001</v>
          </cell>
        </row>
        <row r="1799">
          <cell r="N1799">
            <v>-12.007999999999999</v>
          </cell>
        </row>
        <row r="1800">
          <cell r="N1800">
            <v>-21.411999999999999</v>
          </cell>
        </row>
        <row r="1801">
          <cell r="N1801">
            <v>-11.574</v>
          </cell>
        </row>
        <row r="1802">
          <cell r="N1802">
            <v>-15.420999999999999</v>
          </cell>
        </row>
        <row r="1803">
          <cell r="N1803">
            <v>-45.122</v>
          </cell>
        </row>
        <row r="1804">
          <cell r="N1804">
            <v>-79.728999999999999</v>
          </cell>
        </row>
        <row r="1805">
          <cell r="N1805">
            <v>-14.513</v>
          </cell>
        </row>
        <row r="1806">
          <cell r="N1806">
            <v>-51.093000000000004</v>
          </cell>
        </row>
        <row r="1807">
          <cell r="N1807">
            <v>-56.719000000000001</v>
          </cell>
        </row>
        <row r="1808">
          <cell r="N1808">
            <v>-48.567</v>
          </cell>
        </row>
        <row r="1809">
          <cell r="N1809">
            <v>-13.648999999999999</v>
          </cell>
        </row>
        <row r="1810">
          <cell r="N1810">
            <v>-45.578000000000003</v>
          </cell>
        </row>
        <row r="1811">
          <cell r="N1811">
            <v>-16.759</v>
          </cell>
        </row>
        <row r="1812">
          <cell r="N1812">
            <v>-17.975999999999999</v>
          </cell>
        </row>
        <row r="1813">
          <cell r="N1813">
            <v>-17.623000000000001</v>
          </cell>
        </row>
        <row r="1814">
          <cell r="N1814">
            <v>-14.781000000000001</v>
          </cell>
        </row>
        <row r="1815">
          <cell r="N1815">
            <v>-49.341000000000001</v>
          </cell>
        </row>
        <row r="1816">
          <cell r="N1816">
            <v>-37.445999999999998</v>
          </cell>
        </row>
        <row r="1817">
          <cell r="N1817">
            <v>-15.377000000000001</v>
          </cell>
        </row>
        <row r="1818">
          <cell r="N1818">
            <v>-21</v>
          </cell>
        </row>
        <row r="1819">
          <cell r="N1819">
            <v>-15</v>
          </cell>
        </row>
        <row r="1820">
          <cell r="N1820">
            <v>-25</v>
          </cell>
        </row>
        <row r="1821">
          <cell r="N1821">
            <v>-47.987000000000002</v>
          </cell>
        </row>
        <row r="1822">
          <cell r="N1822">
            <v>-50.954999999999998</v>
          </cell>
        </row>
        <row r="1823">
          <cell r="N1823">
            <v>-39.493000000000002</v>
          </cell>
        </row>
        <row r="1824">
          <cell r="N1824">
            <v>-14.223000000000001</v>
          </cell>
        </row>
        <row r="1825">
          <cell r="N1825">
            <v>-12.958</v>
          </cell>
        </row>
        <row r="1826">
          <cell r="N1826">
            <v>-35.277999999999999</v>
          </cell>
        </row>
        <row r="1827">
          <cell r="N1827">
            <v>-18.013000000000002</v>
          </cell>
        </row>
        <row r="1828">
          <cell r="N1828">
            <v>-19.135999999999999</v>
          </cell>
        </row>
        <row r="1829">
          <cell r="N1829">
            <v>-12.613</v>
          </cell>
        </row>
        <row r="1830">
          <cell r="N1830">
            <v>-36.323999999999998</v>
          </cell>
        </row>
        <row r="1831">
          <cell r="N1831">
            <v>-15.837999999999999</v>
          </cell>
        </row>
        <row r="1832">
          <cell r="N1832">
            <v>-14.34</v>
          </cell>
        </row>
        <row r="1833">
          <cell r="N1833">
            <v>-3.8290000000000002</v>
          </cell>
        </row>
        <row r="1834">
          <cell r="N1834">
            <v>-47.401000000000003</v>
          </cell>
        </row>
        <row r="1835">
          <cell r="N1835">
            <v>-51.58</v>
          </cell>
        </row>
        <row r="1836">
          <cell r="N1836">
            <v>-21.477</v>
          </cell>
        </row>
        <row r="1837">
          <cell r="N1837">
            <v>-3.794</v>
          </cell>
        </row>
        <row r="1838">
          <cell r="N1838">
            <v>-53.735999999999997</v>
          </cell>
        </row>
        <row r="1839">
          <cell r="N1839">
            <v>-42.018999999999998</v>
          </cell>
        </row>
        <row r="1840">
          <cell r="N1840">
            <v>-14.848000000000001</v>
          </cell>
        </row>
        <row r="1841">
          <cell r="N1841">
            <v>-34.872999999999998</v>
          </cell>
        </row>
        <row r="1842">
          <cell r="N1842">
            <v>-36.588000000000001</v>
          </cell>
        </row>
        <row r="1843">
          <cell r="N1843">
            <v>-15.757</v>
          </cell>
        </row>
        <row r="1844">
          <cell r="N1844">
            <v>-46.395000000000003</v>
          </cell>
        </row>
        <row r="1845">
          <cell r="N1845">
            <v>-13.148</v>
          </cell>
        </row>
        <row r="1846">
          <cell r="N1846">
            <v>-48.904000000000003</v>
          </cell>
        </row>
        <row r="1847">
          <cell r="N1847">
            <v>-16.587</v>
          </cell>
        </row>
        <row r="1848">
          <cell r="N1848">
            <v>-14.686</v>
          </cell>
        </row>
        <row r="1849">
          <cell r="N1849">
            <v>-53.554000000000002</v>
          </cell>
        </row>
        <row r="1850">
          <cell r="N1850">
            <v>-47.726999999999997</v>
          </cell>
        </row>
        <row r="1851">
          <cell r="N1851">
            <v>-19.696999999999999</v>
          </cell>
        </row>
        <row r="1852">
          <cell r="N1852">
            <v>-21.423999999999999</v>
          </cell>
        </row>
        <row r="1853">
          <cell r="N1853">
            <v>-14.686</v>
          </cell>
        </row>
        <row r="1854">
          <cell r="N1854">
            <v>-56.011000000000003</v>
          </cell>
        </row>
        <row r="1855">
          <cell r="N1855">
            <v>-3.1789999999999998</v>
          </cell>
        </row>
        <row r="1856">
          <cell r="N1856">
            <v>-43.426000000000002</v>
          </cell>
        </row>
        <row r="1857">
          <cell r="N1857">
            <v>-19.088999999999999</v>
          </cell>
        </row>
        <row r="1858">
          <cell r="N1858">
            <v>-3.9860000000000002</v>
          </cell>
        </row>
        <row r="1859">
          <cell r="N1859">
            <v>-19.175000000000001</v>
          </cell>
        </row>
        <row r="1860">
          <cell r="N1860">
            <v>-53.491</v>
          </cell>
        </row>
        <row r="1861">
          <cell r="N1861">
            <v>-13.666</v>
          </cell>
        </row>
        <row r="1862">
          <cell r="N1862">
            <v>-20.006</v>
          </cell>
        </row>
        <row r="1863">
          <cell r="N1863">
            <v>-45.097000000000001</v>
          </cell>
        </row>
        <row r="1864">
          <cell r="N1864">
            <v>-51.402999999999999</v>
          </cell>
        </row>
        <row r="1865">
          <cell r="N1865">
            <v>-31.802</v>
          </cell>
        </row>
        <row r="1866">
          <cell r="N1866">
            <v>-15.032</v>
          </cell>
        </row>
        <row r="1867">
          <cell r="N1867">
            <v>-45.883000000000003</v>
          </cell>
        </row>
        <row r="1868">
          <cell r="N1868">
            <v>-13.821999999999999</v>
          </cell>
        </row>
        <row r="1869">
          <cell r="N1869">
            <v>-12.411</v>
          </cell>
        </row>
        <row r="1870">
          <cell r="N1870">
            <v>-57.378</v>
          </cell>
        </row>
        <row r="1871">
          <cell r="N1871">
            <v>-47.265999999999998</v>
          </cell>
        </row>
        <row r="1872">
          <cell r="N1872">
            <v>-11.853</v>
          </cell>
        </row>
        <row r="1873">
          <cell r="N1873">
            <v>-32.351999999999997</v>
          </cell>
        </row>
        <row r="1874">
          <cell r="N1874">
            <v>-14.513</v>
          </cell>
        </row>
        <row r="1875">
          <cell r="N1875">
            <v>-21.943000000000001</v>
          </cell>
        </row>
        <row r="1876">
          <cell r="N1876">
            <v>-9.2029999999999994</v>
          </cell>
        </row>
        <row r="1877">
          <cell r="N1877">
            <v>-22.864999999999998</v>
          </cell>
        </row>
        <row r="1878">
          <cell r="N1878">
            <v>-53.305</v>
          </cell>
        </row>
        <row r="1879">
          <cell r="N1879">
            <v>-51.959000000000003</v>
          </cell>
        </row>
        <row r="1880">
          <cell r="N1880">
            <v>-15.170999999999999</v>
          </cell>
        </row>
        <row r="1881">
          <cell r="N1881">
            <v>-17.277999999999999</v>
          </cell>
        </row>
        <row r="1882">
          <cell r="N1882">
            <v>-13.821999999999999</v>
          </cell>
        </row>
        <row r="1883">
          <cell r="N1883">
            <v>-37.859000000000002</v>
          </cell>
        </row>
        <row r="1884">
          <cell r="N1884">
            <v>-18.141999999999999</v>
          </cell>
        </row>
        <row r="1885">
          <cell r="N1885">
            <v>-51.048000000000002</v>
          </cell>
        </row>
        <row r="1886">
          <cell r="N1886">
            <v>-14.513</v>
          </cell>
        </row>
        <row r="1887">
          <cell r="N1887">
            <v>-55.48</v>
          </cell>
        </row>
        <row r="1888">
          <cell r="N1888">
            <v>-52.938000000000002</v>
          </cell>
        </row>
        <row r="1889">
          <cell r="N1889">
            <v>-63.405999999999999</v>
          </cell>
        </row>
        <row r="1890">
          <cell r="N1890">
            <v>-17.105</v>
          </cell>
        </row>
        <row r="1891">
          <cell r="N1891">
            <v>-13.387</v>
          </cell>
        </row>
        <row r="1892">
          <cell r="N1892">
            <v>-18.963999999999999</v>
          </cell>
        </row>
        <row r="1893">
          <cell r="N1893">
            <v>-53.951999999999998</v>
          </cell>
        </row>
        <row r="1894">
          <cell r="N1894">
            <v>-40.247</v>
          </cell>
        </row>
        <row r="1895">
          <cell r="N1895">
            <v>-34.997</v>
          </cell>
        </row>
        <row r="1896">
          <cell r="N1896">
            <v>-12.613</v>
          </cell>
        </row>
        <row r="1897">
          <cell r="N1897">
            <v>-23.484999999999999</v>
          </cell>
        </row>
        <row r="1898">
          <cell r="N1898">
            <v>-10</v>
          </cell>
        </row>
        <row r="1899">
          <cell r="N1899">
            <v>-42.042999999999999</v>
          </cell>
        </row>
        <row r="1900">
          <cell r="N1900">
            <v>-43.11</v>
          </cell>
        </row>
        <row r="1901">
          <cell r="N1901">
            <v>-58.137999999999998</v>
          </cell>
        </row>
        <row r="1902">
          <cell r="N1902">
            <v>-46.768999999999998</v>
          </cell>
        </row>
        <row r="1903">
          <cell r="N1903">
            <v>-8.5670000000000002</v>
          </cell>
        </row>
        <row r="1904">
          <cell r="N1904">
            <v>-54.183</v>
          </cell>
        </row>
        <row r="1905">
          <cell r="N1905">
            <v>-11.433999999999999</v>
          </cell>
        </row>
        <row r="1906">
          <cell r="N1906">
            <v>-36.207000000000001</v>
          </cell>
        </row>
        <row r="1907">
          <cell r="N1907">
            <v>-43.429000000000002</v>
          </cell>
        </row>
        <row r="1908">
          <cell r="N1908">
            <v>-15.377000000000001</v>
          </cell>
        </row>
        <row r="1909">
          <cell r="N1909">
            <v>-29.396999999999998</v>
          </cell>
        </row>
        <row r="1910">
          <cell r="N1910">
            <v>-34.829000000000001</v>
          </cell>
        </row>
        <row r="1911">
          <cell r="N1911">
            <v>-51.58</v>
          </cell>
        </row>
        <row r="1912">
          <cell r="N1912">
            <v>-12.829000000000001</v>
          </cell>
        </row>
        <row r="1913">
          <cell r="N1913">
            <v>-11.503</v>
          </cell>
        </row>
        <row r="1914">
          <cell r="N1914">
            <v>-35.932000000000002</v>
          </cell>
        </row>
        <row r="1915">
          <cell r="N1915">
            <v>-33.040999999999997</v>
          </cell>
        </row>
        <row r="1916">
          <cell r="N1916">
            <v>-33.491</v>
          </cell>
        </row>
        <row r="1917">
          <cell r="N1917">
            <v>-2.98</v>
          </cell>
        </row>
        <row r="1918">
          <cell r="N1918">
            <v>-57.2</v>
          </cell>
        </row>
        <row r="1919">
          <cell r="N1919">
            <v>-14.513</v>
          </cell>
        </row>
        <row r="1920">
          <cell r="N1920">
            <v>-49.912999999999997</v>
          </cell>
        </row>
        <row r="1921">
          <cell r="N1921">
            <v>-29.873999999999999</v>
          </cell>
        </row>
        <row r="1922">
          <cell r="N1922">
            <v>-18.314</v>
          </cell>
        </row>
        <row r="1923">
          <cell r="N1923">
            <v>-29.599</v>
          </cell>
        </row>
        <row r="1924">
          <cell r="N1924">
            <v>-47.246000000000002</v>
          </cell>
        </row>
        <row r="1925">
          <cell r="N1925">
            <v>-47.61</v>
          </cell>
        </row>
        <row r="1926">
          <cell r="N1926">
            <v>-13.994999999999999</v>
          </cell>
        </row>
        <row r="1927">
          <cell r="N1927">
            <v>-17.152000000000001</v>
          </cell>
        </row>
        <row r="1928">
          <cell r="N1928">
            <v>-13.805</v>
          </cell>
        </row>
        <row r="1929">
          <cell r="N1929">
            <v>-6.9130000000000003</v>
          </cell>
        </row>
        <row r="1930">
          <cell r="N1930">
            <v>-17.105</v>
          </cell>
        </row>
        <row r="1931">
          <cell r="N1931">
            <v>-11.564</v>
          </cell>
        </row>
        <row r="1932">
          <cell r="N1932">
            <v>-51.402999999999999</v>
          </cell>
        </row>
        <row r="1933">
          <cell r="N1933">
            <v>-50.262999999999998</v>
          </cell>
        </row>
        <row r="1934">
          <cell r="N1934">
            <v>-52.569000000000003</v>
          </cell>
        </row>
        <row r="1935">
          <cell r="N1935">
            <v>-16.454000000000001</v>
          </cell>
        </row>
        <row r="1936">
          <cell r="N1936">
            <v>-13.131</v>
          </cell>
        </row>
        <row r="1937">
          <cell r="N1937">
            <v>-32.911999999999999</v>
          </cell>
        </row>
        <row r="1938">
          <cell r="N1938">
            <v>-31.388999999999999</v>
          </cell>
        </row>
        <row r="1939">
          <cell r="N1939">
            <v>-13.821999999999999</v>
          </cell>
        </row>
        <row r="1940">
          <cell r="N1940">
            <v>-19.350999999999999</v>
          </cell>
        </row>
        <row r="1941">
          <cell r="N1941">
            <v>-41.298999999999999</v>
          </cell>
        </row>
        <row r="1942">
          <cell r="N1942">
            <v>-16.594000000000001</v>
          </cell>
        </row>
        <row r="1943">
          <cell r="N1943">
            <v>-51.756999999999998</v>
          </cell>
        </row>
        <row r="1944">
          <cell r="N1944">
            <v>-14.686</v>
          </cell>
        </row>
        <row r="1945">
          <cell r="N1945">
            <v>-20.45</v>
          </cell>
        </row>
        <row r="1946">
          <cell r="N1946">
            <v>-15.032</v>
          </cell>
        </row>
        <row r="1947">
          <cell r="N1947">
            <v>-30.585999999999999</v>
          </cell>
        </row>
        <row r="1948">
          <cell r="N1948">
            <v>-40.167000000000002</v>
          </cell>
        </row>
        <row r="1949">
          <cell r="N1949">
            <v>-41.417999999999999</v>
          </cell>
        </row>
        <row r="1950">
          <cell r="N1950">
            <v>-25.15</v>
          </cell>
        </row>
        <row r="1951">
          <cell r="N1951">
            <v>-4</v>
          </cell>
        </row>
        <row r="1952">
          <cell r="N1952">
            <v>-3.5920000000000001</v>
          </cell>
        </row>
        <row r="1953">
          <cell r="N1953">
            <v>-8</v>
          </cell>
        </row>
        <row r="1954">
          <cell r="N1954">
            <v>-8</v>
          </cell>
        </row>
        <row r="1955">
          <cell r="N1955">
            <v>-5.0000000000000001E-3</v>
          </cell>
        </row>
        <row r="1956">
          <cell r="N1956">
            <v>-12.403</v>
          </cell>
        </row>
        <row r="1957">
          <cell r="N1957">
            <v>-4.1980000000000004</v>
          </cell>
        </row>
        <row r="1958">
          <cell r="N1958">
            <v>-0.48199999999999998</v>
          </cell>
        </row>
        <row r="1959">
          <cell r="N1959">
            <v>-3.1070000000000002</v>
          </cell>
        </row>
        <row r="1960">
          <cell r="N1960">
            <v>-1.593</v>
          </cell>
        </row>
        <row r="1961">
          <cell r="N1961">
            <v>-0.437</v>
          </cell>
        </row>
        <row r="1962">
          <cell r="N1962">
            <v>-4.4509999999999996</v>
          </cell>
        </row>
        <row r="1963">
          <cell r="N1963">
            <v>-1.208</v>
          </cell>
        </row>
        <row r="1964">
          <cell r="N1964">
            <v>-2.8290000000000002</v>
          </cell>
        </row>
        <row r="1965">
          <cell r="N1965">
            <v>-4.3150000000000004</v>
          </cell>
        </row>
        <row r="1966">
          <cell r="N1966">
            <v>-4.1399999999999997</v>
          </cell>
        </row>
        <row r="1967">
          <cell r="N1967">
            <v>-4.2949999999999999</v>
          </cell>
        </row>
        <row r="1968">
          <cell r="N1968">
            <v>-1.1819999999999999</v>
          </cell>
        </row>
        <row r="1969">
          <cell r="N1969">
            <v>-1.3620000000000001</v>
          </cell>
        </row>
        <row r="1970">
          <cell r="N1970">
            <v>-4.431</v>
          </cell>
        </row>
        <row r="1971">
          <cell r="N1971">
            <v>-0.42099999999999999</v>
          </cell>
        </row>
        <row r="1972">
          <cell r="N1972">
            <v>-4.3339999999999996</v>
          </cell>
        </row>
        <row r="1973">
          <cell r="N1973">
            <v>-1.208</v>
          </cell>
        </row>
        <row r="1974">
          <cell r="N1974">
            <v>-4.101</v>
          </cell>
        </row>
        <row r="1975">
          <cell r="N1975">
            <v>-1.4390000000000001</v>
          </cell>
        </row>
        <row r="1976">
          <cell r="N1976">
            <v>-2.34</v>
          </cell>
        </row>
        <row r="1977">
          <cell r="N1977">
            <v>-4.0229999999999997</v>
          </cell>
        </row>
        <row r="1978">
          <cell r="N1978">
            <v>-0.86499999999999999</v>
          </cell>
        </row>
        <row r="1979">
          <cell r="N1979">
            <v>-4.1790000000000003</v>
          </cell>
        </row>
        <row r="1980">
          <cell r="N1980">
            <v>-2.2349999999999999</v>
          </cell>
        </row>
        <row r="1981">
          <cell r="N1981">
            <v>-4.0620000000000003</v>
          </cell>
        </row>
        <row r="1982">
          <cell r="N1982">
            <v>-0.69399999999999995</v>
          </cell>
        </row>
        <row r="1983">
          <cell r="N1983">
            <v>-2.1789999999999998</v>
          </cell>
        </row>
        <row r="1984">
          <cell r="N1984">
            <v>-1.667</v>
          </cell>
        </row>
        <row r="1985">
          <cell r="N1985">
            <v>-3.673</v>
          </cell>
        </row>
        <row r="1986">
          <cell r="N1986">
            <v>-1.923</v>
          </cell>
        </row>
        <row r="1987">
          <cell r="N1987">
            <v>-1.5029999999999999</v>
          </cell>
        </row>
        <row r="1988">
          <cell r="N1988">
            <v>-1.506</v>
          </cell>
        </row>
        <row r="1989">
          <cell r="N1989">
            <v>-4.8390000000000004</v>
          </cell>
        </row>
        <row r="1990">
          <cell r="N1990">
            <v>-1.7310000000000001</v>
          </cell>
        </row>
        <row r="1991">
          <cell r="N1991">
            <v>-1.105</v>
          </cell>
        </row>
        <row r="1992">
          <cell r="N1992">
            <v>-0.95099999999999996</v>
          </cell>
        </row>
        <row r="1993">
          <cell r="N1993">
            <v>-4.431</v>
          </cell>
        </row>
        <row r="1994">
          <cell r="N1994">
            <v>-4.2169999999999996</v>
          </cell>
        </row>
        <row r="1995">
          <cell r="N1995">
            <v>-3.7320000000000002</v>
          </cell>
        </row>
        <row r="1996">
          <cell r="N1996">
            <v>-1.028</v>
          </cell>
        </row>
        <row r="1997">
          <cell r="N1997">
            <v>-2.1469999999999998</v>
          </cell>
        </row>
        <row r="1998">
          <cell r="N1998">
            <v>-3.056</v>
          </cell>
        </row>
        <row r="1999">
          <cell r="N1999">
            <v>-0.77100000000000002</v>
          </cell>
        </row>
        <row r="2000">
          <cell r="N2000">
            <v>-1.7090000000000001</v>
          </cell>
        </row>
        <row r="2001">
          <cell r="N2001">
            <v>-3.8479999999999999</v>
          </cell>
        </row>
        <row r="2002">
          <cell r="N2002">
            <v>-1.9550000000000001</v>
          </cell>
        </row>
        <row r="2003">
          <cell r="N2003">
            <v>-0.65500000000000003</v>
          </cell>
        </row>
        <row r="2004">
          <cell r="N2004">
            <v>-4.1399999999999997</v>
          </cell>
        </row>
        <row r="2005">
          <cell r="N2005">
            <v>-2.34</v>
          </cell>
        </row>
        <row r="2006">
          <cell r="N2006">
            <v>-1.298</v>
          </cell>
        </row>
        <row r="2007">
          <cell r="N2007">
            <v>-4.2169999999999996</v>
          </cell>
        </row>
        <row r="2008">
          <cell r="N2008">
            <v>-2.968</v>
          </cell>
        </row>
        <row r="2009">
          <cell r="N2009">
            <v>-1.028</v>
          </cell>
        </row>
        <row r="2010">
          <cell r="N2010">
            <v>-1.49</v>
          </cell>
        </row>
        <row r="2011">
          <cell r="N2011">
            <v>-1.5549999999999999</v>
          </cell>
        </row>
        <row r="2012">
          <cell r="N2012">
            <v>-1.1180000000000001</v>
          </cell>
        </row>
        <row r="2013">
          <cell r="N2013">
            <v>-2.88</v>
          </cell>
        </row>
        <row r="2014">
          <cell r="N2014">
            <v>-4.0229999999999997</v>
          </cell>
        </row>
        <row r="2015">
          <cell r="N2015">
            <v>-1.349</v>
          </cell>
        </row>
        <row r="2016">
          <cell r="N2016">
            <v>-1.2210000000000001</v>
          </cell>
        </row>
        <row r="2017">
          <cell r="N2017">
            <v>-1.105</v>
          </cell>
        </row>
        <row r="2018">
          <cell r="N2018">
            <v>-1.506</v>
          </cell>
        </row>
        <row r="2019">
          <cell r="N2019">
            <v>-1.593</v>
          </cell>
        </row>
        <row r="2020">
          <cell r="N2020">
            <v>-1.028</v>
          </cell>
        </row>
        <row r="2021">
          <cell r="N2021">
            <v>-1.1559999999999999</v>
          </cell>
        </row>
        <row r="2022">
          <cell r="N2022">
            <v>-1.5549999999999999</v>
          </cell>
        </row>
        <row r="2023">
          <cell r="N2023">
            <v>-1.506</v>
          </cell>
        </row>
        <row r="2024">
          <cell r="N2024">
            <v>-1.2849999999999999</v>
          </cell>
        </row>
        <row r="2025">
          <cell r="N2025">
            <v>-1.3779999999999999</v>
          </cell>
        </row>
        <row r="2026">
          <cell r="N2026">
            <v>-1.516</v>
          </cell>
        </row>
        <row r="2027">
          <cell r="N2027">
            <v>-1.143</v>
          </cell>
        </row>
        <row r="2028">
          <cell r="N2028">
            <v>-1.7629999999999999</v>
          </cell>
        </row>
        <row r="2029">
          <cell r="N2029">
            <v>-1.1559999999999999</v>
          </cell>
        </row>
        <row r="2030">
          <cell r="N2030">
            <v>-1.6990000000000001</v>
          </cell>
        </row>
        <row r="2031">
          <cell r="N2031">
            <v>-1.4770000000000001</v>
          </cell>
        </row>
        <row r="2032">
          <cell r="N2032">
            <v>-1.3620000000000001</v>
          </cell>
        </row>
        <row r="2033">
          <cell r="N2033">
            <v>-1.827</v>
          </cell>
        </row>
        <row r="2034">
          <cell r="N2034">
            <v>-1.452</v>
          </cell>
        </row>
        <row r="2035">
          <cell r="N2035">
            <v>-1.1819999999999999</v>
          </cell>
        </row>
        <row r="2036">
          <cell r="N2036">
            <v>-2.3069999999999999</v>
          </cell>
        </row>
        <row r="2037">
          <cell r="N2037">
            <v>-1.593</v>
          </cell>
        </row>
        <row r="2038">
          <cell r="N2038">
            <v>-1.516</v>
          </cell>
        </row>
        <row r="2039">
          <cell r="N2039">
            <v>-1.4259999999999999</v>
          </cell>
        </row>
        <row r="2040">
          <cell r="N2040">
            <v>-1.7310000000000001</v>
          </cell>
        </row>
        <row r="2041">
          <cell r="N2041">
            <v>-0.86099999999999999</v>
          </cell>
        </row>
        <row r="2042">
          <cell r="N2042">
            <v>-1.859</v>
          </cell>
        </row>
        <row r="2043">
          <cell r="N2043">
            <v>-1.4390000000000001</v>
          </cell>
        </row>
        <row r="2044">
          <cell r="N2044">
            <v>-1.375</v>
          </cell>
        </row>
        <row r="2045">
          <cell r="N2045">
            <v>-0.64200000000000002</v>
          </cell>
        </row>
        <row r="2046">
          <cell r="N2046">
            <v>-1.923</v>
          </cell>
        </row>
        <row r="2047">
          <cell r="N2047">
            <v>-1.4259999999999999</v>
          </cell>
        </row>
        <row r="2048">
          <cell r="N2048">
            <v>-0.91200000000000003</v>
          </cell>
        </row>
        <row r="2049">
          <cell r="N2049">
            <v>-1.0149999999999999</v>
          </cell>
        </row>
        <row r="2050">
          <cell r="N2050">
            <v>-26.922000000000001</v>
          </cell>
        </row>
        <row r="2051">
          <cell r="N2051">
            <v>-0.32100000000000001</v>
          </cell>
        </row>
        <row r="2052">
          <cell r="N2052">
            <v>-25</v>
          </cell>
        </row>
        <row r="2053">
          <cell r="N2053">
            <v>-1.57</v>
          </cell>
        </row>
        <row r="2054">
          <cell r="N2054">
            <v>-0.89900000000000002</v>
          </cell>
        </row>
        <row r="2055">
          <cell r="N2055">
            <v>-1.667</v>
          </cell>
        </row>
        <row r="2056">
          <cell r="N2056">
            <v>-1.5029999999999999</v>
          </cell>
        </row>
        <row r="2057">
          <cell r="N2057">
            <v>-1.6060000000000001</v>
          </cell>
        </row>
        <row r="2058">
          <cell r="N2058">
            <v>-1.667</v>
          </cell>
        </row>
        <row r="2059">
          <cell r="N2059">
            <v>-0.505</v>
          </cell>
        </row>
        <row r="2060">
          <cell r="N2060">
            <v>-1.208</v>
          </cell>
        </row>
        <row r="2061">
          <cell r="N2061">
            <v>-0.89900000000000002</v>
          </cell>
        </row>
        <row r="2062">
          <cell r="N2062">
            <v>-0.60899999999999999</v>
          </cell>
        </row>
        <row r="2063">
          <cell r="N2063">
            <v>-1.079</v>
          </cell>
        </row>
        <row r="2064">
          <cell r="N2064">
            <v>-1.49</v>
          </cell>
        </row>
        <row r="2065">
          <cell r="N2065">
            <v>-2.0830000000000002</v>
          </cell>
        </row>
        <row r="2066">
          <cell r="N2066">
            <v>-1.0529999999999999</v>
          </cell>
        </row>
        <row r="2067">
          <cell r="N2067">
            <v>-1.3620000000000001</v>
          </cell>
        </row>
        <row r="2068">
          <cell r="N2068">
            <v>-1.169</v>
          </cell>
        </row>
        <row r="2069">
          <cell r="N2069">
            <v>-1.2330000000000001</v>
          </cell>
        </row>
        <row r="2070">
          <cell r="N2070">
            <v>-1.1180000000000001</v>
          </cell>
        </row>
        <row r="2071">
          <cell r="N2071">
            <v>-1.452</v>
          </cell>
        </row>
        <row r="2072">
          <cell r="N2072">
            <v>-0.89900000000000002</v>
          </cell>
        </row>
        <row r="2073">
          <cell r="N2073">
            <v>-0.99199999999999999</v>
          </cell>
        </row>
        <row r="2074">
          <cell r="N2074">
            <v>-1.516</v>
          </cell>
        </row>
        <row r="2075">
          <cell r="N2075">
            <v>-1.375</v>
          </cell>
        </row>
        <row r="2076">
          <cell r="N2076">
            <v>-1.542</v>
          </cell>
        </row>
        <row r="2077">
          <cell r="N2077">
            <v>-1.208</v>
          </cell>
        </row>
        <row r="2078">
          <cell r="N2078">
            <v>-1.58</v>
          </cell>
        </row>
        <row r="2079">
          <cell r="N2079">
            <v>-1.49</v>
          </cell>
        </row>
        <row r="2080">
          <cell r="N2080">
            <v>-1.0660000000000001</v>
          </cell>
        </row>
        <row r="2081">
          <cell r="N2081">
            <v>-2.1469999999999998</v>
          </cell>
        </row>
        <row r="2082">
          <cell r="N2082">
            <v>-0.96099999999999997</v>
          </cell>
        </row>
        <row r="2083">
          <cell r="N2083">
            <v>-1.208</v>
          </cell>
        </row>
        <row r="2084">
          <cell r="N2084">
            <v>-0.89700000000000002</v>
          </cell>
        </row>
        <row r="2085">
          <cell r="N2085">
            <v>-1.516</v>
          </cell>
        </row>
        <row r="2086">
          <cell r="N2086">
            <v>-1.667</v>
          </cell>
        </row>
        <row r="2087">
          <cell r="N2087">
            <v>-1.58</v>
          </cell>
        </row>
        <row r="2088">
          <cell r="N2088">
            <v>-2.0190000000000001</v>
          </cell>
        </row>
        <row r="2089">
          <cell r="N2089">
            <v>-1.2210000000000001</v>
          </cell>
        </row>
        <row r="2090">
          <cell r="N2090">
            <v>-0.97599999999999998</v>
          </cell>
        </row>
        <row r="2091">
          <cell r="N2091">
            <v>-1.6020000000000001</v>
          </cell>
        </row>
        <row r="2092">
          <cell r="N2092">
            <v>-1.667</v>
          </cell>
        </row>
        <row r="2093">
          <cell r="N2093">
            <v>-1.375</v>
          </cell>
        </row>
        <row r="2094">
          <cell r="N2094">
            <v>-1.58</v>
          </cell>
        </row>
        <row r="2095">
          <cell r="N2095">
            <v>-2.468</v>
          </cell>
        </row>
        <row r="2096">
          <cell r="N2096">
            <v>-1.0609999999999999</v>
          </cell>
        </row>
        <row r="2097">
          <cell r="N2097">
            <v>-0.96399999999999997</v>
          </cell>
        </row>
        <row r="2098">
          <cell r="N2098">
            <v>-1.143</v>
          </cell>
        </row>
        <row r="2099">
          <cell r="N2099">
            <v>-1.198</v>
          </cell>
        </row>
        <row r="2100">
          <cell r="N2100">
            <v>-1.2330000000000001</v>
          </cell>
        </row>
        <row r="2101">
          <cell r="N2101">
            <v>-1.6319999999999999</v>
          </cell>
        </row>
        <row r="2102">
          <cell r="N2102">
            <v>-0.92500000000000004</v>
          </cell>
        </row>
        <row r="2103">
          <cell r="N2103">
            <v>-1.41</v>
          </cell>
        </row>
        <row r="2104">
          <cell r="N2104">
            <v>-1.31</v>
          </cell>
        </row>
        <row r="2105">
          <cell r="N2105">
            <v>-0.96399999999999997</v>
          </cell>
        </row>
        <row r="2106">
          <cell r="N2106">
            <v>-1.542</v>
          </cell>
        </row>
        <row r="2107">
          <cell r="N2107">
            <v>-0.20799999999999999</v>
          </cell>
        </row>
        <row r="2108">
          <cell r="N2108">
            <v>-0.752</v>
          </cell>
        </row>
        <row r="2109">
          <cell r="N2109">
            <v>-0.34399999999999997</v>
          </cell>
        </row>
        <row r="2110">
          <cell r="N2110">
            <v>-2.02</v>
          </cell>
        </row>
        <row r="2111">
          <cell r="N2111">
            <v>-0.95099999999999996</v>
          </cell>
        </row>
        <row r="2112">
          <cell r="N2112">
            <v>-0.878</v>
          </cell>
        </row>
        <row r="2113">
          <cell r="N2113">
            <v>-0.503</v>
          </cell>
        </row>
        <row r="2114">
          <cell r="N2114">
            <v>-0.61699999999999999</v>
          </cell>
        </row>
        <row r="2115">
          <cell r="N2115">
            <v>-1.248</v>
          </cell>
        </row>
        <row r="2116">
          <cell r="N2116">
            <v>-1.0529999999999999</v>
          </cell>
        </row>
        <row r="2117">
          <cell r="N2117">
            <v>-1.0660000000000001</v>
          </cell>
        </row>
        <row r="2118">
          <cell r="N2118">
            <v>-0.54800000000000004</v>
          </cell>
        </row>
        <row r="2119">
          <cell r="N2119">
            <v>-1.349</v>
          </cell>
        </row>
        <row r="2120">
          <cell r="N2120">
            <v>-0.439</v>
          </cell>
        </row>
        <row r="2121">
          <cell r="N2121">
            <v>-0.56999999999999995</v>
          </cell>
        </row>
        <row r="2122">
          <cell r="N2122">
            <v>-0.33</v>
          </cell>
        </row>
        <row r="2123">
          <cell r="N2123">
            <v>-0.63</v>
          </cell>
        </row>
        <row r="2124">
          <cell r="N2124">
            <v>-0.61099999999999999</v>
          </cell>
        </row>
        <row r="2125">
          <cell r="N2125">
            <v>-1.5669999999999999</v>
          </cell>
        </row>
        <row r="2126">
          <cell r="N2126">
            <v>-1.1299999999999999</v>
          </cell>
        </row>
        <row r="2127">
          <cell r="N2127">
            <v>-0.32100000000000001</v>
          </cell>
        </row>
        <row r="2128">
          <cell r="N2128">
            <v>-1.31</v>
          </cell>
        </row>
        <row r="2129">
          <cell r="N2129">
            <v>-0.96399999999999997</v>
          </cell>
        </row>
        <row r="2130">
          <cell r="N2130">
            <v>-1.3879999999999999</v>
          </cell>
        </row>
        <row r="2131">
          <cell r="N2131">
            <v>-1.2849999999999999</v>
          </cell>
        </row>
        <row r="2132">
          <cell r="N2132">
            <v>-1.087</v>
          </cell>
        </row>
        <row r="2133">
          <cell r="N2133">
            <v>-1.4259999999999999</v>
          </cell>
        </row>
        <row r="2134">
          <cell r="N2134">
            <v>-1.593</v>
          </cell>
        </row>
        <row r="2135">
          <cell r="N2135">
            <v>-1.002</v>
          </cell>
        </row>
        <row r="2136">
          <cell r="N2136">
            <v>-1.5669999999999999</v>
          </cell>
        </row>
        <row r="2137">
          <cell r="N2137">
            <v>-1.696</v>
          </cell>
        </row>
        <row r="2138">
          <cell r="N2138">
            <v>-1.1819999999999999</v>
          </cell>
        </row>
        <row r="2139">
          <cell r="N2139">
            <v>-0.79700000000000004</v>
          </cell>
        </row>
        <row r="2140">
          <cell r="N2140">
            <v>-1.4259999999999999</v>
          </cell>
        </row>
        <row r="2141">
          <cell r="N2141">
            <v>-1.169</v>
          </cell>
        </row>
        <row r="2142">
          <cell r="N2142">
            <v>-1.298</v>
          </cell>
        </row>
        <row r="2143">
          <cell r="N2143">
            <v>-1.079</v>
          </cell>
        </row>
        <row r="2144">
          <cell r="N2144">
            <v>-1.272</v>
          </cell>
        </row>
        <row r="2145">
          <cell r="N2145">
            <v>-1.1950000000000001</v>
          </cell>
        </row>
        <row r="2146">
          <cell r="N2146">
            <v>-1.571</v>
          </cell>
        </row>
        <row r="2147">
          <cell r="N2147">
            <v>-7.0999999999999994E-2</v>
          </cell>
        </row>
        <row r="2148">
          <cell r="N2148">
            <v>-3.5999999999999997E-2</v>
          </cell>
        </row>
        <row r="2149">
          <cell r="N2149">
            <v>-0.32</v>
          </cell>
        </row>
        <row r="2150">
          <cell r="N2150">
            <v>-22.145</v>
          </cell>
        </row>
        <row r="2151">
          <cell r="N2151">
            <v>-28.917000000000002</v>
          </cell>
        </row>
        <row r="2152">
          <cell r="N2152">
            <v>-253.39699999999999</v>
          </cell>
        </row>
        <row r="2153">
          <cell r="N2153">
            <v>-32.152000000000001</v>
          </cell>
        </row>
        <row r="2154">
          <cell r="N2154">
            <v>-48.85</v>
          </cell>
        </row>
        <row r="2155">
          <cell r="N2155">
            <v>-8.9999999999999993E-3</v>
          </cell>
        </row>
        <row r="2156">
          <cell r="N2156">
            <v>-47.767000000000003</v>
          </cell>
        </row>
        <row r="2157">
          <cell r="N2157">
            <v>-9.5169999999999995</v>
          </cell>
        </row>
        <row r="2158">
          <cell r="N2158">
            <v>-40.996000000000002</v>
          </cell>
        </row>
        <row r="2159">
          <cell r="N2159">
            <v>-15</v>
          </cell>
        </row>
        <row r="2160">
          <cell r="N2160">
            <v>-20.12</v>
          </cell>
        </row>
        <row r="2161">
          <cell r="N2161">
            <v>-7.2380000000000004</v>
          </cell>
        </row>
        <row r="2162">
          <cell r="N2162">
            <v>-12.16</v>
          </cell>
        </row>
        <row r="2163">
          <cell r="N2163">
            <v>-11.832000000000001</v>
          </cell>
        </row>
        <row r="2164">
          <cell r="N2164">
            <v>-16</v>
          </cell>
        </row>
        <row r="2165">
          <cell r="N2165">
            <v>-8</v>
          </cell>
        </row>
        <row r="2166">
          <cell r="N2166">
            <v>-16</v>
          </cell>
        </row>
        <row r="2167">
          <cell r="N2167">
            <v>-148.75</v>
          </cell>
        </row>
        <row r="2168">
          <cell r="N2168">
            <v>-604.976</v>
          </cell>
        </row>
        <row r="2169">
          <cell r="N2169">
            <v>-149.40100000000001</v>
          </cell>
        </row>
        <row r="2170">
          <cell r="N2170">
            <v>-80.935000000000002</v>
          </cell>
        </row>
        <row r="2171">
          <cell r="N2171">
            <v>-1426.89</v>
          </cell>
        </row>
        <row r="2172">
          <cell r="N2172">
            <v>-1176.1099999999999</v>
          </cell>
        </row>
        <row r="2173">
          <cell r="N2173">
            <v>-1.1759999999999999</v>
          </cell>
        </row>
        <row r="2174">
          <cell r="N2174">
            <v>-245</v>
          </cell>
        </row>
        <row r="2175">
          <cell r="N2175">
            <v>-32.689</v>
          </cell>
        </row>
        <row r="2176">
          <cell r="N2176">
            <v>-121.557</v>
          </cell>
        </row>
        <row r="2177">
          <cell r="N2177">
            <v>-180</v>
          </cell>
        </row>
        <row r="2178">
          <cell r="N2178">
            <v>-13.443</v>
          </cell>
        </row>
        <row r="2179">
          <cell r="N2179">
            <v>-1765.5989999999999</v>
          </cell>
        </row>
        <row r="2180">
          <cell r="N2180">
            <v>-1765.598</v>
          </cell>
        </row>
        <row r="2181">
          <cell r="N2181">
            <v>-716</v>
          </cell>
        </row>
        <row r="2182">
          <cell r="N2182">
            <v>-546.09699999999998</v>
          </cell>
        </row>
        <row r="2183">
          <cell r="N2183">
            <v>-716</v>
          </cell>
        </row>
        <row r="2184">
          <cell r="N2184">
            <v>-1431.25</v>
          </cell>
        </row>
        <row r="2185">
          <cell r="N2185">
            <v>-433.19299999999998</v>
          </cell>
        </row>
        <row r="2186">
          <cell r="N2186">
            <v>-48.706000000000003</v>
          </cell>
        </row>
        <row r="2187">
          <cell r="N2187">
            <v>-1172.8340000000001</v>
          </cell>
        </row>
        <row r="2188">
          <cell r="N2188">
            <v>-847.15300000000002</v>
          </cell>
        </row>
        <row r="2189">
          <cell r="N2189">
            <v>-396.75</v>
          </cell>
        </row>
        <row r="2190">
          <cell r="N2190">
            <v>-770</v>
          </cell>
        </row>
        <row r="2191">
          <cell r="N2191">
            <v>-1000</v>
          </cell>
        </row>
        <row r="2192">
          <cell r="N2192">
            <v>-1764.1659999999999</v>
          </cell>
        </row>
        <row r="2193">
          <cell r="N2193">
            <v>-1764.1659999999999</v>
          </cell>
        </row>
        <row r="2194">
          <cell r="N2194">
            <v>-29.355</v>
          </cell>
        </row>
        <row r="2195">
          <cell r="N2195">
            <v>-422</v>
          </cell>
        </row>
        <row r="2196">
          <cell r="N2196">
            <v>-217</v>
          </cell>
        </row>
        <row r="2197">
          <cell r="N2197">
            <v>-0.14099999999999999</v>
          </cell>
        </row>
        <row r="2198">
          <cell r="N2198">
            <v>-924</v>
          </cell>
        </row>
        <row r="2199">
          <cell r="N2199">
            <v>-351</v>
          </cell>
        </row>
        <row r="2200">
          <cell r="N2200">
            <v>-14.35</v>
          </cell>
        </row>
        <row r="2201">
          <cell r="N2201">
            <v>-989.89700000000005</v>
          </cell>
        </row>
        <row r="2202">
          <cell r="N2202">
            <v>-557.76099999999997</v>
          </cell>
        </row>
        <row r="2203">
          <cell r="N2203">
            <v>-186.22900000000001</v>
          </cell>
        </row>
        <row r="2204">
          <cell r="N2204">
            <v>-251.982</v>
          </cell>
        </row>
        <row r="2205">
          <cell r="N2205">
            <v>-589.48699999999997</v>
          </cell>
        </row>
        <row r="2206">
          <cell r="N2206">
            <v>-0.10100000000000001</v>
          </cell>
        </row>
        <row r="2207">
          <cell r="N2207">
            <v>-589.48800000000006</v>
          </cell>
        </row>
        <row r="2208">
          <cell r="N2208">
            <v>-589.48800000000006</v>
          </cell>
        </row>
        <row r="2209">
          <cell r="N2209">
            <v>-659.17200000000003</v>
          </cell>
        </row>
        <row r="2210">
          <cell r="N2210">
            <v>-659.17200000000003</v>
          </cell>
        </row>
        <row r="2211">
          <cell r="N2211">
            <v>-90.254999999999995</v>
          </cell>
        </row>
        <row r="2212">
          <cell r="N2212">
            <v>-392.96800000000002</v>
          </cell>
        </row>
        <row r="2213">
          <cell r="N2213">
            <v>-62.207000000000001</v>
          </cell>
        </row>
        <row r="2214">
          <cell r="N2214">
            <v>-1267.7929999999999</v>
          </cell>
        </row>
        <row r="2215">
          <cell r="N2215">
            <v>-1000.793</v>
          </cell>
        </row>
        <row r="2216">
          <cell r="N2216">
            <v>-267.79300000000001</v>
          </cell>
        </row>
        <row r="2217">
          <cell r="N2217">
            <v>-298</v>
          </cell>
        </row>
        <row r="2218">
          <cell r="N2218">
            <v>-117.20699999999999</v>
          </cell>
        </row>
        <row r="2219">
          <cell r="N2219">
            <v>-1296.443</v>
          </cell>
        </row>
        <row r="2220">
          <cell r="N2220">
            <v>-208.07</v>
          </cell>
        </row>
        <row r="2221">
          <cell r="N2221">
            <v>-240</v>
          </cell>
        </row>
        <row r="2222">
          <cell r="N2222">
            <v>-54.685000000000002</v>
          </cell>
        </row>
        <row r="2223">
          <cell r="N2223">
            <v>-71.206999999999994</v>
          </cell>
        </row>
        <row r="2224">
          <cell r="N2224">
            <v>-477.697</v>
          </cell>
        </row>
        <row r="2225">
          <cell r="N2225">
            <v>-211.55699999999999</v>
          </cell>
        </row>
        <row r="2226">
          <cell r="N2226">
            <v>-162</v>
          </cell>
        </row>
        <row r="2227">
          <cell r="N2227">
            <v>-298</v>
          </cell>
        </row>
        <row r="2228">
          <cell r="N2228">
            <v>-292</v>
          </cell>
        </row>
        <row r="2229">
          <cell r="N2229">
            <v>-1267.7929999999999</v>
          </cell>
        </row>
        <row r="2230">
          <cell r="N2230">
            <v>-429.2</v>
          </cell>
        </row>
        <row r="2231">
          <cell r="N2231">
            <v>-214.4</v>
          </cell>
        </row>
        <row r="2232">
          <cell r="N2232">
            <v>-261</v>
          </cell>
        </row>
        <row r="2233">
          <cell r="N2233">
            <v>-144.315</v>
          </cell>
        </row>
        <row r="2234">
          <cell r="N2234">
            <v>-1151.412</v>
          </cell>
        </row>
        <row r="2235">
          <cell r="N2235">
            <v>-64.95</v>
          </cell>
        </row>
        <row r="2236">
          <cell r="N2236">
            <v>-1294.2940000000001</v>
          </cell>
        </row>
        <row r="2237">
          <cell r="N2237">
            <v>-1294.2940000000001</v>
          </cell>
        </row>
        <row r="2238">
          <cell r="N2238">
            <v>-9.5939999999999994</v>
          </cell>
        </row>
        <row r="2239">
          <cell r="N2239">
            <v>-360</v>
          </cell>
        </row>
        <row r="2240">
          <cell r="N2240">
            <v>-1000</v>
          </cell>
        </row>
        <row r="2241">
          <cell r="N2241">
            <v>-199.03299999999999</v>
          </cell>
        </row>
        <row r="2242">
          <cell r="N2242">
            <v>-1267.7929999999999</v>
          </cell>
        </row>
        <row r="2243">
          <cell r="N2243">
            <v>-162</v>
          </cell>
        </row>
        <row r="2244">
          <cell r="N2244">
            <v>-1267.7929999999999</v>
          </cell>
        </row>
        <row r="2245">
          <cell r="N2245">
            <v>-1241.8520000000001</v>
          </cell>
        </row>
        <row r="2246">
          <cell r="N2246">
            <v>-20.405999999999999</v>
          </cell>
        </row>
        <row r="2247">
          <cell r="N2247">
            <v>-1296.443</v>
          </cell>
        </row>
        <row r="2248">
          <cell r="N2248">
            <v>-1275.672</v>
          </cell>
        </row>
        <row r="2249">
          <cell r="N2249">
            <v>-1941</v>
          </cell>
        </row>
        <row r="2250">
          <cell r="N2250">
            <v>-1942</v>
          </cell>
        </row>
        <row r="2251">
          <cell r="N2251">
            <v>-1318.3440000000001</v>
          </cell>
        </row>
        <row r="2252">
          <cell r="N2252">
            <v>-80.165999999999997</v>
          </cell>
        </row>
        <row r="2253">
          <cell r="N2253">
            <v>-128</v>
          </cell>
        </row>
        <row r="2254">
          <cell r="N2254">
            <v>-22.337</v>
          </cell>
        </row>
        <row r="2255">
          <cell r="N2255">
            <v>-40.680999999999997</v>
          </cell>
        </row>
        <row r="2256">
          <cell r="N2256">
            <v>-981.399</v>
          </cell>
        </row>
        <row r="2257">
          <cell r="N2257">
            <v>-364</v>
          </cell>
        </row>
        <row r="2258">
          <cell r="N2258">
            <v>-898.17</v>
          </cell>
        </row>
        <row r="2259">
          <cell r="N2259">
            <v>-280.66300000000001</v>
          </cell>
        </row>
        <row r="2260">
          <cell r="N2260">
            <v>-1223</v>
          </cell>
        </row>
        <row r="2261">
          <cell r="N2261">
            <v>-1262.0619999999999</v>
          </cell>
        </row>
        <row r="2262">
          <cell r="N2262">
            <v>-171.904</v>
          </cell>
        </row>
        <row r="2263">
          <cell r="N2263">
            <v>-1233.6279999999999</v>
          </cell>
        </row>
        <row r="2264">
          <cell r="N2264">
            <v>-156.69999999999999</v>
          </cell>
        </row>
        <row r="2265">
          <cell r="N2265">
            <v>-1880.201</v>
          </cell>
        </row>
        <row r="2266">
          <cell r="N2266">
            <v>-1248</v>
          </cell>
        </row>
        <row r="2267">
          <cell r="N2267">
            <v>-1880.201</v>
          </cell>
        </row>
        <row r="2268">
          <cell r="N2268">
            <v>-1251.318</v>
          </cell>
        </row>
        <row r="2269">
          <cell r="N2269">
            <v>-1235.432</v>
          </cell>
        </row>
        <row r="2270">
          <cell r="N2270">
            <v>-1226.2550000000001</v>
          </cell>
        </row>
        <row r="2271">
          <cell r="N2271">
            <v>-298</v>
          </cell>
        </row>
        <row r="2272">
          <cell r="N2272">
            <v>-1204.136</v>
          </cell>
        </row>
        <row r="2273">
          <cell r="N2273">
            <v>-227.31899999999999</v>
          </cell>
        </row>
        <row r="2274">
          <cell r="N2274">
            <v>-1272.0899999999999</v>
          </cell>
        </row>
        <row r="2275">
          <cell r="N2275">
            <v>-979.48299999999995</v>
          </cell>
        </row>
        <row r="2276">
          <cell r="N2276">
            <v>-673.29100000000005</v>
          </cell>
        </row>
        <row r="2277">
          <cell r="N2277">
            <v>-580.29999999999995</v>
          </cell>
        </row>
        <row r="2278">
          <cell r="N2278">
            <v>-634</v>
          </cell>
        </row>
        <row r="2279">
          <cell r="N2279">
            <v>-1208.076</v>
          </cell>
        </row>
        <row r="2280">
          <cell r="N2280">
            <v>-733</v>
          </cell>
        </row>
        <row r="2281">
          <cell r="N2281">
            <v>-1204</v>
          </cell>
        </row>
        <row r="2282">
          <cell r="N2282">
            <v>-298</v>
          </cell>
        </row>
        <row r="2283">
          <cell r="N2283">
            <v>-16</v>
          </cell>
        </row>
        <row r="2284">
          <cell r="N2284">
            <v>-298</v>
          </cell>
        </row>
        <row r="2285">
          <cell r="N2285">
            <v>-1403.924</v>
          </cell>
        </row>
        <row r="2286">
          <cell r="N2286">
            <v>-298</v>
          </cell>
        </row>
        <row r="2287">
          <cell r="N2287">
            <v>-198</v>
          </cell>
        </row>
        <row r="2288">
          <cell r="N2288">
            <v>-298</v>
          </cell>
        </row>
        <row r="2289">
          <cell r="N2289">
            <v>-1017</v>
          </cell>
        </row>
        <row r="2290">
          <cell r="N2290">
            <v>-1176.1099999999999</v>
          </cell>
        </row>
        <row r="2291">
          <cell r="N2291">
            <v>-12</v>
          </cell>
        </row>
        <row r="2292">
          <cell r="N2292">
            <v>-315.90600000000001</v>
          </cell>
        </row>
        <row r="2293">
          <cell r="N2293">
            <v>-1893.0940000000001</v>
          </cell>
        </row>
        <row r="2294">
          <cell r="N2294">
            <v>-286.89</v>
          </cell>
        </row>
        <row r="2295">
          <cell r="N2295">
            <v>-298</v>
          </cell>
        </row>
        <row r="2296">
          <cell r="N2296">
            <v>-730</v>
          </cell>
        </row>
        <row r="2297">
          <cell r="N2297">
            <v>-334.90600000000001</v>
          </cell>
        </row>
        <row r="2298">
          <cell r="N2298">
            <v>-1600.0029999999999</v>
          </cell>
        </row>
        <row r="2299">
          <cell r="N2299">
            <v>-917</v>
          </cell>
        </row>
        <row r="2300">
          <cell r="N2300">
            <v>-1893.0940000000001</v>
          </cell>
        </row>
        <row r="2301">
          <cell r="N2301">
            <v>-174.053</v>
          </cell>
        </row>
        <row r="2302">
          <cell r="N2302">
            <v>-11</v>
          </cell>
        </row>
        <row r="2303">
          <cell r="N2303">
            <v>-50</v>
          </cell>
        </row>
        <row r="2304">
          <cell r="N2304">
            <v>-1719.0409999999999</v>
          </cell>
        </row>
        <row r="2305">
          <cell r="N2305">
            <v>-298</v>
          </cell>
        </row>
        <row r="2306">
          <cell r="N2306">
            <v>-255</v>
          </cell>
        </row>
        <row r="2307">
          <cell r="N2307">
            <v>-695.91099999999994</v>
          </cell>
        </row>
        <row r="2308">
          <cell r="N2308">
            <v>-1243.903</v>
          </cell>
        </row>
        <row r="2309">
          <cell r="N2309">
            <v>-290.06700000000001</v>
          </cell>
        </row>
        <row r="2310">
          <cell r="N2310">
            <v>-50</v>
          </cell>
        </row>
        <row r="2311">
          <cell r="N2311">
            <v>-376.89</v>
          </cell>
        </row>
        <row r="2312">
          <cell r="N2312">
            <v>-324</v>
          </cell>
        </row>
        <row r="2313">
          <cell r="N2313">
            <v>-298</v>
          </cell>
        </row>
        <row r="2314">
          <cell r="N2314">
            <v>-298</v>
          </cell>
        </row>
        <row r="2315">
          <cell r="N2315">
            <v>-1176.1099999999999</v>
          </cell>
        </row>
        <row r="2316">
          <cell r="N2316">
            <v>-1893.0940000000001</v>
          </cell>
        </row>
        <row r="2317">
          <cell r="N2317">
            <v>-298</v>
          </cell>
        </row>
        <row r="2318">
          <cell r="N2318">
            <v>-298</v>
          </cell>
        </row>
        <row r="2319">
          <cell r="N2319">
            <v>-214.87</v>
          </cell>
        </row>
        <row r="2320">
          <cell r="N2320">
            <v>-174.053</v>
          </cell>
        </row>
        <row r="2321">
          <cell r="N2321">
            <v>-214.89</v>
          </cell>
        </row>
        <row r="2322">
          <cell r="N2322">
            <v>-732</v>
          </cell>
        </row>
        <row r="2323">
          <cell r="N2323">
            <v>-662.20600000000002</v>
          </cell>
        </row>
        <row r="2324">
          <cell r="N2324">
            <v>-1160.7850000000001</v>
          </cell>
        </row>
        <row r="2325">
          <cell r="N2325">
            <v>-1893.0940000000001</v>
          </cell>
        </row>
        <row r="2326">
          <cell r="N2326">
            <v>-9.15</v>
          </cell>
        </row>
        <row r="2327">
          <cell r="N2327">
            <v>-3.2280000000000002</v>
          </cell>
        </row>
        <row r="2328">
          <cell r="N2328">
            <v>-31</v>
          </cell>
        </row>
        <row r="2329">
          <cell r="N2329">
            <v>-105.642</v>
          </cell>
        </row>
        <row r="2330">
          <cell r="N2330">
            <v>-106.358</v>
          </cell>
        </row>
        <row r="2331">
          <cell r="N2331">
            <v>-151.38499999999999</v>
          </cell>
        </row>
        <row r="2332">
          <cell r="N2332">
            <v>-61.122</v>
          </cell>
        </row>
        <row r="2333">
          <cell r="N2333">
            <v>-0.4</v>
          </cell>
        </row>
        <row r="2334">
          <cell r="N2334">
            <v>-637.47799999999995</v>
          </cell>
        </row>
        <row r="2335">
          <cell r="N2335">
            <v>-15</v>
          </cell>
        </row>
        <row r="2336">
          <cell r="N2336">
            <v>-150</v>
          </cell>
        </row>
        <row r="2337">
          <cell r="N2337">
            <v>-6.1040000000000001</v>
          </cell>
        </row>
        <row r="2338">
          <cell r="N2338">
            <v>-126.4</v>
          </cell>
        </row>
        <row r="2339">
          <cell r="N2339">
            <v>-559.20699999999999</v>
          </cell>
        </row>
        <row r="2340">
          <cell r="N2340">
            <v>-600.89599999999996</v>
          </cell>
        </row>
        <row r="2341">
          <cell r="N2341">
            <v>-35</v>
          </cell>
        </row>
        <row r="2342">
          <cell r="N2342">
            <v>-1267.7929999999999</v>
          </cell>
        </row>
        <row r="2343">
          <cell r="N2343">
            <v>-300.83199999999999</v>
          </cell>
        </row>
        <row r="2344">
          <cell r="N2344">
            <v>-684.78300000000002</v>
          </cell>
        </row>
        <row r="2345">
          <cell r="N2345">
            <v>-1020</v>
          </cell>
        </row>
        <row r="2346">
          <cell r="N2346">
            <v>-1220</v>
          </cell>
        </row>
        <row r="2347">
          <cell r="N2347">
            <v>-33</v>
          </cell>
        </row>
        <row r="2348">
          <cell r="N2348">
            <v>-644.79999999999995</v>
          </cell>
        </row>
        <row r="2349">
          <cell r="N2349">
            <v>-178.15799999999999</v>
          </cell>
        </row>
        <row r="2350">
          <cell r="N2350">
            <v>-165.589</v>
          </cell>
        </row>
        <row r="2351">
          <cell r="N2351">
            <v>-616.64300000000003</v>
          </cell>
        </row>
        <row r="2352">
          <cell r="N2352">
            <v>-231.267</v>
          </cell>
        </row>
        <row r="2353">
          <cell r="N2353">
            <v>-458.411</v>
          </cell>
        </row>
        <row r="2354">
          <cell r="N2354">
            <v>-691.84199999999998</v>
          </cell>
        </row>
        <row r="2355">
          <cell r="N2355">
            <v>-54.09</v>
          </cell>
        </row>
        <row r="2356">
          <cell r="N2356">
            <v>-1218</v>
          </cell>
        </row>
        <row r="2357">
          <cell r="N2357">
            <v>-1178.7739999999999</v>
          </cell>
        </row>
        <row r="2358">
          <cell r="N2358">
            <v>-1269.2260000000001</v>
          </cell>
        </row>
        <row r="2359">
          <cell r="N2359">
            <v>-15</v>
          </cell>
        </row>
        <row r="2360">
          <cell r="N2360">
            <v>-11.161</v>
          </cell>
        </row>
        <row r="2361">
          <cell r="N2361">
            <v>-123</v>
          </cell>
        </row>
        <row r="2362">
          <cell r="N2362">
            <v>-2709</v>
          </cell>
        </row>
        <row r="2363">
          <cell r="N2363">
            <v>-6.585</v>
          </cell>
        </row>
        <row r="2364">
          <cell r="N2364">
            <v>-87.132000000000005</v>
          </cell>
        </row>
        <row r="2365">
          <cell r="N2365">
            <v>-1283.415</v>
          </cell>
        </row>
        <row r="2366">
          <cell r="N2366">
            <v>-188</v>
          </cell>
        </row>
        <row r="2367">
          <cell r="N2367">
            <v>-1410.16</v>
          </cell>
        </row>
        <row r="2368">
          <cell r="N2368">
            <v>-335.976</v>
          </cell>
        </row>
        <row r="2369">
          <cell r="N2369">
            <v>-940.73199999999997</v>
          </cell>
        </row>
        <row r="2370">
          <cell r="N2370">
            <v>-147.029</v>
          </cell>
        </row>
        <row r="2371">
          <cell r="N2371">
            <v>-736</v>
          </cell>
        </row>
        <row r="2372">
          <cell r="N2372">
            <v>-1018</v>
          </cell>
        </row>
        <row r="2373">
          <cell r="N2373">
            <v>-30</v>
          </cell>
        </row>
        <row r="2374">
          <cell r="N2374">
            <v>-1256.2929999999999</v>
          </cell>
        </row>
        <row r="2375">
          <cell r="N2375">
            <v>-1276.7070000000001</v>
          </cell>
        </row>
        <row r="2376">
          <cell r="N2376">
            <v>-0.59299999999999997</v>
          </cell>
        </row>
        <row r="2377">
          <cell r="N2377">
            <v>-366</v>
          </cell>
        </row>
        <row r="2378">
          <cell r="N2378">
            <v>-150.858</v>
          </cell>
        </row>
        <row r="2379">
          <cell r="N2379">
            <v>-400</v>
          </cell>
        </row>
        <row r="2380">
          <cell r="N2380">
            <v>-56.8</v>
          </cell>
        </row>
        <row r="2381">
          <cell r="N2381">
            <v>-50.601999999999997</v>
          </cell>
        </row>
        <row r="2382">
          <cell r="N2382">
            <v>-226.233</v>
          </cell>
        </row>
        <row r="2383">
          <cell r="N2383">
            <v>-1792.43</v>
          </cell>
        </row>
        <row r="2384">
          <cell r="N2384">
            <v>-1248.749</v>
          </cell>
        </row>
        <row r="2385">
          <cell r="N2385">
            <v>-158.71199999999999</v>
          </cell>
        </row>
        <row r="2386">
          <cell r="N2386">
            <v>-1250.54</v>
          </cell>
        </row>
        <row r="2387">
          <cell r="N2387">
            <v>-1276.7070000000001</v>
          </cell>
        </row>
        <row r="2388">
          <cell r="N2388">
            <v>-1263.268</v>
          </cell>
        </row>
        <row r="2389">
          <cell r="N2389">
            <v>-196.54599999999999</v>
          </cell>
        </row>
        <row r="2390">
          <cell r="N2390">
            <v>-1131.5989999999999</v>
          </cell>
        </row>
        <row r="2391">
          <cell r="N2391">
            <v>-937.37199999999996</v>
          </cell>
        </row>
        <row r="2392">
          <cell r="N2392">
            <v>-335.976</v>
          </cell>
        </row>
        <row r="2393">
          <cell r="N2393">
            <v>-1000.85</v>
          </cell>
        </row>
        <row r="2394">
          <cell r="N2394">
            <v>-282.85000000000002</v>
          </cell>
        </row>
        <row r="2395">
          <cell r="N2395">
            <v>-1280.067</v>
          </cell>
        </row>
        <row r="2396">
          <cell r="N2396">
            <v>-1282.8499999999999</v>
          </cell>
        </row>
        <row r="2397">
          <cell r="N2397">
            <v>-1341.5730000000001</v>
          </cell>
        </row>
        <row r="2398">
          <cell r="N2398">
            <v>-638.04399999999998</v>
          </cell>
        </row>
        <row r="2399">
          <cell r="N2399">
            <v>-638.04399999999998</v>
          </cell>
        </row>
        <row r="2400">
          <cell r="N2400">
            <v>-1274.7370000000001</v>
          </cell>
        </row>
        <row r="2401">
          <cell r="N2401">
            <v>-905.69200000000001</v>
          </cell>
        </row>
        <row r="2402">
          <cell r="N2402">
            <v>-351</v>
          </cell>
        </row>
        <row r="2403">
          <cell r="N2403">
            <v>-1268.308</v>
          </cell>
        </row>
        <row r="2404">
          <cell r="N2404">
            <v>-406</v>
          </cell>
        </row>
        <row r="2405">
          <cell r="N2405">
            <v>-320</v>
          </cell>
        </row>
        <row r="2406">
          <cell r="N2406">
            <v>-11.789</v>
          </cell>
        </row>
        <row r="2407">
          <cell r="N2407">
            <v>-150</v>
          </cell>
        </row>
        <row r="2408">
          <cell r="N2408">
            <v>-1264.211</v>
          </cell>
        </row>
        <row r="2409">
          <cell r="N2409">
            <v>-1051</v>
          </cell>
        </row>
        <row r="2410">
          <cell r="N2410">
            <v>-787.89400000000001</v>
          </cell>
        </row>
        <row r="2411">
          <cell r="N2411">
            <v>-218.20500000000001</v>
          </cell>
        </row>
        <row r="2412">
          <cell r="N2412">
            <v>-38.405000000000001</v>
          </cell>
        </row>
        <row r="2413">
          <cell r="N2413">
            <v>-75.594999999999999</v>
          </cell>
        </row>
        <row r="2414">
          <cell r="N2414">
            <v>-54.091999999999999</v>
          </cell>
        </row>
        <row r="2415">
          <cell r="N2415">
            <v>-31.908000000000001</v>
          </cell>
        </row>
        <row r="2416">
          <cell r="N2416">
            <v>-1.1479999999999999</v>
          </cell>
        </row>
        <row r="2417">
          <cell r="N2417">
            <v>-2.1989999999999998</v>
          </cell>
        </row>
        <row r="2418">
          <cell r="N2418">
            <v>-6.1989999999999998</v>
          </cell>
        </row>
        <row r="2419">
          <cell r="N2419">
            <v>-2.1139999999999999</v>
          </cell>
        </row>
        <row r="2420">
          <cell r="N2420">
            <v>-1.5509999999999999</v>
          </cell>
        </row>
        <row r="2421">
          <cell r="N2421">
            <v>-1.7729999999999999</v>
          </cell>
        </row>
        <row r="2422">
          <cell r="N2422">
            <v>-1.7649999999999999</v>
          </cell>
        </row>
        <row r="2423">
          <cell r="N2423">
            <v>-1.248</v>
          </cell>
        </row>
        <row r="2424">
          <cell r="N2424">
            <v>-6.2519999999999998</v>
          </cell>
        </row>
        <row r="2425">
          <cell r="N2425">
            <v>-3</v>
          </cell>
        </row>
        <row r="2426">
          <cell r="N2426">
            <v>-4.5019999999999998</v>
          </cell>
        </row>
        <row r="2427">
          <cell r="N2427">
            <v>-1.9119999999999999</v>
          </cell>
        </row>
        <row r="2428">
          <cell r="N2428">
            <v>-1.329</v>
          </cell>
        </row>
        <row r="2429">
          <cell r="N2429">
            <v>-7.391</v>
          </cell>
        </row>
        <row r="2430">
          <cell r="N2430">
            <v>-3.2850000000000001</v>
          </cell>
        </row>
        <row r="2431">
          <cell r="N2431">
            <v>-7.6369999999999996</v>
          </cell>
        </row>
        <row r="2432">
          <cell r="N2432">
            <v>-3.2069999999999999</v>
          </cell>
        </row>
        <row r="2433">
          <cell r="N2433">
            <v>-2.8879999999999999</v>
          </cell>
        </row>
        <row r="2434">
          <cell r="N2434">
            <v>-7.9210000000000003</v>
          </cell>
        </row>
        <row r="2435">
          <cell r="N2435">
            <v>-6.2880000000000003</v>
          </cell>
        </row>
        <row r="2436">
          <cell r="N2436">
            <v>-1.266</v>
          </cell>
        </row>
        <row r="2437">
          <cell r="N2437">
            <v>-1.9870000000000001</v>
          </cell>
        </row>
        <row r="2438">
          <cell r="N2438">
            <v>-5.7750000000000004</v>
          </cell>
        </row>
        <row r="2439">
          <cell r="N2439">
            <v>-1.845</v>
          </cell>
        </row>
        <row r="2440">
          <cell r="N2440">
            <v>-1.4239999999999999</v>
          </cell>
        </row>
        <row r="2441">
          <cell r="N2441">
            <v>-1.282</v>
          </cell>
        </row>
        <row r="2442">
          <cell r="N2442">
            <v>-8.1329999999999991</v>
          </cell>
        </row>
        <row r="2443">
          <cell r="N2443">
            <v>-7.6829999999999998</v>
          </cell>
        </row>
        <row r="2444">
          <cell r="N2444">
            <v>-0.82799999999999996</v>
          </cell>
        </row>
        <row r="2445">
          <cell r="N2445">
            <v>-0.44600000000000001</v>
          </cell>
        </row>
        <row r="2446">
          <cell r="N2446">
            <v>-0.82799999999999996</v>
          </cell>
        </row>
        <row r="2447">
          <cell r="N2447">
            <v>-0.79700000000000004</v>
          </cell>
        </row>
        <row r="2448">
          <cell r="N2448">
            <v>-2.04</v>
          </cell>
        </row>
        <row r="2449">
          <cell r="N2449">
            <v>-5.5369999999999999</v>
          </cell>
        </row>
        <row r="2450">
          <cell r="N2450">
            <v>-3.02</v>
          </cell>
        </row>
        <row r="2451">
          <cell r="N2451">
            <v>-7.391</v>
          </cell>
        </row>
        <row r="2452">
          <cell r="N2452">
            <v>-2.7290000000000001</v>
          </cell>
        </row>
        <row r="2453">
          <cell r="N2453">
            <v>-3.2589999999999999</v>
          </cell>
        </row>
        <row r="2454">
          <cell r="N2454">
            <v>-1.96</v>
          </cell>
        </row>
        <row r="2455">
          <cell r="N2455">
            <v>-5.484</v>
          </cell>
        </row>
        <row r="2456">
          <cell r="N2456">
            <v>-1.9870000000000001</v>
          </cell>
        </row>
        <row r="2457">
          <cell r="N2457">
            <v>-3.206</v>
          </cell>
        </row>
        <row r="2458">
          <cell r="N2458">
            <v>-0.78100000000000003</v>
          </cell>
        </row>
        <row r="2459">
          <cell r="N2459">
            <v>-2.04</v>
          </cell>
        </row>
        <row r="2460">
          <cell r="N2460">
            <v>-2.835</v>
          </cell>
        </row>
        <row r="2461">
          <cell r="N2461">
            <v>-2.1989999999999998</v>
          </cell>
        </row>
        <row r="2462">
          <cell r="N2462">
            <v>-2.8610000000000002</v>
          </cell>
        </row>
        <row r="2463">
          <cell r="N2463">
            <v>-2.1720000000000002</v>
          </cell>
        </row>
        <row r="2464">
          <cell r="N2464">
            <v>-1.02</v>
          </cell>
        </row>
        <row r="2465">
          <cell r="N2465">
            <v>-2.8079999999999998</v>
          </cell>
        </row>
        <row r="2466">
          <cell r="N2466">
            <v>-1.8540000000000001</v>
          </cell>
        </row>
        <row r="2467">
          <cell r="N2467">
            <v>-1.179</v>
          </cell>
        </row>
        <row r="2468">
          <cell r="N2468">
            <v>-1.714</v>
          </cell>
        </row>
        <row r="2469">
          <cell r="N2469">
            <v>-1.6240000000000001</v>
          </cell>
        </row>
        <row r="2470">
          <cell r="N2470">
            <v>-2.331</v>
          </cell>
        </row>
        <row r="2471">
          <cell r="N2471">
            <v>-0.61699999999999999</v>
          </cell>
        </row>
        <row r="2472">
          <cell r="N2472">
            <v>-2.1429999999999998</v>
          </cell>
        </row>
        <row r="2473">
          <cell r="N2473">
            <v>-1.75</v>
          </cell>
        </row>
        <row r="2474">
          <cell r="N2474">
            <v>-2.464</v>
          </cell>
        </row>
        <row r="2475">
          <cell r="N2475">
            <v>-1.804</v>
          </cell>
        </row>
        <row r="2476">
          <cell r="N2476">
            <v>-1.7569999999999999</v>
          </cell>
        </row>
        <row r="2477">
          <cell r="N2477">
            <v>-2.8610000000000002</v>
          </cell>
        </row>
        <row r="2478">
          <cell r="N2478">
            <v>-1.964</v>
          </cell>
        </row>
        <row r="2479">
          <cell r="N2479">
            <v>-1.992</v>
          </cell>
        </row>
        <row r="2480">
          <cell r="N2480">
            <v>-1.8140000000000001</v>
          </cell>
        </row>
        <row r="2481">
          <cell r="N2481">
            <v>-1.488</v>
          </cell>
        </row>
        <row r="2482">
          <cell r="N2482">
            <v>-2.464</v>
          </cell>
        </row>
        <row r="2483">
          <cell r="N2483">
            <v>-2.3180000000000001</v>
          </cell>
        </row>
        <row r="2484">
          <cell r="N2484">
            <v>-1.488</v>
          </cell>
        </row>
        <row r="2485">
          <cell r="N2485">
            <v>-3.0470000000000002</v>
          </cell>
        </row>
        <row r="2486">
          <cell r="N2486">
            <v>-2.4990000000000001</v>
          </cell>
        </row>
        <row r="2487">
          <cell r="N2487">
            <v>-2.3050000000000002</v>
          </cell>
        </row>
        <row r="2488">
          <cell r="N2488">
            <v>-1.536</v>
          </cell>
        </row>
        <row r="2489">
          <cell r="N2489">
            <v>-2.214</v>
          </cell>
        </row>
        <row r="2490">
          <cell r="N2490">
            <v>-2.9689999999999999</v>
          </cell>
        </row>
        <row r="2491">
          <cell r="N2491">
            <v>-1.857</v>
          </cell>
        </row>
        <row r="2492">
          <cell r="N2492">
            <v>-1.583</v>
          </cell>
        </row>
        <row r="2493">
          <cell r="N2493">
            <v>-2.2090000000000001</v>
          </cell>
        </row>
        <row r="2494">
          <cell r="N2494">
            <v>-1.6779999999999999</v>
          </cell>
        </row>
        <row r="2495">
          <cell r="N2495">
            <v>-1.714</v>
          </cell>
        </row>
        <row r="2496">
          <cell r="N2496">
            <v>-1.266</v>
          </cell>
        </row>
        <row r="2497">
          <cell r="N2497">
            <v>-2.8610000000000002</v>
          </cell>
        </row>
        <row r="2498">
          <cell r="N2498">
            <v>-3</v>
          </cell>
        </row>
        <row r="2499">
          <cell r="N2499">
            <v>-2.1779999999999999</v>
          </cell>
        </row>
        <row r="2500">
          <cell r="N2500">
            <v>-1.345</v>
          </cell>
        </row>
        <row r="2501">
          <cell r="N2501">
            <v>-1.3140000000000001</v>
          </cell>
        </row>
        <row r="2502">
          <cell r="N2502">
            <v>-3</v>
          </cell>
        </row>
        <row r="2503">
          <cell r="N2503">
            <v>-2.2090000000000001</v>
          </cell>
        </row>
        <row r="2504">
          <cell r="N2504">
            <v>-3</v>
          </cell>
        </row>
        <row r="2505">
          <cell r="N2505">
            <v>-3</v>
          </cell>
        </row>
        <row r="2506">
          <cell r="N2506">
            <v>-3</v>
          </cell>
        </row>
        <row r="2507">
          <cell r="N2507">
            <v>-3</v>
          </cell>
        </row>
        <row r="2508">
          <cell r="N2508">
            <v>-4.3449999999999998</v>
          </cell>
        </row>
        <row r="2509">
          <cell r="N2509">
            <v>-1.4239999999999999</v>
          </cell>
        </row>
        <row r="2510">
          <cell r="N2510">
            <v>-3</v>
          </cell>
        </row>
        <row r="2511">
          <cell r="N2511">
            <v>-3</v>
          </cell>
        </row>
        <row r="2512">
          <cell r="N2512">
            <v>-3</v>
          </cell>
        </row>
        <row r="2513">
          <cell r="N2513">
            <v>-3</v>
          </cell>
        </row>
        <row r="2514">
          <cell r="N2514">
            <v>-3</v>
          </cell>
        </row>
        <row r="2515">
          <cell r="N2515">
            <v>-3</v>
          </cell>
        </row>
        <row r="2516">
          <cell r="N2516">
            <v>-1.1080000000000001</v>
          </cell>
        </row>
        <row r="2517">
          <cell r="N2517">
            <v>-2.0640000000000001</v>
          </cell>
        </row>
        <row r="2518">
          <cell r="N2518">
            <v>-1.6850000000000001</v>
          </cell>
        </row>
        <row r="2519">
          <cell r="N2519">
            <v>-1.8360000000000001</v>
          </cell>
        </row>
        <row r="2520">
          <cell r="N2520">
            <v>-1.5189999999999999</v>
          </cell>
        </row>
        <row r="2521">
          <cell r="N2521">
            <v>-2.464</v>
          </cell>
        </row>
        <row r="2522">
          <cell r="N2522">
            <v>-2.0710000000000002</v>
          </cell>
        </row>
        <row r="2523">
          <cell r="N2523">
            <v>-2.3210000000000002</v>
          </cell>
        </row>
        <row r="2524">
          <cell r="N2524">
            <v>-2.75</v>
          </cell>
        </row>
        <row r="2525">
          <cell r="N2525">
            <v>-1.607</v>
          </cell>
        </row>
        <row r="2526">
          <cell r="N2526">
            <v>-1.393</v>
          </cell>
        </row>
        <row r="2527">
          <cell r="N2527">
            <v>-1.4850000000000001</v>
          </cell>
        </row>
        <row r="2528">
          <cell r="N2528">
            <v>-1.456</v>
          </cell>
        </row>
        <row r="2529">
          <cell r="N2529">
            <v>-2.5710000000000002</v>
          </cell>
        </row>
        <row r="2530">
          <cell r="N2530">
            <v>-162</v>
          </cell>
        </row>
        <row r="2531">
          <cell r="N2531">
            <v>-4.2110000000000003</v>
          </cell>
        </row>
        <row r="2532">
          <cell r="N2532">
            <v>-2.6429999999999998</v>
          </cell>
        </row>
        <row r="2533">
          <cell r="N2533">
            <v>-1.714</v>
          </cell>
        </row>
        <row r="2534">
          <cell r="N2534">
            <v>-1.446</v>
          </cell>
        </row>
        <row r="2535">
          <cell r="N2535">
            <v>-0.33600000000000002</v>
          </cell>
        </row>
        <row r="2536">
          <cell r="N2536">
            <v>-1.857</v>
          </cell>
        </row>
        <row r="2537">
          <cell r="N2537">
            <v>-1.857</v>
          </cell>
        </row>
        <row r="2538">
          <cell r="N2538">
            <v>-2.8570000000000002</v>
          </cell>
        </row>
        <row r="2539">
          <cell r="N2539">
            <v>-3.694</v>
          </cell>
        </row>
        <row r="2540">
          <cell r="N2540">
            <v>-2.1779999999999999</v>
          </cell>
        </row>
        <row r="2541">
          <cell r="N2541">
            <v>-2.286</v>
          </cell>
        </row>
        <row r="2542">
          <cell r="N2542">
            <v>-2.1779999999999999</v>
          </cell>
        </row>
        <row r="2543">
          <cell r="N2543">
            <v>-2.4279999999999999</v>
          </cell>
        </row>
        <row r="2544">
          <cell r="N2544">
            <v>-0.82199999999999995</v>
          </cell>
        </row>
        <row r="2545">
          <cell r="N2545">
            <v>-1.893</v>
          </cell>
        </row>
        <row r="2546">
          <cell r="N2546">
            <v>-5.2510000000000003</v>
          </cell>
        </row>
        <row r="2547">
          <cell r="N2547">
            <v>-3.476</v>
          </cell>
        </row>
        <row r="2548">
          <cell r="N2548">
            <v>-1.75</v>
          </cell>
        </row>
        <row r="2549">
          <cell r="N2549">
            <v>-2.2090000000000001</v>
          </cell>
        </row>
        <row r="2550">
          <cell r="N2550">
            <v>-1.821</v>
          </cell>
        </row>
        <row r="2551">
          <cell r="N2551">
            <v>-2.3010000000000002</v>
          </cell>
        </row>
        <row r="2552">
          <cell r="N2552">
            <v>-1.4279999999999999</v>
          </cell>
        </row>
        <row r="2553">
          <cell r="N2553">
            <v>-1.464</v>
          </cell>
        </row>
        <row r="2554">
          <cell r="N2554">
            <v>-3.657</v>
          </cell>
        </row>
        <row r="2555">
          <cell r="N2555">
            <v>-1.847</v>
          </cell>
        </row>
        <row r="2556">
          <cell r="N2556">
            <v>-1.821</v>
          </cell>
        </row>
        <row r="2557">
          <cell r="N2557">
            <v>-1.714</v>
          </cell>
        </row>
        <row r="2558">
          <cell r="N2558">
            <v>-2.0640000000000001</v>
          </cell>
        </row>
        <row r="2559">
          <cell r="N2559">
            <v>-1.008</v>
          </cell>
        </row>
        <row r="2560">
          <cell r="N2560">
            <v>-2.6890000000000001</v>
          </cell>
        </row>
        <row r="2561">
          <cell r="N2561">
            <v>-2.39</v>
          </cell>
        </row>
        <row r="2562">
          <cell r="N2562">
            <v>-1.665</v>
          </cell>
        </row>
        <row r="2563">
          <cell r="N2563">
            <v>-2.6509999999999998</v>
          </cell>
        </row>
        <row r="2564">
          <cell r="N2564">
            <v>-2.4319999999999999</v>
          </cell>
        </row>
        <row r="2565">
          <cell r="N2565">
            <v>-3.694</v>
          </cell>
        </row>
        <row r="2566">
          <cell r="N2566">
            <v>-3.0419999999999998</v>
          </cell>
        </row>
        <row r="2567">
          <cell r="N2567">
            <v>-1.492</v>
          </cell>
        </row>
        <row r="2568">
          <cell r="N2568">
            <v>-2.4990000000000001</v>
          </cell>
        </row>
        <row r="2569">
          <cell r="N2569">
            <v>-1.607</v>
          </cell>
        </row>
        <row r="2570">
          <cell r="N2570">
            <v>-2.5350000000000001</v>
          </cell>
        </row>
        <row r="2571">
          <cell r="N2571">
            <v>-2.028</v>
          </cell>
        </row>
        <row r="2572">
          <cell r="N2572">
            <v>-2.5710000000000002</v>
          </cell>
        </row>
        <row r="2573">
          <cell r="N2573">
            <v>-2</v>
          </cell>
        </row>
        <row r="2574">
          <cell r="N2574">
            <v>-2.8969999999999998</v>
          </cell>
        </row>
        <row r="2575">
          <cell r="N2575">
            <v>-2.6070000000000002</v>
          </cell>
        </row>
        <row r="2576">
          <cell r="N2576">
            <v>-2.1240000000000001</v>
          </cell>
        </row>
        <row r="2577">
          <cell r="N2577">
            <v>-5.4690000000000003</v>
          </cell>
        </row>
        <row r="2578">
          <cell r="N2578">
            <v>-2.125</v>
          </cell>
        </row>
        <row r="2579">
          <cell r="N2579">
            <v>-2.8610000000000002</v>
          </cell>
        </row>
        <row r="2580">
          <cell r="N2580">
            <v>-2.4260000000000002</v>
          </cell>
        </row>
        <row r="2581">
          <cell r="N2581">
            <v>-1.5</v>
          </cell>
        </row>
        <row r="2582">
          <cell r="N2582">
            <v>-162</v>
          </cell>
        </row>
        <row r="2583">
          <cell r="N2583">
            <v>-1.571</v>
          </cell>
        </row>
        <row r="2584">
          <cell r="N2584">
            <v>-2.7610000000000001</v>
          </cell>
        </row>
        <row r="2585">
          <cell r="N2585">
            <v>-1.599</v>
          </cell>
        </row>
        <row r="2586">
          <cell r="N2586">
            <v>-1.4279999999999999</v>
          </cell>
        </row>
        <row r="2587">
          <cell r="N2587">
            <v>-3.476</v>
          </cell>
        </row>
        <row r="2588">
          <cell r="N2588">
            <v>-162</v>
          </cell>
        </row>
        <row r="2589">
          <cell r="N2589">
            <v>-2.9329999999999998</v>
          </cell>
        </row>
        <row r="2590">
          <cell r="N2590">
            <v>-2.9580000000000002</v>
          </cell>
        </row>
        <row r="2591">
          <cell r="N2591">
            <v>-3.4039999999999999</v>
          </cell>
        </row>
        <row r="2592">
          <cell r="N2592">
            <v>-4.9489999999999998</v>
          </cell>
        </row>
        <row r="2593">
          <cell r="N2593">
            <v>-3.7999999999999999E-2</v>
          </cell>
        </row>
        <row r="2594">
          <cell r="N2594">
            <v>-3.7999999999999999E-2</v>
          </cell>
        </row>
        <row r="2595">
          <cell r="N2595">
            <v>-4.3999999999999997E-2</v>
          </cell>
        </row>
        <row r="2596">
          <cell r="N2596">
            <v>-4.2000000000000003E-2</v>
          </cell>
        </row>
        <row r="2597">
          <cell r="N2597">
            <v>-3.7999999999999999E-2</v>
          </cell>
        </row>
        <row r="2598">
          <cell r="N2598">
            <v>-4.2000000000000003E-2</v>
          </cell>
        </row>
        <row r="2599">
          <cell r="N2599">
            <v>-3.7999999999999999E-2</v>
          </cell>
        </row>
        <row r="2600">
          <cell r="N2600">
            <v>-4.2000000000000003E-2</v>
          </cell>
        </row>
        <row r="2601">
          <cell r="N2601">
            <v>-4.2000000000000003E-2</v>
          </cell>
        </row>
        <row r="2602">
          <cell r="N2602">
            <v>-4.2000000000000003E-2</v>
          </cell>
        </row>
        <row r="2603">
          <cell r="N2603">
            <v>-1.556</v>
          </cell>
        </row>
        <row r="2604">
          <cell r="N2604">
            <v>-4.2000000000000003E-2</v>
          </cell>
        </row>
        <row r="2605">
          <cell r="N2605">
            <v>-5.3999999999999999E-2</v>
          </cell>
        </row>
        <row r="2606">
          <cell r="N2606">
            <v>-3.7999999999999999E-2</v>
          </cell>
        </row>
        <row r="2607">
          <cell r="N2607">
            <v>-5.3999999999999999E-2</v>
          </cell>
        </row>
        <row r="2608">
          <cell r="N2608">
            <v>-2.6429999999999998</v>
          </cell>
        </row>
        <row r="2609">
          <cell r="N2609">
            <v>-2.39</v>
          </cell>
        </row>
        <row r="2610">
          <cell r="N2610">
            <v>-3.7999999999999999E-2</v>
          </cell>
        </row>
        <row r="2611">
          <cell r="N2611">
            <v>-3.7999999999999999E-2</v>
          </cell>
        </row>
        <row r="2612">
          <cell r="N2612">
            <v>-2.8610000000000002</v>
          </cell>
        </row>
        <row r="2613">
          <cell r="N2613">
            <v>-2.1360000000000001</v>
          </cell>
        </row>
        <row r="2614">
          <cell r="N2614">
            <v>-0.114</v>
          </cell>
        </row>
        <row r="2615">
          <cell r="N2615">
            <v>-3.44</v>
          </cell>
        </row>
        <row r="2616">
          <cell r="N2616">
            <v>-3.0059999999999998</v>
          </cell>
        </row>
        <row r="2617">
          <cell r="N2617">
            <v>-162</v>
          </cell>
        </row>
        <row r="2618">
          <cell r="N2618">
            <v>-2.39</v>
          </cell>
        </row>
        <row r="2619">
          <cell r="N2619">
            <v>-4.7640000000000002</v>
          </cell>
        </row>
        <row r="2620">
          <cell r="N2620">
            <v>-178</v>
          </cell>
        </row>
        <row r="2621">
          <cell r="N2621">
            <v>-19.699000000000002</v>
          </cell>
        </row>
        <row r="2622">
          <cell r="N2622">
            <v>-1.54</v>
          </cell>
        </row>
        <row r="2623">
          <cell r="N2623">
            <v>-12.483000000000001</v>
          </cell>
        </row>
        <row r="2624">
          <cell r="N2624">
            <v>-10.207000000000001</v>
          </cell>
        </row>
        <row r="2625">
          <cell r="N2625">
            <v>-40.756999999999998</v>
          </cell>
        </row>
        <row r="2626">
          <cell r="N2626">
            <v>-20.283999999999999</v>
          </cell>
        </row>
        <row r="2627">
          <cell r="N2627">
            <v>-41.515999999999998</v>
          </cell>
        </row>
        <row r="2628">
          <cell r="N2628">
            <v>-21.356000000000002</v>
          </cell>
        </row>
        <row r="2629">
          <cell r="N2629">
            <v>-2.6360000000000001</v>
          </cell>
        </row>
        <row r="2630">
          <cell r="N2630">
            <v>-10.576000000000001</v>
          </cell>
        </row>
        <row r="2631">
          <cell r="N2631">
            <v>-41.718000000000004</v>
          </cell>
        </row>
        <row r="2632">
          <cell r="N2632">
            <v>-2.0579999999999998</v>
          </cell>
        </row>
        <row r="2633">
          <cell r="N2633">
            <v>-13.523</v>
          </cell>
        </row>
        <row r="2634">
          <cell r="N2634">
            <v>-30.382000000000001</v>
          </cell>
        </row>
        <row r="2635">
          <cell r="N2635">
            <v>-32.238999999999997</v>
          </cell>
        </row>
        <row r="2636">
          <cell r="N2636">
            <v>-9.7460000000000004</v>
          </cell>
        </row>
        <row r="2637">
          <cell r="N2637">
            <v>-20.283999999999999</v>
          </cell>
        </row>
        <row r="2638">
          <cell r="N2638">
            <v>-37.65</v>
          </cell>
        </row>
        <row r="2639">
          <cell r="N2639">
            <v>-21.064</v>
          </cell>
        </row>
        <row r="2640">
          <cell r="N2640">
            <v>-31.588000000000001</v>
          </cell>
        </row>
        <row r="2641">
          <cell r="N2641">
            <v>-11.208</v>
          </cell>
        </row>
        <row r="2642">
          <cell r="N2642">
            <v>-11.682</v>
          </cell>
        </row>
        <row r="2643">
          <cell r="N2643">
            <v>-37.384</v>
          </cell>
        </row>
        <row r="2644">
          <cell r="N2644">
            <v>-39.270000000000003</v>
          </cell>
        </row>
        <row r="2645">
          <cell r="N2645">
            <v>-50.177</v>
          </cell>
        </row>
        <row r="2646">
          <cell r="N2646">
            <v>-31.347000000000001</v>
          </cell>
        </row>
        <row r="2647">
          <cell r="N2647">
            <v>-38.862000000000002</v>
          </cell>
        </row>
        <row r="2648">
          <cell r="N2648">
            <v>-10.358000000000001</v>
          </cell>
        </row>
        <row r="2649">
          <cell r="N2649">
            <v>-23.891999999999999</v>
          </cell>
        </row>
        <row r="2650">
          <cell r="N2650">
            <v>-45.99</v>
          </cell>
        </row>
        <row r="2651">
          <cell r="N2651">
            <v>-18.431000000000001</v>
          </cell>
        </row>
        <row r="2652">
          <cell r="N2652">
            <v>-30.503</v>
          </cell>
        </row>
        <row r="2653">
          <cell r="N2653">
            <v>-34.24</v>
          </cell>
        </row>
        <row r="2654">
          <cell r="N2654">
            <v>-11.734999999999999</v>
          </cell>
        </row>
        <row r="2655">
          <cell r="N2655">
            <v>-43.953000000000003</v>
          </cell>
        </row>
        <row r="2656">
          <cell r="N2656">
            <v>-38.322000000000003</v>
          </cell>
        </row>
        <row r="2657">
          <cell r="N2657">
            <v>-40.47</v>
          </cell>
        </row>
        <row r="2658">
          <cell r="N2658">
            <v>-12.005000000000001</v>
          </cell>
        </row>
        <row r="2659">
          <cell r="N2659">
            <v>-18.550999999999998</v>
          </cell>
        </row>
        <row r="2660">
          <cell r="N2660">
            <v>-39.331000000000003</v>
          </cell>
        </row>
        <row r="2661">
          <cell r="N2661">
            <v>-14.151</v>
          </cell>
        </row>
        <row r="2662">
          <cell r="N2662">
            <v>-19.600999999999999</v>
          </cell>
        </row>
        <row r="2663">
          <cell r="N2663">
            <v>-36.640999999999998</v>
          </cell>
        </row>
        <row r="2664">
          <cell r="N2664">
            <v>-44.985999999999997</v>
          </cell>
        </row>
        <row r="2665">
          <cell r="N2665">
            <v>-10.207000000000001</v>
          </cell>
        </row>
        <row r="2666">
          <cell r="N2666">
            <v>-46.332000000000001</v>
          </cell>
        </row>
        <row r="2667">
          <cell r="N2667">
            <v>-1.885</v>
          </cell>
        </row>
        <row r="2668">
          <cell r="N2668">
            <v>-1.85</v>
          </cell>
        </row>
        <row r="2669">
          <cell r="N2669">
            <v>-41.347999999999999</v>
          </cell>
        </row>
        <row r="2670">
          <cell r="N2670">
            <v>-40.338999999999999</v>
          </cell>
        </row>
        <row r="2671">
          <cell r="N2671">
            <v>-27.489000000000001</v>
          </cell>
        </row>
        <row r="2672">
          <cell r="N2672">
            <v>-16.471</v>
          </cell>
        </row>
        <row r="2673">
          <cell r="N2673">
            <v>-4.5919999999999996</v>
          </cell>
        </row>
        <row r="2674">
          <cell r="N2674">
            <v>-20.576000000000001</v>
          </cell>
        </row>
        <row r="2675">
          <cell r="N2675">
            <v>-43.256</v>
          </cell>
        </row>
        <row r="2676">
          <cell r="N2676">
            <v>-34.811</v>
          </cell>
        </row>
        <row r="2677">
          <cell r="N2677">
            <v>-4.1870000000000003</v>
          </cell>
        </row>
        <row r="2678">
          <cell r="N2678">
            <v>-8.5440000000000005</v>
          </cell>
        </row>
        <row r="2679">
          <cell r="N2679">
            <v>-47.677999999999997</v>
          </cell>
        </row>
        <row r="2680">
          <cell r="N2680">
            <v>-39.441000000000003</v>
          </cell>
        </row>
        <row r="2681">
          <cell r="N2681">
            <v>-20.088999999999999</v>
          </cell>
        </row>
        <row r="2682">
          <cell r="N2682">
            <v>-40.948999999999998</v>
          </cell>
        </row>
        <row r="2683">
          <cell r="N2683">
            <v>-11.709</v>
          </cell>
        </row>
        <row r="2684">
          <cell r="N2684">
            <v>-19.600999999999999</v>
          </cell>
        </row>
        <row r="2685">
          <cell r="N2685">
            <v>-1.8320000000000001</v>
          </cell>
        </row>
        <row r="2686">
          <cell r="N2686">
            <v>-12.456</v>
          </cell>
        </row>
        <row r="2687">
          <cell r="N2687">
            <v>-20.673999999999999</v>
          </cell>
        </row>
        <row r="2688">
          <cell r="N2688">
            <v>-22.917000000000002</v>
          </cell>
        </row>
        <row r="2689">
          <cell r="N2689">
            <v>-9.3450000000000006</v>
          </cell>
        </row>
        <row r="2690">
          <cell r="N2690">
            <v>-48.255000000000003</v>
          </cell>
        </row>
        <row r="2691">
          <cell r="N2691">
            <v>-46.39</v>
          </cell>
        </row>
        <row r="2692">
          <cell r="N2692">
            <v>-41.526000000000003</v>
          </cell>
        </row>
        <row r="2693">
          <cell r="N2693">
            <v>-28.693999999999999</v>
          </cell>
        </row>
        <row r="2694">
          <cell r="N2694">
            <v>-1.921</v>
          </cell>
        </row>
        <row r="2695">
          <cell r="N2695">
            <v>-36.526000000000003</v>
          </cell>
        </row>
        <row r="2696">
          <cell r="N2696">
            <v>-13.766999999999999</v>
          </cell>
        </row>
        <row r="2697">
          <cell r="N2697">
            <v>-18.204999999999998</v>
          </cell>
        </row>
        <row r="2698">
          <cell r="N2698">
            <v>-12.324999999999999</v>
          </cell>
        </row>
        <row r="2699">
          <cell r="N2699">
            <v>-36.354999999999997</v>
          </cell>
        </row>
        <row r="2700">
          <cell r="N2700">
            <v>-24.867000000000001</v>
          </cell>
        </row>
        <row r="2701">
          <cell r="N2701">
            <v>-7.1779999999999999</v>
          </cell>
        </row>
        <row r="2702">
          <cell r="N2702">
            <v>-26.765000000000001</v>
          </cell>
        </row>
        <row r="2703">
          <cell r="N2703">
            <v>-43.274999999999999</v>
          </cell>
        </row>
        <row r="2704">
          <cell r="N2704">
            <v>-44.540999999999997</v>
          </cell>
        </row>
        <row r="2705">
          <cell r="N2705">
            <v>-32.552999999999997</v>
          </cell>
        </row>
        <row r="2706">
          <cell r="N2706">
            <v>-9.907</v>
          </cell>
        </row>
        <row r="2707">
          <cell r="N2707">
            <v>-13.003</v>
          </cell>
        </row>
        <row r="2708">
          <cell r="N2708">
            <v>-9.1069999999999993</v>
          </cell>
        </row>
        <row r="2709">
          <cell r="N2709">
            <v>-57.866999999999997</v>
          </cell>
        </row>
        <row r="2710">
          <cell r="N2710">
            <v>-28.003</v>
          </cell>
        </row>
        <row r="2711">
          <cell r="N2711">
            <v>-35.746000000000002</v>
          </cell>
        </row>
        <row r="2712">
          <cell r="N2712">
            <v>-30.140999999999998</v>
          </cell>
        </row>
        <row r="2713">
          <cell r="N2713">
            <v>-22.137</v>
          </cell>
        </row>
        <row r="2714">
          <cell r="N2714">
            <v>-20.506</v>
          </cell>
        </row>
        <row r="2715">
          <cell r="N2715">
            <v>-11.79</v>
          </cell>
        </row>
        <row r="2716">
          <cell r="N2716">
            <v>-10.814</v>
          </cell>
        </row>
        <row r="2717">
          <cell r="N2717">
            <v>-24.38</v>
          </cell>
        </row>
        <row r="2718">
          <cell r="N2718">
            <v>-37.384</v>
          </cell>
        </row>
        <row r="2719">
          <cell r="N2719">
            <v>-14.819000000000001</v>
          </cell>
        </row>
        <row r="2720">
          <cell r="N2720">
            <v>-491.596</v>
          </cell>
        </row>
        <row r="2721">
          <cell r="N2721">
            <v>-2.2480000000000002</v>
          </cell>
        </row>
        <row r="2722">
          <cell r="N2722">
            <v>-4.8550000000000004</v>
          </cell>
        </row>
        <row r="2723">
          <cell r="N2723">
            <v>-0.46899999999999997</v>
          </cell>
        </row>
        <row r="2724">
          <cell r="N2724">
            <v>-31.382000000000001</v>
          </cell>
        </row>
        <row r="2725">
          <cell r="N2725">
            <v>-36.901000000000003</v>
          </cell>
        </row>
        <row r="2726">
          <cell r="N2726">
            <v>-40.18</v>
          </cell>
        </row>
        <row r="2727">
          <cell r="N2727">
            <v>-37.103999999999999</v>
          </cell>
        </row>
        <row r="2728">
          <cell r="N2728">
            <v>-327.95600000000002</v>
          </cell>
        </row>
        <row r="2729">
          <cell r="N2729">
            <v>-1.4850000000000001</v>
          </cell>
        </row>
        <row r="2730">
          <cell r="N2730">
            <v>-15.430999999999999</v>
          </cell>
        </row>
        <row r="2731">
          <cell r="N2731">
            <v>-36.284999999999997</v>
          </cell>
        </row>
        <row r="2732">
          <cell r="N2732">
            <v>-24.696000000000002</v>
          </cell>
        </row>
        <row r="2733">
          <cell r="N2733">
            <v>-987.49800000000005</v>
          </cell>
        </row>
        <row r="2734">
          <cell r="N2734">
            <v>-12.209</v>
          </cell>
        </row>
        <row r="2735">
          <cell r="N2735">
            <v>-14.417999999999999</v>
          </cell>
        </row>
        <row r="2736">
          <cell r="N2736">
            <v>-7.0000000000000001E-3</v>
          </cell>
        </row>
        <row r="2737">
          <cell r="N2737">
            <v>-20.673999999999999</v>
          </cell>
        </row>
        <row r="2738">
          <cell r="N2738">
            <v>-41.347999999999999</v>
          </cell>
        </row>
        <row r="2739">
          <cell r="N2739">
            <v>-29.245999999999999</v>
          </cell>
        </row>
        <row r="2740">
          <cell r="N2740">
            <v>-29.297000000000001</v>
          </cell>
        </row>
        <row r="2741">
          <cell r="N2741">
            <v>-5</v>
          </cell>
        </row>
        <row r="2742">
          <cell r="N2742">
            <v>-32.311</v>
          </cell>
        </row>
        <row r="2743">
          <cell r="N2743">
            <v>-43.042999999999999</v>
          </cell>
        </row>
        <row r="2744">
          <cell r="N2744">
            <v>-14.91</v>
          </cell>
        </row>
        <row r="2745">
          <cell r="N2745">
            <v>-40.39</v>
          </cell>
        </row>
        <row r="2746">
          <cell r="N2746">
            <v>-8.8059999999999992</v>
          </cell>
        </row>
        <row r="2747">
          <cell r="N2747">
            <v>-1.7789999999999999</v>
          </cell>
        </row>
        <row r="2748">
          <cell r="N2748">
            <v>-28.405999999999999</v>
          </cell>
        </row>
        <row r="2749">
          <cell r="N2749">
            <v>-23.393000000000001</v>
          </cell>
        </row>
        <row r="2750">
          <cell r="N2750">
            <v>-14.409000000000001</v>
          </cell>
        </row>
        <row r="2751">
          <cell r="N2751">
            <v>-10.146000000000001</v>
          </cell>
        </row>
        <row r="2752">
          <cell r="N2752">
            <v>-43.027999999999999</v>
          </cell>
        </row>
        <row r="2753">
          <cell r="N2753">
            <v>-15.782</v>
          </cell>
        </row>
        <row r="2754">
          <cell r="N2754">
            <v>-22.039000000000001</v>
          </cell>
        </row>
        <row r="2755">
          <cell r="N2755">
            <v>-31.934999999999999</v>
          </cell>
        </row>
        <row r="2756">
          <cell r="N2756">
            <v>-38.000999999999998</v>
          </cell>
        </row>
        <row r="2757">
          <cell r="N2757">
            <v>-503.37599999999998</v>
          </cell>
        </row>
        <row r="2758">
          <cell r="N2758">
            <v>-9.6069999999999993</v>
          </cell>
        </row>
        <row r="2759">
          <cell r="N2759">
            <v>-4.2039999999999997</v>
          </cell>
        </row>
        <row r="2760">
          <cell r="N2760">
            <v>-1.673</v>
          </cell>
        </row>
        <row r="2761">
          <cell r="N2761">
            <v>-40.506999999999998</v>
          </cell>
        </row>
        <row r="2762">
          <cell r="N2762">
            <v>-40.027999999999999</v>
          </cell>
        </row>
        <row r="2763">
          <cell r="N2763">
            <v>-27.986999999999998</v>
          </cell>
        </row>
        <row r="2764">
          <cell r="N2764">
            <v>-44.024999999999999</v>
          </cell>
        </row>
        <row r="2765">
          <cell r="N2765">
            <v>-1.673</v>
          </cell>
        </row>
        <row r="2766">
          <cell r="N2766">
            <v>-11.108000000000001</v>
          </cell>
        </row>
        <row r="2767">
          <cell r="N2767">
            <v>-50.945999999999998</v>
          </cell>
        </row>
        <row r="2768">
          <cell r="N2768">
            <v>-52.869</v>
          </cell>
        </row>
        <row r="2769">
          <cell r="N2769">
            <v>-39.682000000000002</v>
          </cell>
        </row>
        <row r="2770">
          <cell r="N2770">
            <v>-27.175999999999998</v>
          </cell>
        </row>
        <row r="2771">
          <cell r="N2771">
            <v>-40.372</v>
          </cell>
        </row>
        <row r="2772">
          <cell r="N2772">
            <v>-30.984999999999999</v>
          </cell>
        </row>
        <row r="2773">
          <cell r="N2773">
            <v>-47.734999999999999</v>
          </cell>
        </row>
        <row r="2774">
          <cell r="N2774">
            <v>-2.6379999999999999</v>
          </cell>
        </row>
        <row r="2775">
          <cell r="N2775">
            <v>-11.096</v>
          </cell>
        </row>
        <row r="2776">
          <cell r="N2776">
            <v>-32.924999999999997</v>
          </cell>
        </row>
        <row r="2777">
          <cell r="N2777">
            <v>-22.623999999999999</v>
          </cell>
        </row>
        <row r="2778">
          <cell r="N2778">
            <v>-38.982999999999997</v>
          </cell>
        </row>
        <row r="2779">
          <cell r="N2779">
            <v>-37.384</v>
          </cell>
        </row>
        <row r="2780">
          <cell r="N2780">
            <v>-24.184000000000001</v>
          </cell>
        </row>
        <row r="2781">
          <cell r="N2781">
            <v>-14.552</v>
          </cell>
        </row>
        <row r="2782">
          <cell r="N2782">
            <v>-42.871000000000002</v>
          </cell>
        </row>
        <row r="2783">
          <cell r="N2783">
            <v>-42.356999999999999</v>
          </cell>
        </row>
        <row r="2784">
          <cell r="N2784">
            <v>-32.191000000000003</v>
          </cell>
        </row>
        <row r="2785">
          <cell r="N2785">
            <v>-9.7070000000000007</v>
          </cell>
        </row>
        <row r="2786">
          <cell r="N2786">
            <v>-26.039000000000001</v>
          </cell>
        </row>
        <row r="2787">
          <cell r="N2787">
            <v>-30.140999999999998</v>
          </cell>
        </row>
        <row r="2788">
          <cell r="N2788">
            <v>-23.989000000000001</v>
          </cell>
        </row>
        <row r="2789">
          <cell r="N2789">
            <v>-40.170999999999999</v>
          </cell>
        </row>
        <row r="2790">
          <cell r="N2790">
            <v>-33.856999999999999</v>
          </cell>
        </row>
        <row r="2791">
          <cell r="N2791">
            <v>-34.317</v>
          </cell>
        </row>
        <row r="2792">
          <cell r="N2792">
            <v>-18.204999999999998</v>
          </cell>
        </row>
        <row r="2793">
          <cell r="N2793">
            <v>-11.882</v>
          </cell>
        </row>
        <row r="2794">
          <cell r="N2794">
            <v>-32.651000000000003</v>
          </cell>
        </row>
        <row r="2795">
          <cell r="N2795">
            <v>-19.893999999999998</v>
          </cell>
        </row>
        <row r="2796">
          <cell r="N2796">
            <v>-15.430999999999999</v>
          </cell>
        </row>
        <row r="2797">
          <cell r="N2797">
            <v>-41.18</v>
          </cell>
        </row>
        <row r="2798">
          <cell r="N2798">
            <v>-20.381</v>
          </cell>
        </row>
        <row r="2799">
          <cell r="N2799">
            <v>-9.3620000000000001</v>
          </cell>
        </row>
        <row r="2800">
          <cell r="N2800">
            <v>-34.412999999999997</v>
          </cell>
        </row>
        <row r="2801">
          <cell r="N2801">
            <v>-1.992</v>
          </cell>
        </row>
        <row r="2802">
          <cell r="N2802">
            <v>-33.095999999999997</v>
          </cell>
        </row>
        <row r="2803">
          <cell r="N2803">
            <v>-10.775</v>
          </cell>
        </row>
        <row r="2804">
          <cell r="N2804">
            <v>-16.123999999999999</v>
          </cell>
        </row>
        <row r="2805">
          <cell r="N2805">
            <v>-9.8770000000000007</v>
          </cell>
        </row>
        <row r="2806">
          <cell r="N2806">
            <v>-25.72</v>
          </cell>
        </row>
        <row r="2807">
          <cell r="N2807">
            <v>-34.119999999999997</v>
          </cell>
        </row>
        <row r="2808">
          <cell r="N2808">
            <v>-31.834</v>
          </cell>
        </row>
        <row r="2809">
          <cell r="N2809">
            <v>-7.3049999999999997</v>
          </cell>
        </row>
        <row r="2810">
          <cell r="N2810">
            <v>-45.948</v>
          </cell>
        </row>
        <row r="2811">
          <cell r="N2811">
            <v>-25.062000000000001</v>
          </cell>
        </row>
        <row r="2812">
          <cell r="N2812">
            <v>-21.259</v>
          </cell>
        </row>
        <row r="2813">
          <cell r="N2813">
            <v>-2.0449999999999999</v>
          </cell>
        </row>
        <row r="2814">
          <cell r="N2814">
            <v>-1.5489999999999999</v>
          </cell>
        </row>
        <row r="2815">
          <cell r="N2815">
            <v>-19.795999999999999</v>
          </cell>
        </row>
        <row r="2816">
          <cell r="N2816">
            <v>-1.956</v>
          </cell>
        </row>
        <row r="2817">
          <cell r="N2817">
            <v>-13.217000000000001</v>
          </cell>
        </row>
        <row r="2818">
          <cell r="N2818">
            <v>-35.567</v>
          </cell>
        </row>
        <row r="2819">
          <cell r="N2819">
            <v>-46.893000000000001</v>
          </cell>
        </row>
        <row r="2820">
          <cell r="N2820">
            <v>-41.816000000000003</v>
          </cell>
        </row>
        <row r="2821">
          <cell r="N2821">
            <v>-28.047000000000001</v>
          </cell>
        </row>
        <row r="2822">
          <cell r="N2822">
            <v>-8.9060000000000006</v>
          </cell>
        </row>
        <row r="2823">
          <cell r="N2823">
            <v>-40.843000000000004</v>
          </cell>
        </row>
        <row r="2824">
          <cell r="N2824">
            <v>-32.863</v>
          </cell>
        </row>
        <row r="2825">
          <cell r="N2825">
            <v>-28.815000000000001</v>
          </cell>
        </row>
        <row r="2826">
          <cell r="N2826">
            <v>-9.8070000000000004</v>
          </cell>
        </row>
        <row r="2827">
          <cell r="N2827">
            <v>-46.716999999999999</v>
          </cell>
        </row>
        <row r="2828">
          <cell r="N2828">
            <v>-28.192</v>
          </cell>
        </row>
        <row r="2829">
          <cell r="N2829">
            <v>-35.317</v>
          </cell>
        </row>
        <row r="2830">
          <cell r="N2830">
            <v>-12.548999999999999</v>
          </cell>
        </row>
        <row r="2831">
          <cell r="N2831">
            <v>-15.951000000000001</v>
          </cell>
        </row>
        <row r="2832">
          <cell r="N2832">
            <v>-10.475</v>
          </cell>
        </row>
        <row r="2833">
          <cell r="N2833">
            <v>-49.968000000000004</v>
          </cell>
        </row>
        <row r="2834">
          <cell r="N2834">
            <v>-37.094999999999999</v>
          </cell>
        </row>
        <row r="2835">
          <cell r="N2835">
            <v>-12.416</v>
          </cell>
        </row>
        <row r="2836">
          <cell r="N2836">
            <v>-23.989000000000001</v>
          </cell>
        </row>
        <row r="2837">
          <cell r="N2837">
            <v>-10.407999999999999</v>
          </cell>
        </row>
        <row r="2838">
          <cell r="N2838">
            <v>-2.0179999999999998</v>
          </cell>
        </row>
        <row r="2839">
          <cell r="N2839">
            <v>-27.556999999999999</v>
          </cell>
        </row>
        <row r="2840">
          <cell r="N2840">
            <v>-34.601999999999997</v>
          </cell>
        </row>
        <row r="2841">
          <cell r="N2841">
            <v>-34.671999999999997</v>
          </cell>
        </row>
        <row r="2842">
          <cell r="N2842">
            <v>-48.061999999999998</v>
          </cell>
        </row>
        <row r="2843">
          <cell r="N2843">
            <v>-23.559000000000001</v>
          </cell>
        </row>
        <row r="2844">
          <cell r="N2844">
            <v>-42.679000000000002</v>
          </cell>
        </row>
        <row r="2845">
          <cell r="N2845">
            <v>-12.83</v>
          </cell>
        </row>
        <row r="2846">
          <cell r="N2846">
            <v>-31.382000000000001</v>
          </cell>
        </row>
        <row r="2847">
          <cell r="N2847">
            <v>-32.432000000000002</v>
          </cell>
        </row>
        <row r="2848">
          <cell r="N2848">
            <v>-16.968</v>
          </cell>
        </row>
        <row r="2849">
          <cell r="N2849">
            <v>-33.781999999999996</v>
          </cell>
        </row>
        <row r="2850">
          <cell r="N2850">
            <v>-18.146999999999998</v>
          </cell>
        </row>
        <row r="2851">
          <cell r="N2851">
            <v>-34.127000000000002</v>
          </cell>
        </row>
        <row r="2852">
          <cell r="N2852">
            <v>-19.795999999999999</v>
          </cell>
        </row>
        <row r="2853">
          <cell r="N2853">
            <v>-11.308</v>
          </cell>
        </row>
        <row r="2854">
          <cell r="N2854">
            <v>-16.286999999999999</v>
          </cell>
        </row>
        <row r="2855">
          <cell r="N2855">
            <v>-39.387999999999998</v>
          </cell>
        </row>
        <row r="2856">
          <cell r="N2856">
            <v>-30.763000000000002</v>
          </cell>
        </row>
        <row r="2857">
          <cell r="N2857">
            <v>-34.206000000000003</v>
          </cell>
        </row>
        <row r="2858">
          <cell r="N2858">
            <v>-33.429000000000002</v>
          </cell>
        </row>
        <row r="2859">
          <cell r="N2859">
            <v>-13.319000000000001</v>
          </cell>
        </row>
        <row r="2860">
          <cell r="N2860">
            <v>-3.1</v>
          </cell>
        </row>
        <row r="2861">
          <cell r="N2861">
            <v>-19.015999999999998</v>
          </cell>
        </row>
        <row r="2862">
          <cell r="N2862">
            <v>-41.515999999999998</v>
          </cell>
        </row>
        <row r="2863">
          <cell r="N2863">
            <v>-1.806</v>
          </cell>
        </row>
        <row r="2864">
          <cell r="N2864">
            <v>-12.483000000000001</v>
          </cell>
        </row>
        <row r="2865">
          <cell r="N2865">
            <v>-8.8059999999999992</v>
          </cell>
        </row>
        <row r="2866">
          <cell r="N2866">
            <v>-9.4280000000000008</v>
          </cell>
        </row>
        <row r="2867">
          <cell r="N2867">
            <v>-14.366</v>
          </cell>
        </row>
        <row r="2868">
          <cell r="N2868">
            <v>-43.832999999999998</v>
          </cell>
        </row>
        <row r="2869">
          <cell r="N2869">
            <v>-24.876999999999999</v>
          </cell>
        </row>
        <row r="2870">
          <cell r="N2870">
            <v>-1.8320000000000001</v>
          </cell>
        </row>
        <row r="2871">
          <cell r="N2871">
            <v>-8.1059999999999999</v>
          </cell>
        </row>
        <row r="2872">
          <cell r="N2872">
            <v>-41.411000000000001</v>
          </cell>
        </row>
        <row r="2873">
          <cell r="N2873">
            <v>-35.15</v>
          </cell>
        </row>
        <row r="2874">
          <cell r="N2874">
            <v>-31.599</v>
          </cell>
        </row>
        <row r="2875">
          <cell r="N2875">
            <v>-22.931000000000001</v>
          </cell>
        </row>
        <row r="2876">
          <cell r="N2876">
            <v>-16.991</v>
          </cell>
        </row>
        <row r="2877">
          <cell r="N2877">
            <v>-34.722999999999999</v>
          </cell>
        </row>
        <row r="2878">
          <cell r="N2878">
            <v>-24.696000000000002</v>
          </cell>
        </row>
        <row r="2879">
          <cell r="N2879">
            <v>-1.7609999999999999</v>
          </cell>
        </row>
        <row r="2880">
          <cell r="N2880">
            <v>-2.4159999999999999</v>
          </cell>
        </row>
        <row r="2881">
          <cell r="N2881">
            <v>-29.675999999999998</v>
          </cell>
        </row>
        <row r="2882">
          <cell r="N2882">
            <v>-25.988</v>
          </cell>
        </row>
        <row r="2883">
          <cell r="N2883">
            <v>-18.138000000000002</v>
          </cell>
        </row>
        <row r="2884">
          <cell r="N2884">
            <v>-11.096</v>
          </cell>
        </row>
        <row r="2885">
          <cell r="N2885">
            <v>-39.523000000000003</v>
          </cell>
        </row>
        <row r="2886">
          <cell r="N2886">
            <v>-37.771000000000001</v>
          </cell>
        </row>
        <row r="2887">
          <cell r="N2887">
            <v>-43.341000000000001</v>
          </cell>
        </row>
        <row r="2888">
          <cell r="N2888">
            <v>-41.758000000000003</v>
          </cell>
        </row>
        <row r="2889">
          <cell r="N2889">
            <v>-52.082000000000001</v>
          </cell>
        </row>
        <row r="2890">
          <cell r="N2890">
            <v>-35.084000000000003</v>
          </cell>
        </row>
        <row r="2891">
          <cell r="N2891">
            <v>-33.268000000000001</v>
          </cell>
        </row>
        <row r="2892">
          <cell r="N2892">
            <v>-15.62</v>
          </cell>
        </row>
        <row r="2893">
          <cell r="N2893">
            <v>-8.5060000000000002</v>
          </cell>
        </row>
        <row r="2894">
          <cell r="N2894">
            <v>-24.087</v>
          </cell>
        </row>
        <row r="2895">
          <cell r="N2895">
            <v>-49.6</v>
          </cell>
        </row>
        <row r="2896">
          <cell r="N2896">
            <v>-18.812000000000001</v>
          </cell>
        </row>
        <row r="2897">
          <cell r="N2897">
            <v>-29.760999999999999</v>
          </cell>
        </row>
        <row r="2898">
          <cell r="N2898">
            <v>-40.279000000000003</v>
          </cell>
        </row>
        <row r="2899">
          <cell r="N2899">
            <v>-14.39</v>
          </cell>
        </row>
        <row r="2900">
          <cell r="N2900">
            <v>-24.867000000000001</v>
          </cell>
        </row>
        <row r="2901">
          <cell r="N2901">
            <v>-15.308999999999999</v>
          </cell>
        </row>
        <row r="2902">
          <cell r="N2902">
            <v>-40.125</v>
          </cell>
        </row>
        <row r="2903">
          <cell r="N2903">
            <v>-20.576000000000001</v>
          </cell>
        </row>
        <row r="2904">
          <cell r="N2904">
            <v>-42.472999999999999</v>
          </cell>
        </row>
        <row r="2905">
          <cell r="N2905">
            <v>-11.962999999999999</v>
          </cell>
        </row>
        <row r="2906">
          <cell r="N2906">
            <v>-9.2070000000000007</v>
          </cell>
        </row>
        <row r="2907">
          <cell r="N2907">
            <v>-14.91</v>
          </cell>
        </row>
        <row r="2908">
          <cell r="N2908">
            <v>-32.238999999999997</v>
          </cell>
        </row>
        <row r="2909">
          <cell r="N2909">
            <v>-13.617000000000001</v>
          </cell>
        </row>
        <row r="2910">
          <cell r="N2910">
            <v>-12.122</v>
          </cell>
        </row>
        <row r="2911">
          <cell r="N2911">
            <v>-14.067</v>
          </cell>
        </row>
        <row r="2912">
          <cell r="N2912">
            <v>-15.084</v>
          </cell>
        </row>
        <row r="2913">
          <cell r="N2913">
            <v>-31.844000000000001</v>
          </cell>
        </row>
        <row r="2914">
          <cell r="N2914">
            <v>-32.07</v>
          </cell>
        </row>
        <row r="2915">
          <cell r="N2915">
            <v>-26.945</v>
          </cell>
        </row>
        <row r="2916">
          <cell r="N2916">
            <v>-6.9050000000000002</v>
          </cell>
        </row>
        <row r="2917">
          <cell r="N2917">
            <v>-40.564999999999998</v>
          </cell>
        </row>
        <row r="2918">
          <cell r="N2918">
            <v>-40.293999999999997</v>
          </cell>
        </row>
        <row r="2919">
          <cell r="N2919">
            <v>-7.61</v>
          </cell>
        </row>
        <row r="2920">
          <cell r="N2920">
            <v>-6.2750000000000004</v>
          </cell>
        </row>
        <row r="2921">
          <cell r="N2921">
            <v>-40.332000000000001</v>
          </cell>
        </row>
        <row r="2922">
          <cell r="N2922">
            <v>-2.39</v>
          </cell>
        </row>
        <row r="2923">
          <cell r="N2923">
            <v>-11.214</v>
          </cell>
        </row>
        <row r="2924">
          <cell r="N2924">
            <v>-2.2480000000000002</v>
          </cell>
        </row>
        <row r="2925">
          <cell r="N2925">
            <v>-19.600999999999999</v>
          </cell>
        </row>
        <row r="2926">
          <cell r="N2926">
            <v>-16.954999999999998</v>
          </cell>
        </row>
        <row r="2927">
          <cell r="N2927">
            <v>-34.488999999999997</v>
          </cell>
        </row>
        <row r="2928">
          <cell r="N2928">
            <v>-9.0069999999999997</v>
          </cell>
        </row>
        <row r="2929">
          <cell r="N2929">
            <v>-24.184000000000001</v>
          </cell>
        </row>
        <row r="2930">
          <cell r="N2930">
            <v>-20.283999999999999</v>
          </cell>
        </row>
        <row r="2931">
          <cell r="N2931">
            <v>-48.814999999999998</v>
          </cell>
        </row>
        <row r="2932">
          <cell r="N2932">
            <v>-31.588000000000001</v>
          </cell>
        </row>
        <row r="2933">
          <cell r="N2933">
            <v>-4.0000000000000001E-3</v>
          </cell>
        </row>
        <row r="2934">
          <cell r="N2934">
            <v>-32.753999999999998</v>
          </cell>
        </row>
        <row r="2935">
          <cell r="N2935">
            <v>-22.722000000000001</v>
          </cell>
        </row>
        <row r="2936">
          <cell r="N2936">
            <v>-1.956</v>
          </cell>
        </row>
        <row r="2937">
          <cell r="N2937">
            <v>-10.814</v>
          </cell>
        </row>
        <row r="2938">
          <cell r="N2938">
            <v>-8.7059999999999995</v>
          </cell>
        </row>
        <row r="2939">
          <cell r="N2939">
            <v>-21.161000000000001</v>
          </cell>
        </row>
        <row r="2940">
          <cell r="N2940">
            <v>-32.912999999999997</v>
          </cell>
        </row>
        <row r="2941">
          <cell r="N2941">
            <v>-14.067</v>
          </cell>
        </row>
        <row r="2942">
          <cell r="N2942">
            <v>-1.452</v>
          </cell>
        </row>
        <row r="2943">
          <cell r="N2943">
            <v>-35.686999999999998</v>
          </cell>
        </row>
        <row r="2944">
          <cell r="N2944">
            <v>-36.627000000000002</v>
          </cell>
        </row>
        <row r="2945">
          <cell r="N2945">
            <v>-10.176</v>
          </cell>
        </row>
        <row r="2946">
          <cell r="N2946">
            <v>-44.853000000000002</v>
          </cell>
        </row>
        <row r="2947">
          <cell r="N2947">
            <v>-11.081</v>
          </cell>
        </row>
        <row r="2948">
          <cell r="N2948">
            <v>-2.5489999999999999</v>
          </cell>
        </row>
        <row r="2949">
          <cell r="N2949">
            <v>-9.7460000000000004</v>
          </cell>
        </row>
        <row r="2950">
          <cell r="N2950">
            <v>-32.578000000000003</v>
          </cell>
        </row>
        <row r="2951">
          <cell r="N2951">
            <v>-16.064</v>
          </cell>
        </row>
        <row r="2952">
          <cell r="N2952">
            <v>-24.184000000000001</v>
          </cell>
        </row>
        <row r="2953">
          <cell r="N2953">
            <v>-15.218999999999999</v>
          </cell>
        </row>
        <row r="2954">
          <cell r="N2954">
            <v>-8.4060000000000006</v>
          </cell>
        </row>
        <row r="2955">
          <cell r="N2955">
            <v>-49.6</v>
          </cell>
        </row>
        <row r="2956">
          <cell r="N2956">
            <v>-38.655999999999999</v>
          </cell>
        </row>
        <row r="2957">
          <cell r="N2957">
            <v>-1.5580000000000001</v>
          </cell>
        </row>
        <row r="2958">
          <cell r="N2958">
            <v>-20.381</v>
          </cell>
        </row>
        <row r="2959">
          <cell r="N2959">
            <v>-20.283999999999999</v>
          </cell>
        </row>
        <row r="2960">
          <cell r="N2960">
            <v>-35.027999999999999</v>
          </cell>
        </row>
        <row r="2961">
          <cell r="N2961">
            <v>-10.608000000000001</v>
          </cell>
        </row>
        <row r="2962">
          <cell r="N2962">
            <v>-10.413</v>
          </cell>
        </row>
        <row r="2963">
          <cell r="N2963">
            <v>-14.151</v>
          </cell>
        </row>
        <row r="2964">
          <cell r="N2964">
            <v>-41.753999999999998</v>
          </cell>
        </row>
        <row r="2965">
          <cell r="N2965">
            <v>-26.036999999999999</v>
          </cell>
        </row>
        <row r="2966">
          <cell r="N2966">
            <v>-11.616</v>
          </cell>
        </row>
        <row r="2967">
          <cell r="N2967">
            <v>-30.01</v>
          </cell>
        </row>
        <row r="2968">
          <cell r="N2968">
            <v>-33.856999999999999</v>
          </cell>
        </row>
        <row r="2969">
          <cell r="N2969">
            <v>-37.844999999999999</v>
          </cell>
        </row>
        <row r="2970">
          <cell r="N2970">
            <v>-15.353</v>
          </cell>
        </row>
        <row r="2971">
          <cell r="N2971">
            <v>-8.3059999999999992</v>
          </cell>
        </row>
        <row r="2972">
          <cell r="N2972">
            <v>-40.18</v>
          </cell>
        </row>
        <row r="2973">
          <cell r="N2973">
            <v>-28.414000000000001</v>
          </cell>
        </row>
        <row r="2974">
          <cell r="N2974">
            <v>-35.884999999999998</v>
          </cell>
        </row>
        <row r="2975">
          <cell r="N2975">
            <v>-45.354999999999997</v>
          </cell>
        </row>
        <row r="2976">
          <cell r="N2976">
            <v>-19.532</v>
          </cell>
        </row>
        <row r="2977">
          <cell r="N2977">
            <v>-31.638999999999999</v>
          </cell>
        </row>
        <row r="2978">
          <cell r="N2978">
            <v>-11.615</v>
          </cell>
        </row>
        <row r="2979">
          <cell r="N2979">
            <v>-31.347000000000001</v>
          </cell>
        </row>
        <row r="2980">
          <cell r="N2980">
            <v>-12.683</v>
          </cell>
        </row>
        <row r="2981">
          <cell r="N2981">
            <v>-38.442999999999998</v>
          </cell>
        </row>
        <row r="2982">
          <cell r="N2982">
            <v>-32.578000000000003</v>
          </cell>
        </row>
        <row r="2983">
          <cell r="N2983">
            <v>-2.3010000000000002</v>
          </cell>
        </row>
        <row r="2984">
          <cell r="N2984">
            <v>-11.615</v>
          </cell>
        </row>
        <row r="2985">
          <cell r="N2985">
            <v>-37.228999999999999</v>
          </cell>
        </row>
        <row r="2986">
          <cell r="N2986">
            <v>-14.018000000000001</v>
          </cell>
        </row>
        <row r="2987">
          <cell r="N2987">
            <v>-30.524000000000001</v>
          </cell>
        </row>
        <row r="2988">
          <cell r="N2988">
            <v>-24.574999999999999</v>
          </cell>
        </row>
        <row r="2989">
          <cell r="N2989">
            <v>-21.454000000000001</v>
          </cell>
        </row>
        <row r="2990">
          <cell r="N2990">
            <v>-19.795999999999999</v>
          </cell>
        </row>
        <row r="2991">
          <cell r="N2991">
            <v>-1.6020000000000001</v>
          </cell>
        </row>
        <row r="2992">
          <cell r="N2992">
            <v>-15.086</v>
          </cell>
        </row>
        <row r="2993">
          <cell r="N2993">
            <v>-9.8789999999999996</v>
          </cell>
        </row>
        <row r="2994">
          <cell r="N2994">
            <v>-34.061999999999998</v>
          </cell>
        </row>
        <row r="2995">
          <cell r="N2995">
            <v>-12.122</v>
          </cell>
        </row>
        <row r="2996">
          <cell r="N2996">
            <v>-40.009</v>
          </cell>
        </row>
        <row r="2997">
          <cell r="N2997">
            <v>-35.326000000000001</v>
          </cell>
        </row>
        <row r="2998">
          <cell r="N2998">
            <v>-35.027999999999999</v>
          </cell>
        </row>
        <row r="2999">
          <cell r="N2999">
            <v>-9.8070000000000004</v>
          </cell>
        </row>
        <row r="3000">
          <cell r="N3000">
            <v>-11.108000000000001</v>
          </cell>
        </row>
        <row r="3001">
          <cell r="N3001">
            <v>-15.563000000000001</v>
          </cell>
        </row>
        <row r="3002">
          <cell r="N3002">
            <v>-39.206000000000003</v>
          </cell>
        </row>
        <row r="3003">
          <cell r="N3003">
            <v>-14.018000000000001</v>
          </cell>
        </row>
        <row r="3004">
          <cell r="N3004">
            <v>-13.35</v>
          </cell>
        </row>
        <row r="3005">
          <cell r="N3005">
            <v>-19.699000000000002</v>
          </cell>
        </row>
        <row r="3006">
          <cell r="N3006">
            <v>-3.5649999999999999</v>
          </cell>
        </row>
        <row r="3007">
          <cell r="N3007">
            <v>-17.844000000000001</v>
          </cell>
        </row>
        <row r="3008">
          <cell r="N3008">
            <v>-30.62</v>
          </cell>
        </row>
        <row r="3009">
          <cell r="N3009">
            <v>-33.781999999999996</v>
          </cell>
        </row>
        <row r="3010">
          <cell r="N3010">
            <v>-33.067999999999998</v>
          </cell>
        </row>
        <row r="3011">
          <cell r="N3011">
            <v>-24.77</v>
          </cell>
        </row>
        <row r="3012">
          <cell r="N3012">
            <v>-10.146000000000001</v>
          </cell>
        </row>
        <row r="3013">
          <cell r="N3013">
            <v>-30.140999999999998</v>
          </cell>
        </row>
        <row r="3014">
          <cell r="N3014">
            <v>-2.39</v>
          </cell>
        </row>
        <row r="3015">
          <cell r="N3015">
            <v>-13.468</v>
          </cell>
        </row>
        <row r="3016">
          <cell r="N3016">
            <v>-33.777000000000001</v>
          </cell>
        </row>
        <row r="3017">
          <cell r="N3017">
            <v>-11.208</v>
          </cell>
        </row>
        <row r="3018">
          <cell r="N3018">
            <v>-11.972</v>
          </cell>
        </row>
        <row r="3019">
          <cell r="N3019">
            <v>-26.524999999999999</v>
          </cell>
        </row>
        <row r="3020">
          <cell r="N3020">
            <v>-30.140999999999998</v>
          </cell>
        </row>
        <row r="3021">
          <cell r="N3021">
            <v>-32.067999999999998</v>
          </cell>
        </row>
        <row r="3022">
          <cell r="N3022">
            <v>-14.285</v>
          </cell>
        </row>
        <row r="3023">
          <cell r="N3023">
            <v>-1.9119999999999999</v>
          </cell>
        </row>
        <row r="3024">
          <cell r="N3024">
            <v>-11.007999999999999</v>
          </cell>
        </row>
        <row r="3025">
          <cell r="N3025">
            <v>-30.495999999999999</v>
          </cell>
        </row>
        <row r="3026">
          <cell r="N3026">
            <v>-22.527000000000001</v>
          </cell>
        </row>
        <row r="3027">
          <cell r="N3027">
            <v>-17.222000000000001</v>
          </cell>
        </row>
        <row r="3028">
          <cell r="N3028">
            <v>-25.55</v>
          </cell>
        </row>
        <row r="3029">
          <cell r="N3029">
            <v>-42.472999999999999</v>
          </cell>
        </row>
        <row r="3030">
          <cell r="N3030">
            <v>-37.363999999999997</v>
          </cell>
        </row>
        <row r="3031">
          <cell r="N3031">
            <v>-11.747999999999999</v>
          </cell>
        </row>
        <row r="3032">
          <cell r="N3032">
            <v>-51.720999999999997</v>
          </cell>
        </row>
        <row r="3033">
          <cell r="N3033">
            <v>-24.992000000000001</v>
          </cell>
        </row>
        <row r="3034">
          <cell r="N3034">
            <v>-34.127000000000002</v>
          </cell>
        </row>
        <row r="3035">
          <cell r="N3035">
            <v>-5.694</v>
          </cell>
        </row>
        <row r="3036">
          <cell r="N3036">
            <v>-32.209000000000003</v>
          </cell>
        </row>
        <row r="3037">
          <cell r="N3037">
            <v>-33.517000000000003</v>
          </cell>
        </row>
        <row r="3038">
          <cell r="N3038">
            <v>-24.77</v>
          </cell>
        </row>
        <row r="3039">
          <cell r="N3039">
            <v>-1.5580000000000001</v>
          </cell>
        </row>
        <row r="3040">
          <cell r="N3040">
            <v>-31.428999999999998</v>
          </cell>
        </row>
        <row r="3041">
          <cell r="N3041">
            <v>-19.600999999999999</v>
          </cell>
        </row>
        <row r="3042">
          <cell r="N3042">
            <v>-44.41</v>
          </cell>
        </row>
        <row r="3043">
          <cell r="N3043">
            <v>-41.328000000000003</v>
          </cell>
        </row>
        <row r="3044">
          <cell r="N3044">
            <v>-25.257000000000001</v>
          </cell>
        </row>
        <row r="3045">
          <cell r="N3045">
            <v>-2.31</v>
          </cell>
        </row>
        <row r="3046">
          <cell r="N3046">
            <v>-9.6069999999999993</v>
          </cell>
        </row>
        <row r="3047">
          <cell r="N3047">
            <v>-21.454000000000001</v>
          </cell>
        </row>
        <row r="3048">
          <cell r="N3048">
            <v>-27.765000000000001</v>
          </cell>
        </row>
        <row r="3049">
          <cell r="N3049">
            <v>-2.266</v>
          </cell>
        </row>
        <row r="3050">
          <cell r="N3050">
            <v>-30.382000000000001</v>
          </cell>
        </row>
        <row r="3051">
          <cell r="N3051">
            <v>-51.662999999999997</v>
          </cell>
        </row>
        <row r="3052">
          <cell r="N3052">
            <v>-29.43</v>
          </cell>
        </row>
        <row r="3053">
          <cell r="N3053">
            <v>-14.685</v>
          </cell>
        </row>
        <row r="3054">
          <cell r="N3054">
            <v>-27.579000000000001</v>
          </cell>
        </row>
        <row r="3055">
          <cell r="N3055">
            <v>-37.368000000000002</v>
          </cell>
        </row>
        <row r="3056">
          <cell r="N3056">
            <v>-2.54</v>
          </cell>
        </row>
        <row r="3057">
          <cell r="N3057">
            <v>-14.516</v>
          </cell>
        </row>
        <row r="3058">
          <cell r="N3058">
            <v>-30.864999999999998</v>
          </cell>
        </row>
        <row r="3059">
          <cell r="N3059">
            <v>-40.048000000000002</v>
          </cell>
        </row>
        <row r="3060">
          <cell r="N3060">
            <v>-29.43</v>
          </cell>
        </row>
        <row r="3061">
          <cell r="N3061">
            <v>-35.668999999999997</v>
          </cell>
        </row>
        <row r="3062">
          <cell r="N3062">
            <v>-10.547000000000001</v>
          </cell>
        </row>
        <row r="3063">
          <cell r="N3063">
            <v>-33.878999999999998</v>
          </cell>
        </row>
        <row r="3064">
          <cell r="N3064">
            <v>-23.891999999999999</v>
          </cell>
        </row>
        <row r="3065">
          <cell r="N3065">
            <v>-31.347000000000001</v>
          </cell>
        </row>
        <row r="3066">
          <cell r="N3066">
            <v>-12.416</v>
          </cell>
        </row>
        <row r="3067">
          <cell r="N3067">
            <v>-2.16</v>
          </cell>
        </row>
        <row r="3068">
          <cell r="N3068">
            <v>-24.672000000000001</v>
          </cell>
        </row>
        <row r="3069">
          <cell r="N3069">
            <v>-12.148999999999999</v>
          </cell>
        </row>
        <row r="3070">
          <cell r="N3070">
            <v>-10.814</v>
          </cell>
        </row>
        <row r="3071">
          <cell r="N3071">
            <v>-12.502000000000001</v>
          </cell>
        </row>
        <row r="3072">
          <cell r="N3072">
            <v>-31.783999999999999</v>
          </cell>
        </row>
        <row r="3073">
          <cell r="N3073">
            <v>-1.974</v>
          </cell>
        </row>
        <row r="3074">
          <cell r="N3074">
            <v>-14.151</v>
          </cell>
        </row>
        <row r="3075">
          <cell r="N3075">
            <v>-33.453000000000003</v>
          </cell>
        </row>
        <row r="3076">
          <cell r="N3076">
            <v>-12.148999999999999</v>
          </cell>
        </row>
        <row r="3077">
          <cell r="N3077">
            <v>-13.169</v>
          </cell>
        </row>
        <row r="3078">
          <cell r="N3078">
            <v>-23.989000000000001</v>
          </cell>
        </row>
        <row r="3079">
          <cell r="N3079">
            <v>-33.758000000000003</v>
          </cell>
        </row>
        <row r="3080">
          <cell r="N3080">
            <v>-22.623000000000001</v>
          </cell>
        </row>
        <row r="3081">
          <cell r="N3081">
            <v>-18.332999999999998</v>
          </cell>
        </row>
        <row r="3082">
          <cell r="N3082">
            <v>-21.064</v>
          </cell>
        </row>
        <row r="3083">
          <cell r="N3083">
            <v>-27.652999999999999</v>
          </cell>
        </row>
        <row r="3084">
          <cell r="N3084">
            <v>-33.585000000000001</v>
          </cell>
        </row>
        <row r="3085">
          <cell r="N3085">
            <v>-26.036999999999999</v>
          </cell>
        </row>
        <row r="3086">
          <cell r="N3086">
            <v>-25.16</v>
          </cell>
        </row>
        <row r="3087">
          <cell r="N3087">
            <v>-13.884</v>
          </cell>
        </row>
        <row r="3088">
          <cell r="N3088">
            <v>-30.984999999999999</v>
          </cell>
        </row>
        <row r="3089">
          <cell r="N3089">
            <v>-6.4420000000000002</v>
          </cell>
        </row>
        <row r="3090">
          <cell r="N3090">
            <v>-33.034999999999997</v>
          </cell>
        </row>
        <row r="3091">
          <cell r="N3091">
            <v>-19.015999999999998</v>
          </cell>
        </row>
        <row r="3092">
          <cell r="N3092">
            <v>-29.074000000000002</v>
          </cell>
        </row>
        <row r="3093">
          <cell r="N3093">
            <v>-11.821999999999999</v>
          </cell>
        </row>
        <row r="3094">
          <cell r="N3094">
            <v>-33.396000000000001</v>
          </cell>
        </row>
        <row r="3095">
          <cell r="N3095">
            <v>-9.8789999999999996</v>
          </cell>
        </row>
        <row r="3096">
          <cell r="N3096">
            <v>-1.8680000000000001</v>
          </cell>
        </row>
        <row r="3097">
          <cell r="N3097">
            <v>-12.683</v>
          </cell>
        </row>
        <row r="3098">
          <cell r="N3098">
            <v>-24.477</v>
          </cell>
        </row>
        <row r="3099">
          <cell r="N3099">
            <v>-10.413</v>
          </cell>
        </row>
        <row r="3100">
          <cell r="N3100">
            <v>-18.041</v>
          </cell>
        </row>
        <row r="3101">
          <cell r="N3101">
            <v>-33.587000000000003</v>
          </cell>
        </row>
        <row r="3102">
          <cell r="N3102">
            <v>-10.814</v>
          </cell>
        </row>
        <row r="3103">
          <cell r="N3103">
            <v>-0.749</v>
          </cell>
        </row>
        <row r="3104">
          <cell r="N3104">
            <v>-2.1709999999999998</v>
          </cell>
        </row>
        <row r="3105">
          <cell r="N3105">
            <v>-2.7469999999999999</v>
          </cell>
        </row>
        <row r="3106">
          <cell r="N3106">
            <v>-0.63500000000000001</v>
          </cell>
        </row>
        <row r="3107">
          <cell r="N3107">
            <v>-1.19</v>
          </cell>
        </row>
        <row r="3108">
          <cell r="N3108">
            <v>-0.17799999999999999</v>
          </cell>
        </row>
        <row r="3109">
          <cell r="N3109">
            <v>-2.5209999999999999</v>
          </cell>
        </row>
        <row r="3110">
          <cell r="N3110">
            <v>-7.798</v>
          </cell>
        </row>
        <row r="3111">
          <cell r="N3111">
            <v>-29.9</v>
          </cell>
        </row>
        <row r="3112">
          <cell r="N3112">
            <v>-13.217000000000001</v>
          </cell>
        </row>
        <row r="3113">
          <cell r="N3113">
            <v>-5.0410000000000004</v>
          </cell>
        </row>
        <row r="3114">
          <cell r="N3114">
            <v>-31.096</v>
          </cell>
        </row>
        <row r="3115">
          <cell r="N3115">
            <v>-8.5500000000000007</v>
          </cell>
        </row>
        <row r="3116">
          <cell r="N3116">
            <v>-1.8320000000000001</v>
          </cell>
        </row>
        <row r="3117">
          <cell r="N3117">
            <v>-8.0980000000000008</v>
          </cell>
        </row>
        <row r="3118">
          <cell r="N3118">
            <v>-13.019</v>
          </cell>
        </row>
        <row r="3119">
          <cell r="N3119">
            <v>-24.321999999999999</v>
          </cell>
        </row>
        <row r="3120">
          <cell r="N3120">
            <v>-2.2869999999999999</v>
          </cell>
        </row>
        <row r="3121">
          <cell r="N3121">
            <v>-1.143</v>
          </cell>
        </row>
        <row r="3122">
          <cell r="N3122">
            <v>-2.1150000000000002</v>
          </cell>
        </row>
        <row r="3123">
          <cell r="N3123">
            <v>-9.6120000000000001</v>
          </cell>
        </row>
        <row r="3124">
          <cell r="N3124">
            <v>-33.31</v>
          </cell>
        </row>
        <row r="3125">
          <cell r="N3125">
            <v>-10.946999999999999</v>
          </cell>
        </row>
        <row r="3126">
          <cell r="N3126">
            <v>-19.991</v>
          </cell>
        </row>
        <row r="3127">
          <cell r="N3127">
            <v>-12.683</v>
          </cell>
        </row>
        <row r="3128">
          <cell r="N3128">
            <v>-12.72</v>
          </cell>
        </row>
        <row r="3129">
          <cell r="N3129">
            <v>-4.3739999999999997</v>
          </cell>
        </row>
        <row r="3130">
          <cell r="N3130">
            <v>-2.5209999999999999</v>
          </cell>
        </row>
        <row r="3131">
          <cell r="N3131">
            <v>-1.5580000000000001</v>
          </cell>
        </row>
        <row r="3132">
          <cell r="N3132">
            <v>-30.03</v>
          </cell>
        </row>
        <row r="3133">
          <cell r="N3133">
            <v>-3.7160000000000002</v>
          </cell>
        </row>
        <row r="3134">
          <cell r="N3134">
            <v>-20.367999999999999</v>
          </cell>
        </row>
        <row r="3135">
          <cell r="N3135">
            <v>-13.750999999999999</v>
          </cell>
        </row>
        <row r="3136">
          <cell r="N3136">
            <v>-14.151</v>
          </cell>
        </row>
        <row r="3137">
          <cell r="N3137">
            <v>-32.921999999999997</v>
          </cell>
        </row>
        <row r="3138">
          <cell r="N3138">
            <v>-28.875</v>
          </cell>
        </row>
        <row r="3139">
          <cell r="N3139">
            <v>-2.496</v>
          </cell>
        </row>
        <row r="3140">
          <cell r="N3140">
            <v>-2.2869999999999999</v>
          </cell>
        </row>
        <row r="3141">
          <cell r="N3141">
            <v>-28.73</v>
          </cell>
        </row>
        <row r="3142">
          <cell r="N3142">
            <v>-20.402999999999999</v>
          </cell>
        </row>
        <row r="3143">
          <cell r="N3143">
            <v>-35.317</v>
          </cell>
        </row>
        <row r="3144">
          <cell r="N3144">
            <v>-1.6459999999999999</v>
          </cell>
        </row>
        <row r="3145">
          <cell r="N3145">
            <v>-0.20399999999999999</v>
          </cell>
        </row>
        <row r="3146">
          <cell r="N3146">
            <v>-33.448999999999998</v>
          </cell>
        </row>
        <row r="3147">
          <cell r="N3147">
            <v>-3.0710000000000002</v>
          </cell>
        </row>
        <row r="3148">
          <cell r="N3148">
            <v>-3.1230000000000002</v>
          </cell>
        </row>
        <row r="3149">
          <cell r="N3149">
            <v>-12.816000000000001</v>
          </cell>
        </row>
        <row r="3150">
          <cell r="N3150">
            <v>-16.02</v>
          </cell>
        </row>
        <row r="3151">
          <cell r="N3151">
            <v>-34.837000000000003</v>
          </cell>
        </row>
        <row r="3152">
          <cell r="N3152">
            <v>-12.015000000000001</v>
          </cell>
        </row>
        <row r="3153">
          <cell r="N3153">
            <v>-35.058999999999997</v>
          </cell>
        </row>
        <row r="3154">
          <cell r="N3154">
            <v>-11.523</v>
          </cell>
        </row>
        <row r="3155">
          <cell r="N3155">
            <v>-10.141999999999999</v>
          </cell>
        </row>
        <row r="3156">
          <cell r="N3156">
            <v>-25.062000000000001</v>
          </cell>
        </row>
        <row r="3157">
          <cell r="N3157">
            <v>-20.381</v>
          </cell>
        </row>
        <row r="3158">
          <cell r="N3158">
            <v>-33.585000000000001</v>
          </cell>
        </row>
        <row r="3159">
          <cell r="N3159">
            <v>-3.7170000000000001</v>
          </cell>
        </row>
        <row r="3160">
          <cell r="N3160">
            <v>-2.137</v>
          </cell>
        </row>
        <row r="3161">
          <cell r="N3161">
            <v>-4.0129999999999999</v>
          </cell>
        </row>
        <row r="3162">
          <cell r="N3162">
            <v>-33.651000000000003</v>
          </cell>
        </row>
        <row r="3163">
          <cell r="N3163">
            <v>-14.819000000000001</v>
          </cell>
        </row>
        <row r="3164">
          <cell r="N3164">
            <v>-1.0999999999999999E-2</v>
          </cell>
        </row>
        <row r="3165">
          <cell r="N3165">
            <v>-15.407999999999999</v>
          </cell>
        </row>
        <row r="3166">
          <cell r="N3166">
            <v>-12.72</v>
          </cell>
        </row>
        <row r="3167">
          <cell r="N3167">
            <v>-4.7320000000000002</v>
          </cell>
        </row>
        <row r="3168">
          <cell r="N3168">
            <v>-5.5739999999999998</v>
          </cell>
        </row>
        <row r="3169">
          <cell r="N3169">
            <v>-2.4430000000000001</v>
          </cell>
        </row>
        <row r="3170">
          <cell r="N3170">
            <v>-14.685</v>
          </cell>
        </row>
        <row r="3171">
          <cell r="N3171">
            <v>-35.65</v>
          </cell>
        </row>
        <row r="3172">
          <cell r="N3172">
            <v>-8.8109999999999999</v>
          </cell>
        </row>
        <row r="3173">
          <cell r="N3173">
            <v>-35.301000000000002</v>
          </cell>
        </row>
        <row r="3174">
          <cell r="N3174">
            <v>-29.875</v>
          </cell>
        </row>
        <row r="3175">
          <cell r="N3175">
            <v>-24.477</v>
          </cell>
        </row>
        <row r="3176">
          <cell r="N3176">
            <v>-2.319</v>
          </cell>
        </row>
        <row r="3177">
          <cell r="N3177">
            <v>-3.242</v>
          </cell>
        </row>
        <row r="3178">
          <cell r="N3178">
            <v>-10.837</v>
          </cell>
        </row>
        <row r="3179">
          <cell r="N3179">
            <v>-26.036999999999999</v>
          </cell>
        </row>
        <row r="3180">
          <cell r="N3180">
            <v>-25.21</v>
          </cell>
        </row>
        <row r="3181">
          <cell r="N3181">
            <v>-45.524000000000001</v>
          </cell>
        </row>
        <row r="3182">
          <cell r="N3182">
            <v>-12.148999999999999</v>
          </cell>
        </row>
        <row r="3183">
          <cell r="N3183">
            <v>-19.309000000000001</v>
          </cell>
        </row>
        <row r="3184">
          <cell r="N3184">
            <v>-43.997999999999998</v>
          </cell>
        </row>
        <row r="3185">
          <cell r="N3185">
            <v>-2.1640000000000001</v>
          </cell>
        </row>
        <row r="3186">
          <cell r="N3186">
            <v>-30.812000000000001</v>
          </cell>
        </row>
        <row r="3187">
          <cell r="N3187">
            <v>-1.4079999999999999</v>
          </cell>
        </row>
        <row r="3188">
          <cell r="N3188">
            <v>-11.615</v>
          </cell>
        </row>
        <row r="3189">
          <cell r="N3189">
            <v>-34.442999999999998</v>
          </cell>
        </row>
        <row r="3190">
          <cell r="N3190">
            <v>-21.649000000000001</v>
          </cell>
        </row>
        <row r="3191">
          <cell r="N3191">
            <v>-2.3540000000000001</v>
          </cell>
        </row>
        <row r="3192">
          <cell r="N3192">
            <v>-24.282</v>
          </cell>
        </row>
        <row r="3193">
          <cell r="N3193">
            <v>-9.4789999999999992</v>
          </cell>
        </row>
        <row r="3194">
          <cell r="N3194">
            <v>-32.311</v>
          </cell>
        </row>
        <row r="3195">
          <cell r="N3195">
            <v>-16.420999999999999</v>
          </cell>
        </row>
        <row r="3196">
          <cell r="N3196">
            <v>-45.941000000000003</v>
          </cell>
        </row>
        <row r="3197">
          <cell r="N3197">
            <v>-32.429000000000002</v>
          </cell>
        </row>
        <row r="3198">
          <cell r="N3198">
            <v>-16.954999999999998</v>
          </cell>
        </row>
        <row r="3199">
          <cell r="N3199">
            <v>-11.217000000000001</v>
          </cell>
        </row>
        <row r="3200">
          <cell r="N3200">
            <v>-21.454000000000001</v>
          </cell>
        </row>
        <row r="3201">
          <cell r="N3201">
            <v>-29.940999999999999</v>
          </cell>
        </row>
        <row r="3202">
          <cell r="N3202">
            <v>-8.1709999999999994</v>
          </cell>
        </row>
        <row r="3203">
          <cell r="N3203">
            <v>-32.207000000000001</v>
          </cell>
        </row>
        <row r="3204">
          <cell r="N3204">
            <v>-29.538</v>
          </cell>
        </row>
        <row r="3205">
          <cell r="N3205">
            <v>-35.084000000000003</v>
          </cell>
        </row>
        <row r="3206">
          <cell r="N3206">
            <v>-25.257000000000001</v>
          </cell>
        </row>
        <row r="3207">
          <cell r="N3207">
            <v>-6.327</v>
          </cell>
        </row>
        <row r="3208">
          <cell r="N3208">
            <v>-28.789000000000001</v>
          </cell>
        </row>
        <row r="3209">
          <cell r="N3209">
            <v>-32.54</v>
          </cell>
        </row>
        <row r="3210">
          <cell r="N3210">
            <v>-12.015000000000001</v>
          </cell>
        </row>
        <row r="3211">
          <cell r="N3211">
            <v>-11.615</v>
          </cell>
        </row>
        <row r="3212">
          <cell r="N3212">
            <v>-28.097999999999999</v>
          </cell>
        </row>
        <row r="3213">
          <cell r="N3213">
            <v>-0.80800000000000005</v>
          </cell>
        </row>
        <row r="3214">
          <cell r="N3214">
            <v>-1.6E-2</v>
          </cell>
        </row>
        <row r="3215">
          <cell r="N3215">
            <v>-30.327999999999999</v>
          </cell>
        </row>
        <row r="3216">
          <cell r="N3216">
            <v>-2.452</v>
          </cell>
        </row>
        <row r="3217">
          <cell r="N3217">
            <v>-22.645</v>
          </cell>
        </row>
        <row r="3218">
          <cell r="N3218">
            <v>-20.869</v>
          </cell>
        </row>
        <row r="3219">
          <cell r="N3219">
            <v>-27.402999999999999</v>
          </cell>
        </row>
        <row r="3220">
          <cell r="N3220">
            <v>-15.246</v>
          </cell>
        </row>
        <row r="3221">
          <cell r="N3221">
            <v>-32.095999999999997</v>
          </cell>
        </row>
        <row r="3222">
          <cell r="N3222">
            <v>-8.56</v>
          </cell>
        </row>
        <row r="3223">
          <cell r="N3223">
            <v>-15.114000000000001</v>
          </cell>
        </row>
        <row r="3224">
          <cell r="N3224">
            <v>-25.988</v>
          </cell>
        </row>
        <row r="3225">
          <cell r="N3225">
            <v>-12.282</v>
          </cell>
        </row>
        <row r="3226">
          <cell r="N3226">
            <v>-11.72</v>
          </cell>
        </row>
        <row r="3227">
          <cell r="N3227">
            <v>-12.891999999999999</v>
          </cell>
        </row>
        <row r="3228">
          <cell r="N3228">
            <v>-2.6640000000000001</v>
          </cell>
        </row>
        <row r="3229">
          <cell r="N3229">
            <v>-6</v>
          </cell>
        </row>
        <row r="3230">
          <cell r="N3230">
            <v>-15.114000000000001</v>
          </cell>
        </row>
        <row r="3231">
          <cell r="N3231">
            <v>-24.210999999999999</v>
          </cell>
        </row>
        <row r="3232">
          <cell r="N3232">
            <v>-40.944000000000003</v>
          </cell>
        </row>
        <row r="3233">
          <cell r="N3233">
            <v>-15.353</v>
          </cell>
        </row>
        <row r="3234">
          <cell r="N3234">
            <v>-13.884</v>
          </cell>
        </row>
        <row r="3235">
          <cell r="N3235">
            <v>-25.55</v>
          </cell>
        </row>
        <row r="3236">
          <cell r="N3236">
            <v>-19.657</v>
          </cell>
        </row>
        <row r="3237">
          <cell r="N3237">
            <v>-32.552999999999997</v>
          </cell>
        </row>
        <row r="3238">
          <cell r="N3238">
            <v>-12.074999999999999</v>
          </cell>
        </row>
        <row r="3239">
          <cell r="N3239">
            <v>-31.428999999999998</v>
          </cell>
        </row>
        <row r="3240">
          <cell r="N3240">
            <v>-2.496</v>
          </cell>
        </row>
        <row r="3241">
          <cell r="N3241">
            <v>-31.541</v>
          </cell>
        </row>
        <row r="3242">
          <cell r="N3242">
            <v>-24.477</v>
          </cell>
        </row>
        <row r="3243">
          <cell r="N3243">
            <v>-11.523</v>
          </cell>
        </row>
        <row r="3244">
          <cell r="N3244">
            <v>-30.873999999999999</v>
          </cell>
        </row>
        <row r="3245">
          <cell r="N3245">
            <v>-26.795999999999999</v>
          </cell>
        </row>
        <row r="3246">
          <cell r="N3246">
            <v>-20.125</v>
          </cell>
        </row>
        <row r="3247">
          <cell r="N3247">
            <v>-31.207000000000001</v>
          </cell>
        </row>
        <row r="3248">
          <cell r="N3248">
            <v>-27.402999999999999</v>
          </cell>
        </row>
        <row r="3249">
          <cell r="N3249">
            <v>-27.207999999999998</v>
          </cell>
        </row>
        <row r="3250">
          <cell r="N3250">
            <v>-22.722000000000001</v>
          </cell>
        </row>
        <row r="3251">
          <cell r="N3251">
            <v>-13.083</v>
          </cell>
        </row>
        <row r="3252">
          <cell r="N3252">
            <v>-25.55</v>
          </cell>
        </row>
        <row r="3253">
          <cell r="N3253">
            <v>-15.887</v>
          </cell>
        </row>
        <row r="3254">
          <cell r="N3254">
            <v>-38.029000000000003</v>
          </cell>
        </row>
        <row r="3255">
          <cell r="N3255">
            <v>-30.43</v>
          </cell>
        </row>
        <row r="3256">
          <cell r="N3256">
            <v>-11.214</v>
          </cell>
        </row>
        <row r="3257">
          <cell r="N3257">
            <v>-16.760999999999999</v>
          </cell>
        </row>
        <row r="3258">
          <cell r="N3258">
            <v>-26.21</v>
          </cell>
        </row>
        <row r="3259">
          <cell r="N3259">
            <v>-39.834000000000003</v>
          </cell>
        </row>
        <row r="3260">
          <cell r="N3260">
            <v>-30.43</v>
          </cell>
        </row>
        <row r="3261">
          <cell r="N3261">
            <v>-30.097000000000001</v>
          </cell>
        </row>
        <row r="3262">
          <cell r="N3262">
            <v>-21.064</v>
          </cell>
        </row>
        <row r="3263">
          <cell r="N3263">
            <v>-31.010999999999999</v>
          </cell>
        </row>
        <row r="3264">
          <cell r="N3264">
            <v>-21.356000000000002</v>
          </cell>
        </row>
        <row r="3265">
          <cell r="N3265">
            <v>-4</v>
          </cell>
        </row>
        <row r="3266">
          <cell r="N3266">
            <v>-5</v>
          </cell>
        </row>
        <row r="3267">
          <cell r="N3267">
            <v>-9.1809999999999992</v>
          </cell>
        </row>
        <row r="3268">
          <cell r="N3268">
            <v>-12.808999999999999</v>
          </cell>
        </row>
        <row r="3269">
          <cell r="N3269">
            <v>-20.771000000000001</v>
          </cell>
        </row>
        <row r="3270">
          <cell r="N3270">
            <v>-2.266</v>
          </cell>
        </row>
        <row r="3271">
          <cell r="N3271">
            <v>-2.2839999999999998</v>
          </cell>
        </row>
        <row r="3272">
          <cell r="N3272">
            <v>-28.815000000000001</v>
          </cell>
        </row>
        <row r="3273">
          <cell r="N3273">
            <v>-10.28</v>
          </cell>
        </row>
        <row r="3274">
          <cell r="N3274">
            <v>-29.353000000000002</v>
          </cell>
        </row>
        <row r="3275">
          <cell r="N3275">
            <v>-29.256</v>
          </cell>
        </row>
        <row r="3276">
          <cell r="N3276">
            <v>-22.645</v>
          </cell>
        </row>
        <row r="3277">
          <cell r="N3277">
            <v>-2.5230000000000001</v>
          </cell>
        </row>
        <row r="3278">
          <cell r="N3278">
            <v>-24.965</v>
          </cell>
        </row>
        <row r="3279">
          <cell r="N3279">
            <v>-26.321000000000002</v>
          </cell>
        </row>
        <row r="3280">
          <cell r="N3280">
            <v>-9.6120000000000001</v>
          </cell>
        </row>
        <row r="3281">
          <cell r="N3281">
            <v>-24.867000000000001</v>
          </cell>
        </row>
        <row r="3282">
          <cell r="N3282">
            <v>-18.597999999999999</v>
          </cell>
        </row>
        <row r="3283">
          <cell r="N3283">
            <v>-30.231000000000002</v>
          </cell>
        </row>
        <row r="3284">
          <cell r="N3284">
            <v>-2.2749999999999999</v>
          </cell>
        </row>
        <row r="3285">
          <cell r="N3285">
            <v>-39.834000000000003</v>
          </cell>
        </row>
        <row r="3286">
          <cell r="N3286">
            <v>-6.8570000000000002</v>
          </cell>
        </row>
        <row r="3287">
          <cell r="N3287">
            <v>-28.28</v>
          </cell>
        </row>
        <row r="3288">
          <cell r="N3288">
            <v>-25.745000000000001</v>
          </cell>
        </row>
        <row r="3289">
          <cell r="N3289">
            <v>-11.882</v>
          </cell>
        </row>
        <row r="3290">
          <cell r="N3290">
            <v>-33.585000000000001</v>
          </cell>
        </row>
        <row r="3291">
          <cell r="N3291">
            <v>-28.431000000000001</v>
          </cell>
        </row>
        <row r="3292">
          <cell r="N3292">
            <v>-11.747999999999999</v>
          </cell>
        </row>
        <row r="3293">
          <cell r="N3293">
            <v>-20.381</v>
          </cell>
        </row>
        <row r="3294">
          <cell r="N3294">
            <v>-34.427999999999997</v>
          </cell>
        </row>
        <row r="3295">
          <cell r="N3295">
            <v>-31.207000000000001</v>
          </cell>
        </row>
        <row r="3296">
          <cell r="N3296">
            <v>-29.437999999999999</v>
          </cell>
        </row>
        <row r="3297">
          <cell r="N3297">
            <v>-27.209</v>
          </cell>
        </row>
        <row r="3298">
          <cell r="N3298">
            <v>-19.600999999999999</v>
          </cell>
        </row>
        <row r="3299">
          <cell r="N3299">
            <v>-29.702000000000002</v>
          </cell>
        </row>
        <row r="3300">
          <cell r="N3300">
            <v>-27.876000000000001</v>
          </cell>
        </row>
        <row r="3301">
          <cell r="N3301">
            <v>-29.69</v>
          </cell>
        </row>
        <row r="3302">
          <cell r="N3302">
            <v>-0.46899999999999997</v>
          </cell>
        </row>
        <row r="3303">
          <cell r="N3303">
            <v>-33.54</v>
          </cell>
        </row>
        <row r="3304">
          <cell r="N3304">
            <v>-14.285</v>
          </cell>
        </row>
        <row r="3305">
          <cell r="N3305">
            <v>-9.8789999999999996</v>
          </cell>
        </row>
        <row r="3306">
          <cell r="N3306">
            <v>-10.923999999999999</v>
          </cell>
        </row>
        <row r="3307">
          <cell r="N3307">
            <v>-35.808999999999997</v>
          </cell>
        </row>
        <row r="3308">
          <cell r="N3308">
            <v>-13.653</v>
          </cell>
        </row>
        <row r="3309">
          <cell r="N3309">
            <v>-18.138000000000002</v>
          </cell>
        </row>
        <row r="3310">
          <cell r="N3310">
            <v>-32.793999999999997</v>
          </cell>
        </row>
        <row r="3311">
          <cell r="N3311">
            <v>-23.891999999999999</v>
          </cell>
        </row>
        <row r="3312">
          <cell r="N3312">
            <v>-9.0779999999999994</v>
          </cell>
        </row>
        <row r="3313">
          <cell r="N3313">
            <v>-2E-3</v>
          </cell>
        </row>
        <row r="3314">
          <cell r="N3314">
            <v>-31.984999999999999</v>
          </cell>
        </row>
        <row r="3315">
          <cell r="N3315">
            <v>-12.416</v>
          </cell>
        </row>
        <row r="3316">
          <cell r="N3316">
            <v>-9.7460000000000004</v>
          </cell>
        </row>
        <row r="3317">
          <cell r="N3317">
            <v>-2.4340000000000002</v>
          </cell>
        </row>
        <row r="3318">
          <cell r="N3318">
            <v>-29.251999999999999</v>
          </cell>
        </row>
        <row r="3319">
          <cell r="N3319">
            <v>-33.585000000000001</v>
          </cell>
        </row>
        <row r="3320">
          <cell r="N3320">
            <v>-22.818999999999999</v>
          </cell>
        </row>
        <row r="3321">
          <cell r="N3321">
            <v>-20.673999999999999</v>
          </cell>
        </row>
        <row r="3322">
          <cell r="N3322">
            <v>-10.814</v>
          </cell>
        </row>
        <row r="3323">
          <cell r="N3323">
            <v>-28.875</v>
          </cell>
        </row>
        <row r="3324">
          <cell r="N3324">
            <v>-25.431999999999999</v>
          </cell>
        </row>
        <row r="3325">
          <cell r="N3325">
            <v>-43.026000000000003</v>
          </cell>
        </row>
        <row r="3326">
          <cell r="N3326">
            <v>-9.8789999999999996</v>
          </cell>
        </row>
        <row r="3327">
          <cell r="N3327">
            <v>-33.83</v>
          </cell>
        </row>
        <row r="3328">
          <cell r="N3328">
            <v>-38.167999999999999</v>
          </cell>
        </row>
        <row r="3329">
          <cell r="N3329">
            <v>-15.414</v>
          </cell>
        </row>
        <row r="3330">
          <cell r="N3330">
            <v>-1.34</v>
          </cell>
        </row>
        <row r="3331">
          <cell r="N3331">
            <v>-11.523</v>
          </cell>
        </row>
        <row r="3332">
          <cell r="N3332">
            <v>-29.995000000000001</v>
          </cell>
        </row>
        <row r="3333">
          <cell r="N3333">
            <v>-24.574999999999999</v>
          </cell>
        </row>
        <row r="3334">
          <cell r="N3334">
            <v>-8.4109999999999996</v>
          </cell>
        </row>
        <row r="3335">
          <cell r="N3335">
            <v>-21.942</v>
          </cell>
        </row>
        <row r="3336">
          <cell r="N3336">
            <v>-12.542999999999999</v>
          </cell>
        </row>
        <row r="3337">
          <cell r="N3337">
            <v>-11.481</v>
          </cell>
        </row>
        <row r="3338">
          <cell r="N3338">
            <v>-13.884</v>
          </cell>
        </row>
        <row r="3339">
          <cell r="N3339">
            <v>-12.816000000000001</v>
          </cell>
        </row>
        <row r="3340">
          <cell r="N3340">
            <v>-19.603999999999999</v>
          </cell>
        </row>
        <row r="3341">
          <cell r="N3341">
            <v>-14.07</v>
          </cell>
        </row>
        <row r="3342">
          <cell r="N3342">
            <v>-14.018000000000001</v>
          </cell>
        </row>
        <row r="3343">
          <cell r="N3343">
            <v>-45.371000000000002</v>
          </cell>
        </row>
        <row r="3344">
          <cell r="N3344">
            <v>-11.973000000000001</v>
          </cell>
        </row>
        <row r="3345">
          <cell r="N3345">
            <v>-10.547000000000001</v>
          </cell>
        </row>
        <row r="3346">
          <cell r="N3346">
            <v>-15.510999999999999</v>
          </cell>
        </row>
        <row r="3347">
          <cell r="N3347">
            <v>-7.875</v>
          </cell>
        </row>
        <row r="3348">
          <cell r="N3348">
            <v>-21.443000000000001</v>
          </cell>
        </row>
        <row r="3349">
          <cell r="N3349">
            <v>-24.988</v>
          </cell>
        </row>
        <row r="3350">
          <cell r="N3350">
            <v>-6.3719999999999999</v>
          </cell>
        </row>
        <row r="3351">
          <cell r="N3351">
            <v>-33.048000000000002</v>
          </cell>
        </row>
        <row r="3352">
          <cell r="N3352">
            <v>-31.763000000000002</v>
          </cell>
        </row>
        <row r="3353">
          <cell r="N3353">
            <v>-30.318999999999999</v>
          </cell>
        </row>
        <row r="3354">
          <cell r="N3354">
            <v>-16.420999999999999</v>
          </cell>
        </row>
        <row r="3355">
          <cell r="N3355">
            <v>-27.431000000000001</v>
          </cell>
        </row>
        <row r="3356">
          <cell r="N3356">
            <v>-26.914999999999999</v>
          </cell>
        </row>
        <row r="3357">
          <cell r="N3357">
            <v>-34.688000000000002</v>
          </cell>
        </row>
        <row r="3358">
          <cell r="N3358">
            <v>-33.429000000000002</v>
          </cell>
        </row>
        <row r="3359">
          <cell r="N3359">
            <v>-16.154</v>
          </cell>
        </row>
        <row r="3360">
          <cell r="N3360">
            <v>-12.71</v>
          </cell>
        </row>
        <row r="3361">
          <cell r="N3361">
            <v>-31.763000000000002</v>
          </cell>
        </row>
        <row r="3362">
          <cell r="N3362">
            <v>-27.988</v>
          </cell>
        </row>
        <row r="3363">
          <cell r="N3363">
            <v>-33.341999999999999</v>
          </cell>
        </row>
        <row r="3364">
          <cell r="N3364">
            <v>-16.611000000000001</v>
          </cell>
        </row>
        <row r="3365">
          <cell r="N3365">
            <v>-28.768000000000001</v>
          </cell>
        </row>
        <row r="3366">
          <cell r="N3366">
            <v>-18.096</v>
          </cell>
        </row>
        <row r="3367">
          <cell r="N3367">
            <v>-40.33</v>
          </cell>
        </row>
        <row r="3368">
          <cell r="N3368">
            <v>-34.539000000000001</v>
          </cell>
        </row>
        <row r="3369">
          <cell r="N3369">
            <v>-9.4789999999999992</v>
          </cell>
        </row>
        <row r="3370">
          <cell r="N3370">
            <v>-26.135000000000002</v>
          </cell>
        </row>
        <row r="3371">
          <cell r="N3371">
            <v>-36.555</v>
          </cell>
        </row>
        <row r="3372">
          <cell r="N3372">
            <v>-28.209</v>
          </cell>
        </row>
        <row r="3373">
          <cell r="N3373">
            <v>-39.927</v>
          </cell>
        </row>
        <row r="3374">
          <cell r="N3374">
            <v>-9.3450000000000006</v>
          </cell>
        </row>
        <row r="3375">
          <cell r="N3375">
            <v>-12.015000000000001</v>
          </cell>
        </row>
        <row r="3376">
          <cell r="N3376">
            <v>-37.094999999999999</v>
          </cell>
        </row>
        <row r="3377">
          <cell r="N3377">
            <v>-34.075000000000003</v>
          </cell>
        </row>
        <row r="3378">
          <cell r="N3378">
            <v>-3.923</v>
          </cell>
        </row>
        <row r="3379">
          <cell r="N3379">
            <v>-39.698999999999998</v>
          </cell>
        </row>
        <row r="3380">
          <cell r="N3380">
            <v>-27.32</v>
          </cell>
        </row>
        <row r="3381">
          <cell r="N3381">
            <v>-31.791</v>
          </cell>
        </row>
        <row r="3382">
          <cell r="N3382">
            <v>-29.541</v>
          </cell>
        </row>
        <row r="3383">
          <cell r="N3383">
            <v>-18.256</v>
          </cell>
        </row>
        <row r="3384">
          <cell r="N3384">
            <v>-32.651000000000003</v>
          </cell>
        </row>
        <row r="3385">
          <cell r="N3385">
            <v>-35.427999999999997</v>
          </cell>
        </row>
        <row r="3386">
          <cell r="N3386">
            <v>-6.2709999999999999</v>
          </cell>
        </row>
        <row r="3387">
          <cell r="N3387">
            <v>-13.569000000000001</v>
          </cell>
        </row>
        <row r="3388">
          <cell r="N3388">
            <v>-4.9059999999999997</v>
          </cell>
        </row>
        <row r="3389">
          <cell r="N3389">
            <v>-6.2690000000000001</v>
          </cell>
        </row>
        <row r="3390">
          <cell r="N3390">
            <v>-36.482999999999997</v>
          </cell>
        </row>
        <row r="3391">
          <cell r="N3391">
            <v>-11.081</v>
          </cell>
        </row>
        <row r="3392">
          <cell r="N3392">
            <v>-5.2380000000000004</v>
          </cell>
        </row>
        <row r="3393">
          <cell r="N3393">
            <v>-42.49</v>
          </cell>
        </row>
        <row r="3394">
          <cell r="N3394">
            <v>-36.69</v>
          </cell>
        </row>
        <row r="3395">
          <cell r="N3395">
            <v>-15.486000000000001</v>
          </cell>
        </row>
        <row r="3396">
          <cell r="N3396">
            <v>-18.762</v>
          </cell>
        </row>
        <row r="3397">
          <cell r="N3397">
            <v>-8.6780000000000008</v>
          </cell>
        </row>
        <row r="3398">
          <cell r="N3398">
            <v>-25.062000000000001</v>
          </cell>
        </row>
        <row r="3399">
          <cell r="N3399">
            <v>-9.2119999999999997</v>
          </cell>
        </row>
        <row r="3400">
          <cell r="N3400">
            <v>-37.262</v>
          </cell>
        </row>
        <row r="3401">
          <cell r="N3401">
            <v>-33.585000000000001</v>
          </cell>
        </row>
        <row r="3402">
          <cell r="N3402">
            <v>-32.238999999999997</v>
          </cell>
        </row>
        <row r="3403">
          <cell r="N3403">
            <v>-9.6120000000000001</v>
          </cell>
        </row>
        <row r="3404">
          <cell r="N3404">
            <v>-41.045000000000002</v>
          </cell>
        </row>
        <row r="3405">
          <cell r="N3405">
            <v>-24.574999999999999</v>
          </cell>
        </row>
        <row r="3406">
          <cell r="N3406">
            <v>-33.094999999999999</v>
          </cell>
        </row>
        <row r="3407">
          <cell r="N3407">
            <v>-30.541</v>
          </cell>
        </row>
        <row r="3408">
          <cell r="N3408">
            <v>-26.876000000000001</v>
          </cell>
        </row>
        <row r="3409">
          <cell r="N3409">
            <v>-30.652000000000001</v>
          </cell>
        </row>
        <row r="3410">
          <cell r="N3410">
            <v>-3.8239999999999998</v>
          </cell>
        </row>
        <row r="3411">
          <cell r="N3411">
            <v>-29.318999999999999</v>
          </cell>
        </row>
        <row r="3412">
          <cell r="N3412">
            <v>-28.542000000000002</v>
          </cell>
        </row>
        <row r="3413">
          <cell r="N3413">
            <v>-14.685</v>
          </cell>
        </row>
        <row r="3414">
          <cell r="N3414">
            <v>-8.9450000000000003</v>
          </cell>
        </row>
        <row r="3415">
          <cell r="N3415">
            <v>-21.492999999999999</v>
          </cell>
        </row>
        <row r="3416">
          <cell r="N3416">
            <v>-23.794</v>
          </cell>
        </row>
        <row r="3417">
          <cell r="N3417">
            <v>-11.615</v>
          </cell>
        </row>
        <row r="3418">
          <cell r="N3418">
            <v>-25.035</v>
          </cell>
        </row>
        <row r="3419">
          <cell r="N3419">
            <v>-31.923999999999999</v>
          </cell>
        </row>
        <row r="3420">
          <cell r="N3420">
            <v>-31.763000000000002</v>
          </cell>
        </row>
        <row r="3421">
          <cell r="N3421">
            <v>-24.655000000000001</v>
          </cell>
        </row>
        <row r="3422">
          <cell r="N3422">
            <v>-5.1539999999999999</v>
          </cell>
        </row>
        <row r="3423">
          <cell r="N3423">
            <v>-30.097000000000001</v>
          </cell>
        </row>
        <row r="3424">
          <cell r="N3424">
            <v>-30.652000000000001</v>
          </cell>
        </row>
        <row r="3425">
          <cell r="N3425">
            <v>-26.21</v>
          </cell>
        </row>
        <row r="3426">
          <cell r="N3426">
            <v>-25.286000000000001</v>
          </cell>
        </row>
        <row r="3427">
          <cell r="N3427">
            <v>-25.79</v>
          </cell>
        </row>
        <row r="3428">
          <cell r="N3428">
            <v>-12.816000000000001</v>
          </cell>
        </row>
        <row r="3429">
          <cell r="N3429">
            <v>-14.417999999999999</v>
          </cell>
        </row>
        <row r="3430">
          <cell r="N3430">
            <v>-10.68</v>
          </cell>
        </row>
        <row r="3431">
          <cell r="N3431">
            <v>-29.541</v>
          </cell>
        </row>
        <row r="3432">
          <cell r="N3432">
            <v>-27.792999999999999</v>
          </cell>
        </row>
        <row r="3433">
          <cell r="N3433">
            <v>-36.649000000000001</v>
          </cell>
        </row>
        <row r="3434">
          <cell r="N3434">
            <v>-30.213999999999999</v>
          </cell>
        </row>
        <row r="3435">
          <cell r="N3435">
            <v>-7.29</v>
          </cell>
        </row>
        <row r="3436">
          <cell r="N3436">
            <v>-31.096</v>
          </cell>
        </row>
        <row r="3437">
          <cell r="N3437">
            <v>-7.7469999999999999</v>
          </cell>
        </row>
        <row r="3438">
          <cell r="N3438">
            <v>-34.566000000000003</v>
          </cell>
        </row>
        <row r="3439">
          <cell r="N3439">
            <v>-26.21</v>
          </cell>
        </row>
        <row r="3440">
          <cell r="N3440">
            <v>-25.654</v>
          </cell>
        </row>
        <row r="3441">
          <cell r="N3441">
            <v>-11.747999999999999</v>
          </cell>
        </row>
        <row r="3442">
          <cell r="N3442">
            <v>-27.32</v>
          </cell>
        </row>
        <row r="3443">
          <cell r="N3443">
            <v>-11.526999999999999</v>
          </cell>
        </row>
        <row r="3444">
          <cell r="N3444">
            <v>-10.090999999999999</v>
          </cell>
        </row>
        <row r="3445">
          <cell r="N3445">
            <v>-14.685</v>
          </cell>
        </row>
        <row r="3446">
          <cell r="N3446">
            <v>-31.207000000000001</v>
          </cell>
        </row>
        <row r="3447">
          <cell r="N3447">
            <v>-23.777000000000001</v>
          </cell>
        </row>
        <row r="3448">
          <cell r="N3448">
            <v>-9.4789999999999992</v>
          </cell>
        </row>
        <row r="3449">
          <cell r="N3449">
            <v>-25.876999999999999</v>
          </cell>
        </row>
        <row r="3450">
          <cell r="N3450">
            <v>-28.18</v>
          </cell>
        </row>
        <row r="3451">
          <cell r="N3451">
            <v>-28.32</v>
          </cell>
        </row>
        <row r="3452">
          <cell r="N3452">
            <v>-24.672000000000001</v>
          </cell>
        </row>
        <row r="3453">
          <cell r="N3453">
            <v>-22.545000000000002</v>
          </cell>
        </row>
        <row r="3454">
          <cell r="N3454">
            <v>-33.094999999999999</v>
          </cell>
        </row>
        <row r="3455">
          <cell r="N3455">
            <v>-1.365</v>
          </cell>
        </row>
        <row r="3456">
          <cell r="N3456">
            <v>-11.214</v>
          </cell>
        </row>
        <row r="3457">
          <cell r="N3457">
            <v>-11.615</v>
          </cell>
        </row>
        <row r="3458">
          <cell r="N3458">
            <v>-0.86699999999999999</v>
          </cell>
        </row>
        <row r="3459">
          <cell r="N3459">
            <v>-23.021999999999998</v>
          </cell>
        </row>
        <row r="3460">
          <cell r="N3460">
            <v>-25.452000000000002</v>
          </cell>
        </row>
        <row r="3461">
          <cell r="N3461">
            <v>-11.323</v>
          </cell>
        </row>
        <row r="3462">
          <cell r="N3462">
            <v>-0.504</v>
          </cell>
        </row>
        <row r="3463">
          <cell r="N3463">
            <v>-5.1619999999999999</v>
          </cell>
        </row>
        <row r="3464">
          <cell r="N3464">
            <v>-11.311999999999999</v>
          </cell>
        </row>
        <row r="3465">
          <cell r="N3465">
            <v>-34.32</v>
          </cell>
        </row>
        <row r="3466">
          <cell r="N3466">
            <v>-14.33</v>
          </cell>
        </row>
        <row r="3467">
          <cell r="N3467">
            <v>-14.151</v>
          </cell>
        </row>
        <row r="3468">
          <cell r="N3468">
            <v>-16.187999999999999</v>
          </cell>
        </row>
        <row r="3469">
          <cell r="N3469">
            <v>-10.881</v>
          </cell>
        </row>
        <row r="3470">
          <cell r="N3470">
            <v>-3.98</v>
          </cell>
        </row>
        <row r="3471">
          <cell r="N3471">
            <v>-5.9539999999999997</v>
          </cell>
        </row>
        <row r="3472">
          <cell r="N3472">
            <v>-15.218999999999999</v>
          </cell>
        </row>
        <row r="3473">
          <cell r="N3473">
            <v>-26.922000000000001</v>
          </cell>
        </row>
        <row r="3474">
          <cell r="N3474">
            <v>-6.4489999999999998</v>
          </cell>
        </row>
        <row r="3475">
          <cell r="N3475">
            <v>-11.96</v>
          </cell>
        </row>
        <row r="3476">
          <cell r="N3476">
            <v>-15.377000000000001</v>
          </cell>
        </row>
        <row r="3477">
          <cell r="N3477">
            <v>-22.917000000000002</v>
          </cell>
        </row>
        <row r="3478">
          <cell r="N3478">
            <v>-3.6949999999999998</v>
          </cell>
        </row>
        <row r="3479">
          <cell r="N3479">
            <v>-6.1440000000000001</v>
          </cell>
        </row>
        <row r="3480">
          <cell r="N3480">
            <v>-11.481</v>
          </cell>
        </row>
        <row r="3481">
          <cell r="N3481">
            <v>-26.67</v>
          </cell>
        </row>
        <row r="3482">
          <cell r="N3482">
            <v>-13.699</v>
          </cell>
        </row>
        <row r="3483">
          <cell r="N3483">
            <v>-34.32</v>
          </cell>
        </row>
        <row r="3484">
          <cell r="N3484">
            <v>-25.841999999999999</v>
          </cell>
        </row>
        <row r="3485">
          <cell r="N3485">
            <v>-22.917000000000002</v>
          </cell>
        </row>
        <row r="3486">
          <cell r="N3486">
            <v>-0.02</v>
          </cell>
        </row>
        <row r="3487">
          <cell r="N3487">
            <v>-8.9700000000000006</v>
          </cell>
        </row>
        <row r="3488">
          <cell r="N3488">
            <v>-2.5999999999999999E-2</v>
          </cell>
        </row>
        <row r="3489">
          <cell r="N3489">
            <v>-31.498000000000001</v>
          </cell>
        </row>
        <row r="3490">
          <cell r="N3490">
            <v>-9.7170000000000005</v>
          </cell>
        </row>
        <row r="3491">
          <cell r="N3491">
            <v>-10.714</v>
          </cell>
        </row>
        <row r="3492">
          <cell r="N3492">
            <v>-34.32</v>
          </cell>
        </row>
        <row r="3493">
          <cell r="N3493">
            <v>-14.433</v>
          </cell>
        </row>
        <row r="3494">
          <cell r="N3494">
            <v>-13.952999999999999</v>
          </cell>
        </row>
        <row r="3495">
          <cell r="N3495">
            <v>-14.285</v>
          </cell>
        </row>
        <row r="3496">
          <cell r="N3496">
            <v>-4.1929999999999996</v>
          </cell>
        </row>
        <row r="3497">
          <cell r="N3497">
            <v>-12.112</v>
          </cell>
        </row>
        <row r="3498">
          <cell r="N3498">
            <v>-5.5430000000000001</v>
          </cell>
        </row>
        <row r="3499">
          <cell r="N3499">
            <v>-23.599</v>
          </cell>
        </row>
        <row r="3500">
          <cell r="N3500">
            <v>-13.833</v>
          </cell>
        </row>
        <row r="3501">
          <cell r="N3501">
            <v>-9.593</v>
          </cell>
        </row>
        <row r="3502">
          <cell r="N3502">
            <v>-6.2770000000000001</v>
          </cell>
        </row>
        <row r="3503">
          <cell r="N3503">
            <v>-7.9729999999999999</v>
          </cell>
        </row>
        <row r="3504">
          <cell r="N3504">
            <v>-14.97</v>
          </cell>
        </row>
        <row r="3505">
          <cell r="N3505">
            <v>-14.022</v>
          </cell>
        </row>
        <row r="3506">
          <cell r="N3506">
            <v>-26.524999999999999</v>
          </cell>
        </row>
        <row r="3507">
          <cell r="N3507">
            <v>-11.882</v>
          </cell>
        </row>
        <row r="3508">
          <cell r="N3508">
            <v>-8.8450000000000006</v>
          </cell>
        </row>
        <row r="3509">
          <cell r="N3509">
            <v>-25.841999999999999</v>
          </cell>
        </row>
        <row r="3510">
          <cell r="N3510">
            <v>-13.138999999999999</v>
          </cell>
        </row>
        <row r="3511">
          <cell r="N3511">
            <v>-34.442999999999998</v>
          </cell>
        </row>
        <row r="3512">
          <cell r="N3512">
            <v>-2.8330000000000002</v>
          </cell>
        </row>
        <row r="3513">
          <cell r="N3513">
            <v>-5.2050000000000001</v>
          </cell>
        </row>
        <row r="3514">
          <cell r="N3514">
            <v>-11.337</v>
          </cell>
        </row>
        <row r="3515">
          <cell r="N3515">
            <v>-1.349</v>
          </cell>
        </row>
        <row r="3516">
          <cell r="N3516">
            <v>-31.401</v>
          </cell>
        </row>
        <row r="3517">
          <cell r="N3517">
            <v>-1664</v>
          </cell>
        </row>
        <row r="3518">
          <cell r="N3518">
            <v>-614</v>
          </cell>
        </row>
        <row r="3519">
          <cell r="N3519">
            <v>-41.72</v>
          </cell>
        </row>
        <row r="3520">
          <cell r="N3520">
            <v>-167</v>
          </cell>
        </row>
        <row r="3521">
          <cell r="N3521">
            <v>-61.320999999999998</v>
          </cell>
        </row>
        <row r="3522">
          <cell r="N3522">
            <v>-61.320999999999998</v>
          </cell>
        </row>
        <row r="3523">
          <cell r="N3523">
            <v>-16</v>
          </cell>
        </row>
        <row r="3524">
          <cell r="N3524">
            <v>-27.373000000000001</v>
          </cell>
        </row>
        <row r="3525">
          <cell r="N3525">
            <v>-8.5749999999999993</v>
          </cell>
        </row>
        <row r="3526">
          <cell r="N3526">
            <v>-14.263999999999999</v>
          </cell>
        </row>
        <row r="3527">
          <cell r="N3527">
            <v>-8.9540000000000006</v>
          </cell>
        </row>
        <row r="3528">
          <cell r="N3528">
            <v>-37.707000000000001</v>
          </cell>
        </row>
        <row r="3529">
          <cell r="N3529">
            <v>-26.317</v>
          </cell>
        </row>
        <row r="3530">
          <cell r="N3530">
            <v>-1.2999999999999999E-2</v>
          </cell>
        </row>
        <row r="3531">
          <cell r="N3531">
            <v>-37.140999999999998</v>
          </cell>
        </row>
        <row r="3532">
          <cell r="N3532">
            <v>-28.274000000000001</v>
          </cell>
        </row>
        <row r="3533">
          <cell r="N3533">
            <v>-27.995999999999999</v>
          </cell>
        </row>
        <row r="3534">
          <cell r="N3534">
            <v>-7.5670000000000002</v>
          </cell>
        </row>
        <row r="3535">
          <cell r="N3535">
            <v>-32.904000000000003</v>
          </cell>
        </row>
        <row r="3536">
          <cell r="N3536">
            <v>-7.7619999999999996</v>
          </cell>
        </row>
        <row r="3537">
          <cell r="N3537">
            <v>-12.196</v>
          </cell>
        </row>
        <row r="3538">
          <cell r="N3538">
            <v>-9.7100000000000009</v>
          </cell>
        </row>
        <row r="3539">
          <cell r="N3539">
            <v>-28.122</v>
          </cell>
        </row>
        <row r="3540">
          <cell r="N3540">
            <v>-28.943000000000001</v>
          </cell>
        </row>
        <row r="3541">
          <cell r="N3541">
            <v>-9.08</v>
          </cell>
        </row>
        <row r="3542">
          <cell r="N3542">
            <v>-29.774000000000001</v>
          </cell>
        </row>
        <row r="3543">
          <cell r="N3543">
            <v>-29.635999999999999</v>
          </cell>
        </row>
        <row r="3544">
          <cell r="N3544">
            <v>-9.2059999999999995</v>
          </cell>
        </row>
        <row r="3545">
          <cell r="N3545">
            <v>-8.3230000000000004</v>
          </cell>
        </row>
        <row r="3546">
          <cell r="N3546">
            <v>-27.87</v>
          </cell>
        </row>
        <row r="3547">
          <cell r="N3547">
            <v>-23.303000000000001</v>
          </cell>
        </row>
        <row r="3548">
          <cell r="N3548">
            <v>-25.096</v>
          </cell>
        </row>
        <row r="3549">
          <cell r="N3549">
            <v>-11.481</v>
          </cell>
        </row>
        <row r="3550">
          <cell r="N3550">
            <v>-9.734</v>
          </cell>
        </row>
        <row r="3551">
          <cell r="N3551">
            <v>-35.185000000000002</v>
          </cell>
        </row>
        <row r="3552">
          <cell r="N3552">
            <v>-34.805999999999997</v>
          </cell>
        </row>
        <row r="3553">
          <cell r="N3553">
            <v>-19.042999999999999</v>
          </cell>
        </row>
        <row r="3554">
          <cell r="N3554">
            <v>-7.819</v>
          </cell>
        </row>
        <row r="3555">
          <cell r="N3555">
            <v>-8.86</v>
          </cell>
        </row>
        <row r="3556">
          <cell r="N3556">
            <v>-37.959000000000003</v>
          </cell>
        </row>
        <row r="3557">
          <cell r="N3557">
            <v>-27.617999999999999</v>
          </cell>
        </row>
        <row r="3558">
          <cell r="N3558">
            <v>-36.552</v>
          </cell>
        </row>
        <row r="3559">
          <cell r="N3559">
            <v>-38.085000000000001</v>
          </cell>
        </row>
        <row r="3560">
          <cell r="N3560">
            <v>-16.260999999999999</v>
          </cell>
        </row>
        <row r="3561">
          <cell r="N3561">
            <v>-36.445999999999998</v>
          </cell>
        </row>
        <row r="3562">
          <cell r="N3562">
            <v>-8.8279999999999994</v>
          </cell>
        </row>
        <row r="3563">
          <cell r="N3563">
            <v>-31.581</v>
          </cell>
        </row>
        <row r="3564">
          <cell r="N3564">
            <v>-9.2059999999999995</v>
          </cell>
        </row>
        <row r="3565">
          <cell r="N3565">
            <v>-28.375</v>
          </cell>
        </row>
        <row r="3566">
          <cell r="N3566">
            <v>-7.3140000000000001</v>
          </cell>
        </row>
        <row r="3567">
          <cell r="N3567">
            <v>-31.905999999999999</v>
          </cell>
        </row>
        <row r="3568">
          <cell r="N3568">
            <v>-31.52</v>
          </cell>
        </row>
        <row r="3569">
          <cell r="N3569">
            <v>-36.445999999999998</v>
          </cell>
        </row>
        <row r="3570">
          <cell r="N3570">
            <v>-9.5839999999999996</v>
          </cell>
        </row>
        <row r="3571">
          <cell r="N3571">
            <v>-38.521999999999998</v>
          </cell>
        </row>
        <row r="3572">
          <cell r="N3572">
            <v>-31.274999999999999</v>
          </cell>
        </row>
        <row r="3573">
          <cell r="N3573">
            <v>-10.731999999999999</v>
          </cell>
        </row>
        <row r="3574">
          <cell r="N3574">
            <v>-11.615</v>
          </cell>
        </row>
        <row r="3575">
          <cell r="N3575">
            <v>-9.8369999999999997</v>
          </cell>
        </row>
        <row r="3576">
          <cell r="N3576">
            <v>-8.3230000000000004</v>
          </cell>
        </row>
        <row r="3577">
          <cell r="N3577">
            <v>-36.987000000000002</v>
          </cell>
        </row>
        <row r="3578">
          <cell r="N3578">
            <v>-5.5289999999999999</v>
          </cell>
        </row>
        <row r="3579">
          <cell r="N3579">
            <v>-27.789000000000001</v>
          </cell>
        </row>
        <row r="3580">
          <cell r="N3580">
            <v>-32.536000000000001</v>
          </cell>
        </row>
        <row r="3581">
          <cell r="N3581">
            <v>-7.5670000000000002</v>
          </cell>
        </row>
        <row r="3582">
          <cell r="N3582">
            <v>-31.141999999999999</v>
          </cell>
        </row>
        <row r="3583">
          <cell r="N3583">
            <v>-35.880000000000003</v>
          </cell>
        </row>
        <row r="3584">
          <cell r="N3584">
            <v>-8.5749999999999993</v>
          </cell>
        </row>
        <row r="3585">
          <cell r="N3585">
            <v>-30.995999999999999</v>
          </cell>
        </row>
        <row r="3586">
          <cell r="N3586">
            <v>-33.923000000000002</v>
          </cell>
        </row>
        <row r="3587">
          <cell r="N3587">
            <v>-40.670999999999999</v>
          </cell>
        </row>
        <row r="3588">
          <cell r="N3588">
            <v>-31.149000000000001</v>
          </cell>
        </row>
        <row r="3589">
          <cell r="N3589">
            <v>-29.257000000000001</v>
          </cell>
        </row>
        <row r="3590">
          <cell r="N3590">
            <v>-35.880000000000003</v>
          </cell>
        </row>
        <row r="3591">
          <cell r="N3591">
            <v>-39.976999999999997</v>
          </cell>
        </row>
        <row r="3592">
          <cell r="N3592">
            <v>-35.185000000000002</v>
          </cell>
        </row>
        <row r="3593">
          <cell r="N3593">
            <v>-37.328000000000003</v>
          </cell>
        </row>
        <row r="3594">
          <cell r="N3594">
            <v>-14.102</v>
          </cell>
        </row>
        <row r="3595">
          <cell r="N3595">
            <v>-7.508</v>
          </cell>
        </row>
        <row r="3596">
          <cell r="N3596">
            <v>-29.100999999999999</v>
          </cell>
        </row>
        <row r="3597">
          <cell r="N3597">
            <v>-13.067</v>
          </cell>
        </row>
        <row r="3598">
          <cell r="N3598">
            <v>-34.554000000000002</v>
          </cell>
        </row>
        <row r="3599">
          <cell r="N3599">
            <v>-32.997</v>
          </cell>
        </row>
        <row r="3600">
          <cell r="N3600">
            <v>-27.744</v>
          </cell>
        </row>
        <row r="3601">
          <cell r="N3601">
            <v>-25.638000000000002</v>
          </cell>
        </row>
        <row r="3602">
          <cell r="N3602">
            <v>-8.0709999999999997</v>
          </cell>
        </row>
        <row r="3603">
          <cell r="N3603">
            <v>-27.366</v>
          </cell>
        </row>
        <row r="3604">
          <cell r="N3604">
            <v>-13.852</v>
          </cell>
        </row>
        <row r="3605">
          <cell r="N3605">
            <v>-7.44</v>
          </cell>
        </row>
        <row r="3606">
          <cell r="N3606">
            <v>-30.289000000000001</v>
          </cell>
        </row>
        <row r="3607">
          <cell r="N3607">
            <v>-33.670999999999999</v>
          </cell>
        </row>
        <row r="3608">
          <cell r="N3608">
            <v>-31.023</v>
          </cell>
        </row>
        <row r="3609">
          <cell r="N3609">
            <v>-10.215</v>
          </cell>
        </row>
        <row r="3610">
          <cell r="N3610">
            <v>-29.382999999999999</v>
          </cell>
        </row>
        <row r="3611">
          <cell r="N3611">
            <v>-32.283999999999999</v>
          </cell>
        </row>
        <row r="3612">
          <cell r="N3612">
            <v>-34.427999999999997</v>
          </cell>
        </row>
        <row r="3613">
          <cell r="N3613">
            <v>-30.093</v>
          </cell>
        </row>
        <row r="3614">
          <cell r="N3614">
            <v>-34.838999999999999</v>
          </cell>
        </row>
        <row r="3615">
          <cell r="N3615">
            <v>-12.105</v>
          </cell>
        </row>
        <row r="3616">
          <cell r="N3616">
            <v>-32.536000000000001</v>
          </cell>
        </row>
        <row r="3617">
          <cell r="N3617">
            <v>-21.06</v>
          </cell>
        </row>
        <row r="3618">
          <cell r="N3618">
            <v>-9.9629999999999992</v>
          </cell>
        </row>
        <row r="3619">
          <cell r="N3619">
            <v>-28.375</v>
          </cell>
        </row>
        <row r="3620">
          <cell r="N3620">
            <v>-8.3230000000000004</v>
          </cell>
        </row>
        <row r="3621">
          <cell r="N3621">
            <v>-28.501000000000001</v>
          </cell>
        </row>
        <row r="3622">
          <cell r="N3622">
            <v>-30.965</v>
          </cell>
        </row>
        <row r="3623">
          <cell r="N3623">
            <v>-10.089</v>
          </cell>
        </row>
        <row r="3624">
          <cell r="N3624">
            <v>-34.103999999999999</v>
          </cell>
        </row>
        <row r="3625">
          <cell r="N3625">
            <v>-7.0620000000000003</v>
          </cell>
        </row>
        <row r="3626">
          <cell r="N3626">
            <v>-8.9540000000000006</v>
          </cell>
        </row>
        <row r="3627">
          <cell r="N3627">
            <v>-8.2059999999999995</v>
          </cell>
        </row>
        <row r="3628">
          <cell r="N3628">
            <v>-31.434999999999999</v>
          </cell>
        </row>
        <row r="3629">
          <cell r="N3629">
            <v>-41.006</v>
          </cell>
        </row>
        <row r="3630">
          <cell r="N3630">
            <v>-7.6820000000000004</v>
          </cell>
        </row>
        <row r="3631">
          <cell r="N3631">
            <v>-35.219000000000001</v>
          </cell>
        </row>
        <row r="3632">
          <cell r="N3632">
            <v>-8.8279999999999994</v>
          </cell>
        </row>
        <row r="3633">
          <cell r="N3633">
            <v>-10.718999999999999</v>
          </cell>
        </row>
        <row r="3634">
          <cell r="N3634">
            <v>-7.9450000000000003</v>
          </cell>
        </row>
        <row r="3635">
          <cell r="N3635">
            <v>-10.606999999999999</v>
          </cell>
        </row>
        <row r="3636">
          <cell r="N3636">
            <v>-28.248999999999999</v>
          </cell>
        </row>
        <row r="3637">
          <cell r="N3637">
            <v>-9.3320000000000007</v>
          </cell>
        </row>
        <row r="3638">
          <cell r="N3638">
            <v>-37.201999999999998</v>
          </cell>
        </row>
        <row r="3639">
          <cell r="N3639">
            <v>-38.463000000000001</v>
          </cell>
        </row>
        <row r="3640">
          <cell r="N3640">
            <v>-31.401</v>
          </cell>
        </row>
        <row r="3641">
          <cell r="N3641">
            <v>-37.137</v>
          </cell>
        </row>
        <row r="3642">
          <cell r="N3642">
            <v>-7.9450000000000003</v>
          </cell>
        </row>
        <row r="3643">
          <cell r="N3643">
            <v>-9.5839999999999996</v>
          </cell>
        </row>
        <row r="3644">
          <cell r="N3644">
            <v>-25.222000000000001</v>
          </cell>
        </row>
        <row r="3645">
          <cell r="N3645">
            <v>-29.28</v>
          </cell>
        </row>
        <row r="3646">
          <cell r="N3646">
            <v>-32.243000000000002</v>
          </cell>
        </row>
        <row r="3647">
          <cell r="N3647">
            <v>-27.744</v>
          </cell>
        </row>
        <row r="3648">
          <cell r="N3648">
            <v>-11.35</v>
          </cell>
        </row>
        <row r="3649">
          <cell r="N3649">
            <v>-40.207000000000001</v>
          </cell>
        </row>
        <row r="3650">
          <cell r="N3650">
            <v>-8.4489999999999998</v>
          </cell>
        </row>
        <row r="3651">
          <cell r="N3651">
            <v>-34.932000000000002</v>
          </cell>
        </row>
        <row r="3652">
          <cell r="N3652">
            <v>-22.43</v>
          </cell>
        </row>
        <row r="3653">
          <cell r="N3653">
            <v>-31.748000000000001</v>
          </cell>
        </row>
        <row r="3654">
          <cell r="N3654">
            <v>-29.620999999999999</v>
          </cell>
        </row>
        <row r="3655">
          <cell r="N3655">
            <v>-30.518000000000001</v>
          </cell>
        </row>
        <row r="3656">
          <cell r="N3656">
            <v>-35.814999999999998</v>
          </cell>
        </row>
        <row r="3657">
          <cell r="N3657">
            <v>-36.192999999999998</v>
          </cell>
        </row>
        <row r="3658">
          <cell r="N3658">
            <v>-31.155000000000001</v>
          </cell>
        </row>
        <row r="3659">
          <cell r="N3659">
            <v>-7.1879999999999997</v>
          </cell>
        </row>
        <row r="3660">
          <cell r="N3660">
            <v>-11.106999999999999</v>
          </cell>
        </row>
        <row r="3661">
          <cell r="N3661">
            <v>-41.284999999999997</v>
          </cell>
        </row>
        <row r="3662">
          <cell r="N3662">
            <v>-27.492000000000001</v>
          </cell>
        </row>
        <row r="3663">
          <cell r="N3663">
            <v>-33.040999999999997</v>
          </cell>
        </row>
        <row r="3664">
          <cell r="N3664">
            <v>-7.6929999999999996</v>
          </cell>
        </row>
        <row r="3665">
          <cell r="N3665">
            <v>-10.972</v>
          </cell>
        </row>
        <row r="3666">
          <cell r="N3666">
            <v>-28.122</v>
          </cell>
        </row>
        <row r="3667">
          <cell r="N3667">
            <v>-17.613</v>
          </cell>
        </row>
        <row r="3668">
          <cell r="N3668">
            <v>-34.932000000000002</v>
          </cell>
        </row>
        <row r="3669">
          <cell r="N3669">
            <v>-30.645</v>
          </cell>
        </row>
        <row r="3670">
          <cell r="N3670">
            <v>-31.085000000000001</v>
          </cell>
        </row>
        <row r="3671">
          <cell r="N3671">
            <v>-33.094000000000001</v>
          </cell>
        </row>
        <row r="3672">
          <cell r="N3672">
            <v>-34.991999999999997</v>
          </cell>
        </row>
        <row r="3673">
          <cell r="N3673">
            <v>-14.351000000000001</v>
          </cell>
        </row>
        <row r="3674">
          <cell r="N3674">
            <v>-11.76</v>
          </cell>
        </row>
        <row r="3675">
          <cell r="N3675">
            <v>-37.707000000000001</v>
          </cell>
        </row>
        <row r="3676">
          <cell r="N3676">
            <v>-1E-3</v>
          </cell>
        </row>
        <row r="3677">
          <cell r="N3677">
            <v>-10.856999999999999</v>
          </cell>
        </row>
        <row r="3678">
          <cell r="N3678">
            <v>-30.259</v>
          </cell>
        </row>
        <row r="3679">
          <cell r="N3679">
            <v>-11.231</v>
          </cell>
        </row>
        <row r="3680">
          <cell r="N3680">
            <v>-7.0709999999999997</v>
          </cell>
        </row>
        <row r="3681">
          <cell r="N3681">
            <v>-11.231</v>
          </cell>
        </row>
        <row r="3682">
          <cell r="N3682">
            <v>-8.1189999999999998</v>
          </cell>
        </row>
        <row r="3683">
          <cell r="N3683">
            <v>-34.685000000000002</v>
          </cell>
        </row>
        <row r="3684">
          <cell r="N3684">
            <v>-7.2380000000000004</v>
          </cell>
        </row>
        <row r="3685">
          <cell r="N3685">
            <v>-8.0709999999999997</v>
          </cell>
        </row>
        <row r="3686">
          <cell r="N3686">
            <v>-6.859</v>
          </cell>
        </row>
        <row r="3687">
          <cell r="N3687">
            <v>-41.112000000000002</v>
          </cell>
        </row>
        <row r="3688">
          <cell r="N3688">
            <v>-32.304000000000002</v>
          </cell>
        </row>
        <row r="3689">
          <cell r="N3689">
            <v>-10.467000000000001</v>
          </cell>
        </row>
        <row r="3690">
          <cell r="N3690">
            <v>-30.896999999999998</v>
          </cell>
        </row>
        <row r="3691">
          <cell r="N3691">
            <v>-872.48800000000006</v>
          </cell>
        </row>
        <row r="3692">
          <cell r="N3692">
            <v>-11.474</v>
          </cell>
        </row>
        <row r="3693">
          <cell r="N3693">
            <v>-981.78499999999997</v>
          </cell>
        </row>
        <row r="3694">
          <cell r="N3694">
            <v>-34.712000000000003</v>
          </cell>
        </row>
        <row r="3695">
          <cell r="N3695">
            <v>-31.07</v>
          </cell>
        </row>
        <row r="3696">
          <cell r="N3696">
            <v>-8.8279999999999994</v>
          </cell>
        </row>
        <row r="3697">
          <cell r="N3697">
            <v>-33.545000000000002</v>
          </cell>
        </row>
        <row r="3698">
          <cell r="N3698">
            <v>-167.09299999999999</v>
          </cell>
        </row>
        <row r="3699">
          <cell r="N3699">
            <v>-44.81</v>
          </cell>
        </row>
        <row r="3700">
          <cell r="N3700">
            <v>-33.796999999999997</v>
          </cell>
        </row>
        <row r="3701">
          <cell r="N3701">
            <v>-7.9450000000000003</v>
          </cell>
        </row>
        <row r="3702">
          <cell r="N3702">
            <v>-26.861000000000001</v>
          </cell>
        </row>
        <row r="3703">
          <cell r="N3703">
            <v>-8.9920000000000009</v>
          </cell>
        </row>
        <row r="3704">
          <cell r="N3704">
            <v>-14.476000000000001</v>
          </cell>
        </row>
        <row r="3705">
          <cell r="N3705">
            <v>-8.8279999999999994</v>
          </cell>
        </row>
        <row r="3706">
          <cell r="N3706">
            <v>-33.670999999999999</v>
          </cell>
        </row>
        <row r="3707">
          <cell r="N3707">
            <v>-33.767000000000003</v>
          </cell>
        </row>
        <row r="3708">
          <cell r="N3708">
            <v>-30.518000000000001</v>
          </cell>
        </row>
        <row r="3709">
          <cell r="N3709">
            <v>-32.409999999999997</v>
          </cell>
        </row>
        <row r="3710">
          <cell r="N3710">
            <v>-29.888000000000002</v>
          </cell>
        </row>
        <row r="3711">
          <cell r="N3711">
            <v>-8.5749999999999993</v>
          </cell>
        </row>
        <row r="3712">
          <cell r="N3712">
            <v>-11.606</v>
          </cell>
        </row>
        <row r="3713">
          <cell r="N3713">
            <v>-31.727</v>
          </cell>
        </row>
        <row r="3714">
          <cell r="N3714">
            <v>-9.609</v>
          </cell>
        </row>
        <row r="3715">
          <cell r="N3715">
            <v>-7.819</v>
          </cell>
        </row>
        <row r="3716">
          <cell r="N3716">
            <v>-46.66</v>
          </cell>
        </row>
        <row r="3717">
          <cell r="N3717">
            <v>-28.411999999999999</v>
          </cell>
        </row>
        <row r="3718">
          <cell r="N3718">
            <v>-7.819</v>
          </cell>
        </row>
        <row r="3719">
          <cell r="N3719">
            <v>-1.81</v>
          </cell>
        </row>
        <row r="3720">
          <cell r="N3720">
            <v>-34.932000000000002</v>
          </cell>
        </row>
        <row r="3721">
          <cell r="N3721">
            <v>-23.077000000000002</v>
          </cell>
        </row>
        <row r="3722">
          <cell r="N3722">
            <v>-26.786000000000001</v>
          </cell>
        </row>
        <row r="3723">
          <cell r="N3723">
            <v>-9.734</v>
          </cell>
        </row>
        <row r="3724">
          <cell r="N3724">
            <v>-33.418999999999997</v>
          </cell>
        </row>
        <row r="3725">
          <cell r="N3725">
            <v>-10.108000000000001</v>
          </cell>
        </row>
        <row r="3726">
          <cell r="N3726">
            <v>-39.914999999999999</v>
          </cell>
        </row>
        <row r="3727">
          <cell r="N3727">
            <v>-10.731999999999999</v>
          </cell>
        </row>
        <row r="3728">
          <cell r="N3728">
            <v>-35.146000000000001</v>
          </cell>
        </row>
        <row r="3729">
          <cell r="N3729">
            <v>-32.661999999999999</v>
          </cell>
        </row>
        <row r="3730">
          <cell r="N3730">
            <v>-36.552</v>
          </cell>
        </row>
        <row r="3731">
          <cell r="N3731">
            <v>-34.176000000000002</v>
          </cell>
        </row>
        <row r="3732">
          <cell r="N3732">
            <v>-31.527000000000001</v>
          </cell>
        </row>
        <row r="3733">
          <cell r="N3733">
            <v>-35.814999999999998</v>
          </cell>
        </row>
        <row r="3734">
          <cell r="N3734">
            <v>-40.228999999999999</v>
          </cell>
        </row>
        <row r="3735">
          <cell r="N3735">
            <v>-33.917999999999999</v>
          </cell>
        </row>
        <row r="3736">
          <cell r="N3736">
            <v>-30.896999999999998</v>
          </cell>
        </row>
        <row r="3737">
          <cell r="N3737">
            <v>-9.8369999999999997</v>
          </cell>
        </row>
        <row r="3738">
          <cell r="N3738">
            <v>-34.302</v>
          </cell>
        </row>
        <row r="3739">
          <cell r="N3739">
            <v>-27.24</v>
          </cell>
        </row>
        <row r="3740">
          <cell r="N3740">
            <v>-10.215</v>
          </cell>
        </row>
        <row r="3741">
          <cell r="N3741">
            <v>-26.138999999999999</v>
          </cell>
        </row>
        <row r="3742">
          <cell r="N3742">
            <v>-9.734</v>
          </cell>
        </row>
        <row r="3743">
          <cell r="N3743">
            <v>-30.013999999999999</v>
          </cell>
        </row>
        <row r="3744">
          <cell r="N3744">
            <v>-8.0709999999999997</v>
          </cell>
        </row>
        <row r="3745">
          <cell r="N3745">
            <v>-8.8279999999999994</v>
          </cell>
        </row>
        <row r="3746">
          <cell r="N3746">
            <v>-20.81</v>
          </cell>
        </row>
        <row r="3747">
          <cell r="N3747">
            <v>-8.8279999999999994</v>
          </cell>
        </row>
        <row r="3748">
          <cell r="N3748">
            <v>-29.841000000000001</v>
          </cell>
        </row>
        <row r="3749">
          <cell r="N3749">
            <v>-32.69</v>
          </cell>
        </row>
        <row r="3750">
          <cell r="N3750">
            <v>-11.855</v>
          </cell>
        </row>
        <row r="3751">
          <cell r="N3751">
            <v>-7.5949999999999998</v>
          </cell>
        </row>
        <row r="3752">
          <cell r="N3752">
            <v>-32.158000000000001</v>
          </cell>
        </row>
        <row r="3753">
          <cell r="N3753">
            <v>-8.4489999999999998</v>
          </cell>
        </row>
        <row r="3754">
          <cell r="N3754">
            <v>-33.292999999999999</v>
          </cell>
        </row>
        <row r="3755">
          <cell r="N3755">
            <v>-29.888000000000002</v>
          </cell>
        </row>
        <row r="3756">
          <cell r="N3756">
            <v>-8.8480000000000008</v>
          </cell>
        </row>
        <row r="3757">
          <cell r="N3757">
            <v>-10.108000000000001</v>
          </cell>
        </row>
        <row r="3758">
          <cell r="N3758">
            <v>-32.533000000000001</v>
          </cell>
        </row>
        <row r="3759">
          <cell r="N3759">
            <v>-8.9540000000000006</v>
          </cell>
        </row>
        <row r="3760">
          <cell r="N3760">
            <v>-13.977</v>
          </cell>
        </row>
        <row r="3761">
          <cell r="N3761">
            <v>-29.762</v>
          </cell>
        </row>
        <row r="3762">
          <cell r="N3762">
            <v>-33.92</v>
          </cell>
        </row>
        <row r="3763">
          <cell r="N3763">
            <v>-7.3330000000000002</v>
          </cell>
        </row>
        <row r="3764">
          <cell r="N3764">
            <v>-13.013</v>
          </cell>
        </row>
        <row r="3765">
          <cell r="N3765">
            <v>-32.661999999999999</v>
          </cell>
        </row>
        <row r="3766">
          <cell r="N3766">
            <v>-35.715000000000003</v>
          </cell>
        </row>
        <row r="3767">
          <cell r="N3767">
            <v>-39.75</v>
          </cell>
        </row>
        <row r="3768">
          <cell r="N3768">
            <v>-32.869999999999997</v>
          </cell>
        </row>
        <row r="3769">
          <cell r="N3769">
            <v>-10.093999999999999</v>
          </cell>
        </row>
        <row r="3770">
          <cell r="N3770">
            <v>-30.896999999999998</v>
          </cell>
        </row>
        <row r="3771">
          <cell r="N3771">
            <v>-9.4580000000000002</v>
          </cell>
        </row>
        <row r="3772">
          <cell r="N3772">
            <v>-7.0620000000000003</v>
          </cell>
        </row>
        <row r="3773">
          <cell r="N3773">
            <v>-24.672999999999998</v>
          </cell>
        </row>
        <row r="3774">
          <cell r="N3774">
            <v>-11.356</v>
          </cell>
        </row>
        <row r="3775">
          <cell r="N3775">
            <v>-33.418999999999997</v>
          </cell>
        </row>
        <row r="3776">
          <cell r="N3776">
            <v>-26.231000000000002</v>
          </cell>
        </row>
        <row r="3777">
          <cell r="N3777">
            <v>-8.702</v>
          </cell>
        </row>
        <row r="3778">
          <cell r="N3778">
            <v>-31.78</v>
          </cell>
        </row>
        <row r="3779">
          <cell r="N3779">
            <v>-39.850999999999999</v>
          </cell>
        </row>
        <row r="3780">
          <cell r="N3780">
            <v>-37.448</v>
          </cell>
        </row>
        <row r="3781">
          <cell r="N3781">
            <v>-10.981999999999999</v>
          </cell>
        </row>
        <row r="3782">
          <cell r="N3782">
            <v>-8.1189999999999998</v>
          </cell>
        </row>
        <row r="3783">
          <cell r="N3783">
            <v>-9.6530000000000005</v>
          </cell>
        </row>
        <row r="3784">
          <cell r="N3784">
            <v>-17.780999999999999</v>
          </cell>
        </row>
        <row r="3785">
          <cell r="N3785">
            <v>-39.22</v>
          </cell>
        </row>
        <row r="3786">
          <cell r="N3786">
            <v>-28.809000000000001</v>
          </cell>
        </row>
        <row r="3787">
          <cell r="N3787">
            <v>-39.976999999999997</v>
          </cell>
        </row>
        <row r="3788">
          <cell r="N3788">
            <v>-23.053000000000001</v>
          </cell>
        </row>
        <row r="3789">
          <cell r="N3789">
            <v>-24.792000000000002</v>
          </cell>
        </row>
        <row r="3790">
          <cell r="N3790">
            <v>-33.796999999999997</v>
          </cell>
        </row>
        <row r="3791">
          <cell r="N3791">
            <v>-9.734</v>
          </cell>
        </row>
        <row r="3792">
          <cell r="N3792">
            <v>-30.853999999999999</v>
          </cell>
        </row>
        <row r="3793">
          <cell r="N3793">
            <v>-15.599</v>
          </cell>
        </row>
        <row r="3794">
          <cell r="N3794">
            <v>-41.284999999999997</v>
          </cell>
        </row>
        <row r="3795">
          <cell r="N3795">
            <v>-30.391999999999999</v>
          </cell>
        </row>
        <row r="3796">
          <cell r="N3796">
            <v>-7.819</v>
          </cell>
        </row>
        <row r="3797">
          <cell r="N3797">
            <v>-3.738</v>
          </cell>
        </row>
        <row r="3798">
          <cell r="N3798">
            <v>-10.856999999999999</v>
          </cell>
        </row>
        <row r="3799">
          <cell r="N3799">
            <v>-9.5839999999999996</v>
          </cell>
        </row>
        <row r="3800">
          <cell r="N3800">
            <v>-6.2859999999999996</v>
          </cell>
        </row>
        <row r="3801">
          <cell r="N3801">
            <v>-33.292999999999999</v>
          </cell>
        </row>
        <row r="3802">
          <cell r="N3802">
            <v>-7.44</v>
          </cell>
        </row>
        <row r="3803">
          <cell r="N3803">
            <v>-37.859000000000002</v>
          </cell>
        </row>
        <row r="3804">
          <cell r="N3804">
            <v>-7.44</v>
          </cell>
        </row>
        <row r="3805">
          <cell r="N3805">
            <v>-11.481</v>
          </cell>
        </row>
        <row r="3806">
          <cell r="N3806">
            <v>-26.456</v>
          </cell>
        </row>
        <row r="3807">
          <cell r="N3807">
            <v>-1.0999999999999999E-2</v>
          </cell>
        </row>
        <row r="3808">
          <cell r="N3808">
            <v>-8.3460000000000001</v>
          </cell>
        </row>
        <row r="3809">
          <cell r="N3809">
            <v>-7.0709999999999997</v>
          </cell>
        </row>
        <row r="3810">
          <cell r="N3810">
            <v>-7.5949999999999998</v>
          </cell>
        </row>
        <row r="3811">
          <cell r="N3811">
            <v>-21.433</v>
          </cell>
        </row>
        <row r="3812">
          <cell r="N3812">
            <v>-11.356</v>
          </cell>
        </row>
        <row r="3813">
          <cell r="N3813">
            <v>-29.504000000000001</v>
          </cell>
        </row>
        <row r="3814">
          <cell r="N3814">
            <v>-13.353</v>
          </cell>
        </row>
        <row r="3815">
          <cell r="N3815">
            <v>-13.353</v>
          </cell>
        </row>
        <row r="3816">
          <cell r="N3816">
            <v>-33.304000000000002</v>
          </cell>
        </row>
        <row r="3817">
          <cell r="N3817">
            <v>-12.233000000000001</v>
          </cell>
        </row>
        <row r="3818">
          <cell r="N3818">
            <v>-33.545000000000002</v>
          </cell>
        </row>
        <row r="3819">
          <cell r="N3819">
            <v>-7.2380000000000004</v>
          </cell>
        </row>
        <row r="3820">
          <cell r="N3820">
            <v>-10.215</v>
          </cell>
        </row>
        <row r="3821">
          <cell r="N3821">
            <v>-7.9450000000000003</v>
          </cell>
        </row>
        <row r="3822">
          <cell r="N3822">
            <v>-8.3230000000000004</v>
          </cell>
        </row>
        <row r="3823">
          <cell r="N3823">
            <v>-28.501000000000001</v>
          </cell>
        </row>
        <row r="3824">
          <cell r="N3824">
            <v>-34.213000000000001</v>
          </cell>
        </row>
        <row r="3825">
          <cell r="N3825">
            <v>-21.988</v>
          </cell>
        </row>
        <row r="3826">
          <cell r="N3826">
            <v>-31.274999999999999</v>
          </cell>
        </row>
        <row r="3827">
          <cell r="N3827">
            <v>-31.401</v>
          </cell>
        </row>
        <row r="3828">
          <cell r="N3828">
            <v>-23.558</v>
          </cell>
        </row>
        <row r="3829">
          <cell r="N3829">
            <v>-30.187999999999999</v>
          </cell>
        </row>
        <row r="3830">
          <cell r="N3830">
            <v>-9.5839999999999996</v>
          </cell>
        </row>
        <row r="3831">
          <cell r="N3831">
            <v>-23.204000000000001</v>
          </cell>
        </row>
        <row r="3832">
          <cell r="N3832">
            <v>-1.2E-2</v>
          </cell>
        </row>
        <row r="3833">
          <cell r="N3833">
            <v>-7.601</v>
          </cell>
        </row>
        <row r="3834">
          <cell r="N3834">
            <v>-10.358000000000001</v>
          </cell>
        </row>
        <row r="3835">
          <cell r="N3835">
            <v>-34.176000000000002</v>
          </cell>
        </row>
        <row r="3836">
          <cell r="N3836">
            <v>-8.1</v>
          </cell>
        </row>
        <row r="3837">
          <cell r="N3837">
            <v>-31.274999999999999</v>
          </cell>
        </row>
        <row r="3838">
          <cell r="N3838">
            <v>-34.049999999999997</v>
          </cell>
        </row>
        <row r="3839">
          <cell r="N3839">
            <v>-31.149000000000001</v>
          </cell>
        </row>
        <row r="3840">
          <cell r="N3840">
            <v>-7.3140000000000001</v>
          </cell>
        </row>
        <row r="3841">
          <cell r="N3841">
            <v>-6.81</v>
          </cell>
        </row>
        <row r="3842">
          <cell r="N3842">
            <v>-11.356</v>
          </cell>
        </row>
        <row r="3843">
          <cell r="N3843">
            <v>-8.3490000000000002</v>
          </cell>
        </row>
        <row r="3844">
          <cell r="N3844">
            <v>-36.698</v>
          </cell>
        </row>
        <row r="3845">
          <cell r="N3845">
            <v>-31.187000000000001</v>
          </cell>
        </row>
        <row r="3846">
          <cell r="N3846">
            <v>-6.8090000000000002</v>
          </cell>
        </row>
        <row r="3847">
          <cell r="N3847">
            <v>-30.391999999999999</v>
          </cell>
        </row>
        <row r="3848">
          <cell r="N3848">
            <v>-31.527000000000001</v>
          </cell>
        </row>
        <row r="3849">
          <cell r="N3849">
            <v>-8.5749999999999993</v>
          </cell>
        </row>
        <row r="3850">
          <cell r="N3850">
            <v>-35.898000000000003</v>
          </cell>
        </row>
        <row r="3851">
          <cell r="N3851">
            <v>-34.070999999999998</v>
          </cell>
        </row>
        <row r="3852">
          <cell r="N3852">
            <v>-34.176000000000002</v>
          </cell>
        </row>
        <row r="3853">
          <cell r="N3853">
            <v>-9.9629999999999992</v>
          </cell>
        </row>
        <row r="3854">
          <cell r="N3854">
            <v>-35.058</v>
          </cell>
        </row>
        <row r="3855">
          <cell r="N3855">
            <v>-40.103000000000002</v>
          </cell>
        </row>
        <row r="3856">
          <cell r="N3856">
            <v>-32.787999999999997</v>
          </cell>
        </row>
        <row r="3857">
          <cell r="N3857">
            <v>-36.987000000000002</v>
          </cell>
        </row>
        <row r="3858">
          <cell r="N3858">
            <v>-33.92</v>
          </cell>
        </row>
        <row r="3859">
          <cell r="N3859">
            <v>-30.896999999999998</v>
          </cell>
        </row>
        <row r="3860">
          <cell r="N3860">
            <v>-7.1879999999999997</v>
          </cell>
        </row>
        <row r="3861">
          <cell r="N3861">
            <v>-33.418999999999997</v>
          </cell>
        </row>
        <row r="3862">
          <cell r="N3862">
            <v>-26.077999999999999</v>
          </cell>
        </row>
        <row r="3863">
          <cell r="N3863">
            <v>-36.502000000000002</v>
          </cell>
        </row>
        <row r="3864">
          <cell r="N3864">
            <v>-38.453000000000003</v>
          </cell>
        </row>
        <row r="3865">
          <cell r="N3865">
            <v>-31.401</v>
          </cell>
        </row>
        <row r="3866">
          <cell r="N3866">
            <v>-28.831</v>
          </cell>
        </row>
        <row r="3867">
          <cell r="N3867">
            <v>-8.9719999999999995</v>
          </cell>
        </row>
        <row r="3868">
          <cell r="N3868">
            <v>-37.600999999999999</v>
          </cell>
        </row>
        <row r="3869">
          <cell r="N3869">
            <v>-2.867</v>
          </cell>
        </row>
        <row r="3870">
          <cell r="N3870">
            <v>-7.9749999999999996</v>
          </cell>
        </row>
        <row r="3871">
          <cell r="N3871">
            <v>-8.8279999999999994</v>
          </cell>
        </row>
        <row r="3872">
          <cell r="N3872">
            <v>-30.847999999999999</v>
          </cell>
        </row>
        <row r="3873">
          <cell r="N3873">
            <v>-31.373000000000001</v>
          </cell>
        </row>
        <row r="3874">
          <cell r="N3874">
            <v>-8.6110000000000007</v>
          </cell>
        </row>
        <row r="3875">
          <cell r="N3875">
            <v>-2.9689999999999999</v>
          </cell>
        </row>
        <row r="3876">
          <cell r="N3876">
            <v>-9.8369999999999997</v>
          </cell>
        </row>
        <row r="3877">
          <cell r="N3877">
            <v>-26.105</v>
          </cell>
        </row>
        <row r="3878">
          <cell r="N3878">
            <v>-35.058</v>
          </cell>
        </row>
        <row r="3879">
          <cell r="N3879">
            <v>-34.359000000000002</v>
          </cell>
        </row>
        <row r="3880">
          <cell r="N3880">
            <v>-31.78</v>
          </cell>
        </row>
        <row r="3881">
          <cell r="N3881">
            <v>-10.738</v>
          </cell>
        </row>
        <row r="3882">
          <cell r="N3882">
            <v>-36.32</v>
          </cell>
        </row>
        <row r="3883">
          <cell r="N3883">
            <v>-36.445999999999998</v>
          </cell>
        </row>
        <row r="3884">
          <cell r="N3884">
            <v>-9.2059999999999995</v>
          </cell>
        </row>
        <row r="3885">
          <cell r="N3885">
            <v>-32.283999999999999</v>
          </cell>
        </row>
        <row r="3886">
          <cell r="N3886">
            <v>-8.5749999999999993</v>
          </cell>
        </row>
        <row r="3887">
          <cell r="N3887">
            <v>-8.032</v>
          </cell>
        </row>
        <row r="3888">
          <cell r="N3888">
            <v>-38.061999999999998</v>
          </cell>
        </row>
        <row r="3889">
          <cell r="N3889">
            <v>-10.483000000000001</v>
          </cell>
        </row>
        <row r="3890">
          <cell r="N3890">
            <v>-31.187000000000001</v>
          </cell>
        </row>
        <row r="3891">
          <cell r="N3891">
            <v>-11.98</v>
          </cell>
        </row>
        <row r="3892">
          <cell r="N3892">
            <v>-8.7230000000000008</v>
          </cell>
        </row>
        <row r="3893">
          <cell r="N3893">
            <v>-33.167000000000002</v>
          </cell>
        </row>
        <row r="3894">
          <cell r="N3894">
            <v>-11.481</v>
          </cell>
        </row>
        <row r="3895">
          <cell r="N3895">
            <v>-23.677</v>
          </cell>
        </row>
        <row r="3896">
          <cell r="N3896">
            <v>-31.023</v>
          </cell>
        </row>
        <row r="3897">
          <cell r="N3897">
            <v>-8.8279999999999994</v>
          </cell>
        </row>
        <row r="3898">
          <cell r="N3898">
            <v>-9.8369999999999997</v>
          </cell>
        </row>
        <row r="3899">
          <cell r="N3899">
            <v>-27.744</v>
          </cell>
        </row>
        <row r="3900">
          <cell r="N3900">
            <v>-8.5749999999999993</v>
          </cell>
        </row>
        <row r="3901">
          <cell r="N3901">
            <v>-6.9359999999999999</v>
          </cell>
        </row>
        <row r="3902">
          <cell r="N3902">
            <v>-1.7450000000000001</v>
          </cell>
        </row>
        <row r="3903">
          <cell r="N3903">
            <v>-26.609000000000002</v>
          </cell>
        </row>
        <row r="3904">
          <cell r="N3904">
            <v>-7.5670000000000002</v>
          </cell>
        </row>
        <row r="3905">
          <cell r="N3905">
            <v>-31.274999999999999</v>
          </cell>
        </row>
        <row r="3906">
          <cell r="N3906">
            <v>-26.138999999999999</v>
          </cell>
        </row>
        <row r="3907">
          <cell r="N3907">
            <v>-9.3320000000000007</v>
          </cell>
        </row>
        <row r="3908">
          <cell r="N3908">
            <v>-37.959000000000003</v>
          </cell>
        </row>
        <row r="3909">
          <cell r="N3909">
            <v>-13.727</v>
          </cell>
        </row>
        <row r="3910">
          <cell r="N3910">
            <v>-21.433</v>
          </cell>
        </row>
        <row r="3911">
          <cell r="N3911">
            <v>-11.356</v>
          </cell>
        </row>
        <row r="3912">
          <cell r="N3912">
            <v>-8.4489999999999998</v>
          </cell>
        </row>
        <row r="3913">
          <cell r="N3913">
            <v>-9.7100000000000009</v>
          </cell>
        </row>
        <row r="3914">
          <cell r="N3914">
            <v>-34.685000000000002</v>
          </cell>
        </row>
        <row r="3915">
          <cell r="N3915">
            <v>-28.375</v>
          </cell>
        </row>
        <row r="3916">
          <cell r="N3916">
            <v>-30.896999999999998</v>
          </cell>
        </row>
        <row r="3917">
          <cell r="N3917">
            <v>-10.856999999999999</v>
          </cell>
        </row>
        <row r="3918">
          <cell r="N3918">
            <v>-33.040999999999997</v>
          </cell>
        </row>
        <row r="3919">
          <cell r="N3919">
            <v>-27.341000000000001</v>
          </cell>
        </row>
        <row r="3920">
          <cell r="N3920">
            <v>-11.04</v>
          </cell>
        </row>
        <row r="3921">
          <cell r="N3921">
            <v>-25.638000000000002</v>
          </cell>
        </row>
        <row r="3922">
          <cell r="N3922">
            <v>-30.704000000000001</v>
          </cell>
        </row>
        <row r="3923">
          <cell r="N3923">
            <v>-32.031999999999996</v>
          </cell>
        </row>
        <row r="3924">
          <cell r="N3924">
            <v>-10.922000000000001</v>
          </cell>
        </row>
        <row r="3925">
          <cell r="N3925">
            <v>-10.127000000000001</v>
          </cell>
        </row>
        <row r="3926">
          <cell r="N3926">
            <v>-8.5549999999999997</v>
          </cell>
        </row>
        <row r="3927">
          <cell r="N3927">
            <v>-7.44</v>
          </cell>
        </row>
        <row r="3928">
          <cell r="N3928">
            <v>-8.1</v>
          </cell>
        </row>
        <row r="3929">
          <cell r="N3929">
            <v>-20.561</v>
          </cell>
        </row>
        <row r="3930">
          <cell r="N3930">
            <v>-7.44</v>
          </cell>
        </row>
        <row r="3931">
          <cell r="N3931">
            <v>-29.004999999999999</v>
          </cell>
        </row>
        <row r="3932">
          <cell r="N3932">
            <v>-5.17</v>
          </cell>
        </row>
        <row r="3933">
          <cell r="N3933">
            <v>-36.32</v>
          </cell>
        </row>
        <row r="3934">
          <cell r="N3934">
            <v>-9.11</v>
          </cell>
        </row>
        <row r="3935">
          <cell r="N3935">
            <v>-8.8480000000000008</v>
          </cell>
        </row>
        <row r="3936">
          <cell r="N3936">
            <v>-38.453000000000003</v>
          </cell>
        </row>
        <row r="3937">
          <cell r="N3937">
            <v>-8.9540000000000006</v>
          </cell>
        </row>
        <row r="3938">
          <cell r="N3938">
            <v>-8.4489999999999998</v>
          </cell>
        </row>
        <row r="3939">
          <cell r="N3939">
            <v>-28.501000000000001</v>
          </cell>
        </row>
        <row r="3940">
          <cell r="N3940">
            <v>-41.478999999999999</v>
          </cell>
        </row>
        <row r="3941">
          <cell r="N3941">
            <v>-9.08</v>
          </cell>
        </row>
        <row r="3942">
          <cell r="N3942">
            <v>-31.149000000000001</v>
          </cell>
        </row>
        <row r="3943">
          <cell r="N3943">
            <v>-25.474</v>
          </cell>
        </row>
        <row r="3944">
          <cell r="N3944">
            <v>-33.796999999999997</v>
          </cell>
        </row>
        <row r="3945">
          <cell r="N3945">
            <v>-28.248999999999999</v>
          </cell>
        </row>
        <row r="3946">
          <cell r="N3946">
            <v>-34.302</v>
          </cell>
        </row>
        <row r="3947">
          <cell r="N3947">
            <v>-15.35</v>
          </cell>
        </row>
        <row r="3948">
          <cell r="N3948">
            <v>-26.734999999999999</v>
          </cell>
        </row>
        <row r="3949">
          <cell r="N3949">
            <v>-7.9749999999999996</v>
          </cell>
        </row>
        <row r="3950">
          <cell r="N3950">
            <v>-9.98</v>
          </cell>
        </row>
        <row r="3951">
          <cell r="N3951">
            <v>-24.716999999999999</v>
          </cell>
        </row>
        <row r="3952">
          <cell r="N3952">
            <v>-9.7100000000000009</v>
          </cell>
        </row>
        <row r="3953">
          <cell r="N3953">
            <v>-32.844000000000001</v>
          </cell>
        </row>
        <row r="3954">
          <cell r="N3954">
            <v>-10.981999999999999</v>
          </cell>
        </row>
        <row r="3955">
          <cell r="N3955">
            <v>-35.814999999999998</v>
          </cell>
        </row>
        <row r="3956">
          <cell r="N3956">
            <v>-33.545000000000002</v>
          </cell>
        </row>
        <row r="3957">
          <cell r="N3957">
            <v>-30.317</v>
          </cell>
        </row>
        <row r="3958">
          <cell r="N3958">
            <v>-34.070999999999998</v>
          </cell>
        </row>
        <row r="3959">
          <cell r="N3959">
            <v>-28.079000000000001</v>
          </cell>
        </row>
        <row r="3960">
          <cell r="N3960">
            <v>-30.518000000000001</v>
          </cell>
        </row>
        <row r="3961">
          <cell r="N3961">
            <v>-26.356999999999999</v>
          </cell>
        </row>
        <row r="3962">
          <cell r="N3962">
            <v>-12.989000000000001</v>
          </cell>
        </row>
        <row r="3963">
          <cell r="N3963">
            <v>-23.178000000000001</v>
          </cell>
        </row>
        <row r="3964">
          <cell r="N3964">
            <v>-35.941000000000003</v>
          </cell>
        </row>
        <row r="3965">
          <cell r="N3965">
            <v>-7.819</v>
          </cell>
        </row>
        <row r="3966">
          <cell r="N3966">
            <v>-32.787999999999997</v>
          </cell>
        </row>
        <row r="3967">
          <cell r="N3967">
            <v>-9.859</v>
          </cell>
        </row>
        <row r="3968">
          <cell r="N3968">
            <v>-33.670999999999999</v>
          </cell>
        </row>
        <row r="3969">
          <cell r="N3969">
            <v>-5.99</v>
          </cell>
        </row>
        <row r="3970">
          <cell r="N3970">
            <v>-36.192999999999998</v>
          </cell>
        </row>
        <row r="3971">
          <cell r="N3971">
            <v>-8.702</v>
          </cell>
        </row>
        <row r="3972">
          <cell r="N3972">
            <v>-34.932000000000002</v>
          </cell>
        </row>
        <row r="3973">
          <cell r="N3973">
            <v>-16.434999999999999</v>
          </cell>
        </row>
        <row r="3974">
          <cell r="N3974">
            <v>-9.5839999999999996</v>
          </cell>
        </row>
        <row r="3975">
          <cell r="N3975">
            <v>-1.4530000000000001</v>
          </cell>
        </row>
        <row r="3976">
          <cell r="N3976">
            <v>-37.448</v>
          </cell>
        </row>
        <row r="3977">
          <cell r="N3977">
            <v>-1.7390000000000001</v>
          </cell>
        </row>
        <row r="3978">
          <cell r="N3978">
            <v>-6.984</v>
          </cell>
        </row>
        <row r="3979">
          <cell r="N3979">
            <v>-0.84199999999999997</v>
          </cell>
        </row>
        <row r="3980">
          <cell r="N3980">
            <v>-1.4530000000000001</v>
          </cell>
        </row>
        <row r="3981">
          <cell r="N3981">
            <v>-7.77</v>
          </cell>
        </row>
        <row r="3982">
          <cell r="N3982">
            <v>-1.4530000000000001</v>
          </cell>
        </row>
        <row r="3983">
          <cell r="N3983">
            <v>-34.651000000000003</v>
          </cell>
        </row>
        <row r="3984">
          <cell r="N3984">
            <v>-7.2279999999999998</v>
          </cell>
        </row>
        <row r="3985">
          <cell r="N3985">
            <v>-29.382999999999999</v>
          </cell>
        </row>
        <row r="3986">
          <cell r="N3986">
            <v>-1.744</v>
          </cell>
        </row>
        <row r="3987">
          <cell r="N3987">
            <v>-7.1589999999999998</v>
          </cell>
        </row>
        <row r="3988">
          <cell r="N3988">
            <v>-8.4860000000000007</v>
          </cell>
        </row>
        <row r="3989">
          <cell r="N3989">
            <v>-27.492000000000001</v>
          </cell>
        </row>
        <row r="3990">
          <cell r="N3990">
            <v>-1.4530000000000001</v>
          </cell>
        </row>
        <row r="3991">
          <cell r="N3991">
            <v>-27.779</v>
          </cell>
        </row>
        <row r="3992">
          <cell r="N3992">
            <v>-2.4929999999999999</v>
          </cell>
        </row>
        <row r="3993">
          <cell r="N3993">
            <v>-8.1969999999999992</v>
          </cell>
        </row>
        <row r="3994">
          <cell r="N3994">
            <v>-1.45</v>
          </cell>
        </row>
        <row r="3995">
          <cell r="N3995">
            <v>-1.45</v>
          </cell>
        </row>
        <row r="3996">
          <cell r="N3996">
            <v>-1.45</v>
          </cell>
        </row>
        <row r="3997">
          <cell r="N3997">
            <v>-8.5749999999999993</v>
          </cell>
        </row>
        <row r="3998">
          <cell r="N3998">
            <v>-4.9180000000000001</v>
          </cell>
        </row>
        <row r="3999">
          <cell r="N3999">
            <v>-4.1580000000000004</v>
          </cell>
        </row>
        <row r="4000">
          <cell r="N4000">
            <v>-8.2240000000000002</v>
          </cell>
        </row>
        <row r="4001">
          <cell r="N4001">
            <v>-40.5</v>
          </cell>
        </row>
        <row r="4002">
          <cell r="N4002">
            <v>-9.2059999999999995</v>
          </cell>
        </row>
        <row r="4003">
          <cell r="N4003">
            <v>-35.689</v>
          </cell>
        </row>
        <row r="4004">
          <cell r="N4004">
            <v>-9.984</v>
          </cell>
        </row>
        <row r="4005">
          <cell r="N4005">
            <v>-38.463000000000001</v>
          </cell>
        </row>
        <row r="4006">
          <cell r="N4006">
            <v>-39.597000000000001</v>
          </cell>
        </row>
        <row r="4007">
          <cell r="N4007">
            <v>-8.4740000000000002</v>
          </cell>
        </row>
        <row r="4008">
          <cell r="N4008">
            <v>-29.131</v>
          </cell>
        </row>
        <row r="4009">
          <cell r="N4009">
            <v>-1.744</v>
          </cell>
        </row>
        <row r="4010">
          <cell r="N4010">
            <v>-22.265000000000001</v>
          </cell>
        </row>
        <row r="4011">
          <cell r="N4011">
            <v>-9.36</v>
          </cell>
        </row>
        <row r="4012">
          <cell r="N4012">
            <v>-30.265999999999998</v>
          </cell>
        </row>
        <row r="4013">
          <cell r="N4013">
            <v>-9.2210000000000001</v>
          </cell>
        </row>
        <row r="4014">
          <cell r="N4014">
            <v>-27.24</v>
          </cell>
        </row>
        <row r="4015">
          <cell r="N4015">
            <v>-30.013999999999999</v>
          </cell>
        </row>
        <row r="4016">
          <cell r="N4016">
            <v>-25.978999999999999</v>
          </cell>
        </row>
        <row r="4017">
          <cell r="N4017">
            <v>-30.645</v>
          </cell>
        </row>
        <row r="4018">
          <cell r="N4018">
            <v>-9.36</v>
          </cell>
        </row>
        <row r="4019">
          <cell r="N4019">
            <v>-19.295000000000002</v>
          </cell>
        </row>
        <row r="4020">
          <cell r="N4020">
            <v>-35.941000000000003</v>
          </cell>
        </row>
        <row r="4021">
          <cell r="N4021">
            <v>-24.338999999999999</v>
          </cell>
        </row>
        <row r="4022">
          <cell r="N4022">
            <v>-25.971</v>
          </cell>
        </row>
        <row r="4023">
          <cell r="N4023">
            <v>-10.981999999999999</v>
          </cell>
        </row>
        <row r="4024">
          <cell r="N4024">
            <v>-28.375</v>
          </cell>
        </row>
        <row r="4025">
          <cell r="N4025">
            <v>-7.9450000000000003</v>
          </cell>
        </row>
        <row r="4026">
          <cell r="N4026">
            <v>-36.823999999999998</v>
          </cell>
        </row>
        <row r="4027">
          <cell r="N4027">
            <v>-31.527000000000001</v>
          </cell>
        </row>
        <row r="4028">
          <cell r="N4028">
            <v>-14.509</v>
          </cell>
        </row>
        <row r="4029">
          <cell r="N4029">
            <v>-12.355</v>
          </cell>
        </row>
        <row r="4030">
          <cell r="N4030">
            <v>-10.981999999999999</v>
          </cell>
        </row>
        <row r="4031">
          <cell r="N4031">
            <v>-31.274999999999999</v>
          </cell>
        </row>
        <row r="4032">
          <cell r="N4032">
            <v>-25.047000000000001</v>
          </cell>
        </row>
        <row r="4033">
          <cell r="N4033">
            <v>-8.1969999999999992</v>
          </cell>
        </row>
        <row r="4034">
          <cell r="N4034">
            <v>-6.5579999999999998</v>
          </cell>
        </row>
        <row r="4035">
          <cell r="N4035">
            <v>-8.032</v>
          </cell>
        </row>
        <row r="4036">
          <cell r="N4036">
            <v>-31.652999999999999</v>
          </cell>
        </row>
        <row r="4037">
          <cell r="N4037">
            <v>-26.356999999999999</v>
          </cell>
        </row>
        <row r="4038">
          <cell r="N4038">
            <v>-31.309000000000001</v>
          </cell>
        </row>
        <row r="4039">
          <cell r="N4039">
            <v>-29.762</v>
          </cell>
        </row>
        <row r="4040">
          <cell r="N4040">
            <v>-8.032</v>
          </cell>
        </row>
        <row r="4041">
          <cell r="N4041">
            <v>-29.131</v>
          </cell>
        </row>
        <row r="4042">
          <cell r="N4042">
            <v>-8.8279999999999994</v>
          </cell>
        </row>
        <row r="4043">
          <cell r="N4043">
            <v>-10.718999999999999</v>
          </cell>
        </row>
        <row r="4044">
          <cell r="N4044">
            <v>-39.668999999999997</v>
          </cell>
        </row>
        <row r="4045">
          <cell r="N4045">
            <v>-7.44</v>
          </cell>
        </row>
        <row r="4046">
          <cell r="N4046">
            <v>-3.9089999999999998</v>
          </cell>
        </row>
        <row r="4047">
          <cell r="N4047">
            <v>-10.606999999999999</v>
          </cell>
        </row>
        <row r="4048">
          <cell r="N4048">
            <v>-9.984</v>
          </cell>
        </row>
        <row r="4049">
          <cell r="N4049">
            <v>-10.089</v>
          </cell>
        </row>
        <row r="4050">
          <cell r="N4050">
            <v>-8.5980000000000008</v>
          </cell>
        </row>
        <row r="4051">
          <cell r="N4051">
            <v>-42.665999999999997</v>
          </cell>
        </row>
        <row r="4052">
          <cell r="N4052">
            <v>-27.744</v>
          </cell>
        </row>
        <row r="4053">
          <cell r="N4053">
            <v>-7.1589999999999998</v>
          </cell>
        </row>
        <row r="4054">
          <cell r="N4054">
            <v>-18.411999999999999</v>
          </cell>
        </row>
        <row r="4055">
          <cell r="N4055">
            <v>-24.175000000000001</v>
          </cell>
        </row>
        <row r="4056">
          <cell r="N4056">
            <v>-27.995999999999999</v>
          </cell>
        </row>
        <row r="4057">
          <cell r="N4057">
            <v>-33.923000000000002</v>
          </cell>
        </row>
        <row r="4058">
          <cell r="N4058">
            <v>-8.3490000000000002</v>
          </cell>
        </row>
        <row r="4059">
          <cell r="N4059">
            <v>-41.377000000000002</v>
          </cell>
        </row>
        <row r="4060">
          <cell r="N4060">
            <v>-33.481999999999999</v>
          </cell>
        </row>
        <row r="4061">
          <cell r="N4061">
            <v>-8.8279999999999994</v>
          </cell>
        </row>
        <row r="4062">
          <cell r="N4062">
            <v>-9.2349999999999994</v>
          </cell>
        </row>
        <row r="4063">
          <cell r="N4063">
            <v>-33.545000000000002</v>
          </cell>
        </row>
        <row r="4064">
          <cell r="N4064">
            <v>-36.192999999999998</v>
          </cell>
        </row>
        <row r="4065">
          <cell r="N4065">
            <v>-9.7100000000000009</v>
          </cell>
        </row>
        <row r="4066">
          <cell r="N4066">
            <v>-46.408000000000001</v>
          </cell>
        </row>
        <row r="4067">
          <cell r="N4067">
            <v>-20.65</v>
          </cell>
        </row>
        <row r="4068">
          <cell r="N4068">
            <v>-8.9719999999999995</v>
          </cell>
        </row>
        <row r="4069">
          <cell r="N4069">
            <v>-22.056999999999999</v>
          </cell>
        </row>
        <row r="4070">
          <cell r="N4070">
            <v>-7.726</v>
          </cell>
        </row>
        <row r="4071">
          <cell r="N4071">
            <v>-39.475999999999999</v>
          </cell>
        </row>
        <row r="4072">
          <cell r="N4072">
            <v>-6.6050000000000004</v>
          </cell>
        </row>
        <row r="4073">
          <cell r="N4073">
            <v>-29.51</v>
          </cell>
        </row>
        <row r="4074">
          <cell r="N4074">
            <v>-7.44</v>
          </cell>
        </row>
        <row r="4075">
          <cell r="N4075">
            <v>-8.3610000000000007</v>
          </cell>
        </row>
        <row r="4076">
          <cell r="N4076">
            <v>-34.823</v>
          </cell>
        </row>
        <row r="4077">
          <cell r="N4077">
            <v>-8.9540000000000006</v>
          </cell>
        </row>
        <row r="4078">
          <cell r="N4078">
            <v>-7.5670000000000002</v>
          </cell>
        </row>
        <row r="4079">
          <cell r="N4079">
            <v>-28.248999999999999</v>
          </cell>
        </row>
        <row r="4080">
          <cell r="N4080">
            <v>-9.7100000000000009</v>
          </cell>
        </row>
        <row r="4081">
          <cell r="N4081">
            <v>-9.984</v>
          </cell>
        </row>
        <row r="4082">
          <cell r="N4082">
            <v>-24.716999999999999</v>
          </cell>
        </row>
        <row r="4083">
          <cell r="N4083">
            <v>-5.6619999999999999</v>
          </cell>
        </row>
        <row r="4084">
          <cell r="N4084">
            <v>-9.2059999999999995</v>
          </cell>
        </row>
        <row r="4085">
          <cell r="N4085">
            <v>-7.944</v>
          </cell>
        </row>
        <row r="4086">
          <cell r="N4086">
            <v>-18.913</v>
          </cell>
        </row>
        <row r="4087">
          <cell r="N4087">
            <v>-33.923000000000002</v>
          </cell>
        </row>
        <row r="4088">
          <cell r="N4088">
            <v>-10.856999999999999</v>
          </cell>
        </row>
        <row r="4089">
          <cell r="N4089">
            <v>-8.5549999999999997</v>
          </cell>
        </row>
        <row r="4090">
          <cell r="N4090">
            <v>-28.122</v>
          </cell>
        </row>
        <row r="4091">
          <cell r="N4091">
            <v>-9.2059999999999995</v>
          </cell>
        </row>
        <row r="4092">
          <cell r="N4092">
            <v>-31.78</v>
          </cell>
        </row>
        <row r="4093">
          <cell r="N4093">
            <v>-8.86</v>
          </cell>
        </row>
        <row r="4094">
          <cell r="N4094">
            <v>-20.934000000000001</v>
          </cell>
        </row>
        <row r="4095">
          <cell r="N4095">
            <v>-31.401</v>
          </cell>
        </row>
        <row r="4096">
          <cell r="N4096">
            <v>-30.388000000000002</v>
          </cell>
        </row>
        <row r="4097">
          <cell r="N4097">
            <v>-35.436999999999998</v>
          </cell>
        </row>
        <row r="4098">
          <cell r="N4098">
            <v>-29.928000000000001</v>
          </cell>
        </row>
        <row r="4099">
          <cell r="N4099">
            <v>-31.78</v>
          </cell>
        </row>
        <row r="4100">
          <cell r="N4100">
            <v>-31.149000000000001</v>
          </cell>
        </row>
        <row r="4101">
          <cell r="N4101">
            <v>-11.853999999999999</v>
          </cell>
        </row>
        <row r="4102">
          <cell r="N4102">
            <v>-32.787999999999997</v>
          </cell>
        </row>
        <row r="4103">
          <cell r="N4103">
            <v>-27.931000000000001</v>
          </cell>
        </row>
        <row r="4104">
          <cell r="N4104">
            <v>-39.668999999999997</v>
          </cell>
        </row>
        <row r="4105">
          <cell r="N4105">
            <v>-27.24</v>
          </cell>
        </row>
        <row r="4106">
          <cell r="N4106">
            <v>-31.401</v>
          </cell>
        </row>
        <row r="4107">
          <cell r="N4107">
            <v>-23.158999999999999</v>
          </cell>
        </row>
        <row r="4108">
          <cell r="N4108">
            <v>-16.116</v>
          </cell>
        </row>
        <row r="4109">
          <cell r="N4109">
            <v>-8.702</v>
          </cell>
        </row>
        <row r="4110">
          <cell r="N4110">
            <v>-8.5749999999999993</v>
          </cell>
        </row>
        <row r="4111">
          <cell r="N4111">
            <v>-10.981999999999999</v>
          </cell>
        </row>
        <row r="4112">
          <cell r="N4112">
            <v>-10.233000000000001</v>
          </cell>
        </row>
        <row r="4113">
          <cell r="N4113">
            <v>-28.661000000000001</v>
          </cell>
        </row>
        <row r="4114">
          <cell r="N4114">
            <v>-4.2880000000000003</v>
          </cell>
        </row>
        <row r="4115">
          <cell r="N4115">
            <v>-31.023</v>
          </cell>
        </row>
        <row r="4116">
          <cell r="N4116">
            <v>-32.283999999999999</v>
          </cell>
        </row>
        <row r="4117">
          <cell r="N4117">
            <v>-28.501000000000001</v>
          </cell>
        </row>
        <row r="4118">
          <cell r="N4118">
            <v>-10.731999999999999</v>
          </cell>
        </row>
        <row r="4119">
          <cell r="N4119">
            <v>-11.602</v>
          </cell>
        </row>
        <row r="4120">
          <cell r="N4120">
            <v>-10.731999999999999</v>
          </cell>
        </row>
        <row r="4121">
          <cell r="N4121">
            <v>-8.8279999999999994</v>
          </cell>
        </row>
        <row r="4122">
          <cell r="N4122">
            <v>-42.499000000000002</v>
          </cell>
        </row>
        <row r="4123">
          <cell r="N4123">
            <v>-9.5839999999999996</v>
          </cell>
        </row>
        <row r="4124">
          <cell r="N4124">
            <v>-42.625</v>
          </cell>
        </row>
        <row r="4125">
          <cell r="N4125">
            <v>-10.593</v>
          </cell>
        </row>
        <row r="4126">
          <cell r="N4126">
            <v>-14.85</v>
          </cell>
        </row>
        <row r="4127">
          <cell r="N4127">
            <v>-7.5949999999999998</v>
          </cell>
        </row>
        <row r="4128">
          <cell r="N4128">
            <v>-40.732999999999997</v>
          </cell>
        </row>
        <row r="4129">
          <cell r="N4129">
            <v>-14.601000000000001</v>
          </cell>
        </row>
        <row r="4130">
          <cell r="N4130">
            <v>-16.552</v>
          </cell>
        </row>
        <row r="4131">
          <cell r="N4131">
            <v>-26.734999999999999</v>
          </cell>
        </row>
        <row r="4132">
          <cell r="N4132">
            <v>-7.8570000000000002</v>
          </cell>
        </row>
        <row r="4133">
          <cell r="N4133">
            <v>-31.527000000000001</v>
          </cell>
        </row>
        <row r="4134">
          <cell r="N4134">
            <v>-29.762</v>
          </cell>
        </row>
        <row r="4135">
          <cell r="N4135">
            <v>-24.465</v>
          </cell>
        </row>
        <row r="4136">
          <cell r="N4136">
            <v>-8.4489999999999998</v>
          </cell>
        </row>
        <row r="4137">
          <cell r="N4137">
            <v>-7.1589999999999998</v>
          </cell>
        </row>
        <row r="4138">
          <cell r="N4138">
            <v>-31.274999999999999</v>
          </cell>
        </row>
        <row r="4139">
          <cell r="N4139">
            <v>-33.484999999999999</v>
          </cell>
        </row>
        <row r="4140">
          <cell r="N4140">
            <v>-36.067</v>
          </cell>
        </row>
        <row r="4141">
          <cell r="N4141">
            <v>-20.81</v>
          </cell>
        </row>
        <row r="4142">
          <cell r="N4142">
            <v>-42.665999999999997</v>
          </cell>
        </row>
        <row r="4143">
          <cell r="N4143">
            <v>-23.582000000000001</v>
          </cell>
        </row>
        <row r="4144">
          <cell r="N4144">
            <v>-33.923000000000002</v>
          </cell>
        </row>
        <row r="4145">
          <cell r="N4145">
            <v>-23.183</v>
          </cell>
        </row>
        <row r="4146">
          <cell r="N4146">
            <v>-8.5749999999999993</v>
          </cell>
        </row>
        <row r="4147">
          <cell r="N4147">
            <v>-38.453000000000003</v>
          </cell>
        </row>
        <row r="4148">
          <cell r="N4148">
            <v>-26.861000000000001</v>
          </cell>
        </row>
        <row r="4149">
          <cell r="N4149">
            <v>-7.617</v>
          </cell>
        </row>
        <row r="4150">
          <cell r="N4150">
            <v>-35.295000000000002</v>
          </cell>
        </row>
        <row r="4151">
          <cell r="N4151">
            <v>-10.233000000000001</v>
          </cell>
        </row>
        <row r="4152">
          <cell r="N4152">
            <v>-26.356999999999999</v>
          </cell>
        </row>
        <row r="4153">
          <cell r="N4153">
            <v>-30.265999999999998</v>
          </cell>
        </row>
        <row r="4154">
          <cell r="N4154">
            <v>-11.204000000000001</v>
          </cell>
        </row>
        <row r="4155">
          <cell r="N4155">
            <v>-40.646000000000001</v>
          </cell>
        </row>
        <row r="4156">
          <cell r="N4156">
            <v>-13.648</v>
          </cell>
        </row>
        <row r="4157">
          <cell r="N4157">
            <v>-26.986999999999998</v>
          </cell>
        </row>
        <row r="4158">
          <cell r="N4158">
            <v>-7.5949999999999998</v>
          </cell>
        </row>
        <row r="4159">
          <cell r="N4159">
            <v>-9.734</v>
          </cell>
        </row>
        <row r="4160">
          <cell r="N4160">
            <v>-36.067</v>
          </cell>
        </row>
        <row r="4161">
          <cell r="N4161">
            <v>-23.021000000000001</v>
          </cell>
        </row>
        <row r="4162">
          <cell r="N4162">
            <v>-26.356999999999999</v>
          </cell>
        </row>
        <row r="4163">
          <cell r="N4163">
            <v>-36.572000000000003</v>
          </cell>
        </row>
        <row r="4164">
          <cell r="N4164">
            <v>-8.2059999999999995</v>
          </cell>
        </row>
        <row r="4165">
          <cell r="N4165">
            <v>-28.375</v>
          </cell>
        </row>
        <row r="4166">
          <cell r="N4166">
            <v>-26.861000000000001</v>
          </cell>
        </row>
        <row r="4167">
          <cell r="N4167">
            <v>-10.718999999999999</v>
          </cell>
        </row>
        <row r="4168">
          <cell r="N4168">
            <v>-10.981999999999999</v>
          </cell>
        </row>
        <row r="4169">
          <cell r="N4169">
            <v>-31.023</v>
          </cell>
        </row>
        <row r="4170">
          <cell r="N4170">
            <v>-10.233000000000001</v>
          </cell>
        </row>
        <row r="4171">
          <cell r="N4171">
            <v>-22.306000000000001</v>
          </cell>
        </row>
        <row r="4172">
          <cell r="N4172">
            <v>-35.436999999999998</v>
          </cell>
        </row>
        <row r="4173">
          <cell r="N4173">
            <v>-22.58</v>
          </cell>
        </row>
        <row r="4174">
          <cell r="N4174">
            <v>-12.611000000000001</v>
          </cell>
        </row>
        <row r="4175">
          <cell r="N4175">
            <v>-7.508</v>
          </cell>
        </row>
        <row r="4176">
          <cell r="N4176">
            <v>-31.023</v>
          </cell>
        </row>
        <row r="4177">
          <cell r="N4177">
            <v>-45.274999999999999</v>
          </cell>
        </row>
        <row r="4178">
          <cell r="N4178">
            <v>-7.9450000000000003</v>
          </cell>
        </row>
        <row r="4179">
          <cell r="N4179">
            <v>-13.648</v>
          </cell>
        </row>
        <row r="4180">
          <cell r="N4180">
            <v>-24.606999999999999</v>
          </cell>
        </row>
        <row r="4181">
          <cell r="N4181">
            <v>-37.832999999999998</v>
          </cell>
        </row>
        <row r="4182">
          <cell r="N4182">
            <v>-23.062000000000001</v>
          </cell>
        </row>
        <row r="4183">
          <cell r="N4183">
            <v>-8.9540000000000006</v>
          </cell>
        </row>
        <row r="4184">
          <cell r="N4184">
            <v>-32.283999999999999</v>
          </cell>
        </row>
        <row r="4185">
          <cell r="N4185">
            <v>-9.4580000000000002</v>
          </cell>
        </row>
        <row r="4186">
          <cell r="N4186">
            <v>-33.167000000000002</v>
          </cell>
        </row>
        <row r="4187">
          <cell r="N4187">
            <v>-8.3810000000000002</v>
          </cell>
        </row>
        <row r="4188">
          <cell r="N4188">
            <v>-9.734</v>
          </cell>
        </row>
        <row r="4189">
          <cell r="N4189">
            <v>-31.652999999999999</v>
          </cell>
        </row>
        <row r="4190">
          <cell r="N4190">
            <v>-11.098000000000001</v>
          </cell>
        </row>
        <row r="4191">
          <cell r="N4191">
            <v>-8.032</v>
          </cell>
        </row>
        <row r="4192">
          <cell r="N4192">
            <v>-10.215</v>
          </cell>
        </row>
        <row r="4193">
          <cell r="N4193">
            <v>-25.978999999999999</v>
          </cell>
        </row>
        <row r="4194">
          <cell r="N4194">
            <v>-36.32</v>
          </cell>
        </row>
        <row r="4195">
          <cell r="N4195">
            <v>-5.423</v>
          </cell>
        </row>
        <row r="4196">
          <cell r="N4196">
            <v>-34.805999999999997</v>
          </cell>
        </row>
        <row r="4197">
          <cell r="N4197">
            <v>-43.314999999999998</v>
          </cell>
        </row>
        <row r="4198">
          <cell r="N4198">
            <v>-11.481</v>
          </cell>
        </row>
        <row r="4199">
          <cell r="N4199">
            <v>-31.78</v>
          </cell>
        </row>
        <row r="4200">
          <cell r="N4200">
            <v>-34.554000000000002</v>
          </cell>
        </row>
        <row r="4201">
          <cell r="N4201">
            <v>-7.3630000000000004</v>
          </cell>
        </row>
        <row r="4202">
          <cell r="N4202">
            <v>-30.265999999999998</v>
          </cell>
        </row>
        <row r="4203">
          <cell r="N4203">
            <v>-7.8620000000000001</v>
          </cell>
        </row>
        <row r="4204">
          <cell r="N4204">
            <v>-7.6120000000000001</v>
          </cell>
        </row>
        <row r="4205">
          <cell r="N4205">
            <v>-37.137</v>
          </cell>
        </row>
        <row r="4206">
          <cell r="N4206">
            <v>-32.158000000000001</v>
          </cell>
        </row>
        <row r="4207">
          <cell r="N4207">
            <v>-22.58</v>
          </cell>
        </row>
        <row r="4208">
          <cell r="N4208">
            <v>-5.3659999999999997</v>
          </cell>
        </row>
        <row r="4209">
          <cell r="N4209">
            <v>-34.302</v>
          </cell>
        </row>
        <row r="4210">
          <cell r="N4210">
            <v>-11.615</v>
          </cell>
        </row>
        <row r="4211">
          <cell r="N4211">
            <v>-12.233000000000001</v>
          </cell>
        </row>
        <row r="4212">
          <cell r="N4212">
            <v>-9.4580000000000002</v>
          </cell>
        </row>
        <row r="4213">
          <cell r="N4213">
            <v>-30.391999999999999</v>
          </cell>
        </row>
        <row r="4214">
          <cell r="N4214">
            <v>-32.399000000000001</v>
          </cell>
        </row>
        <row r="4215">
          <cell r="N4215">
            <v>-25.477</v>
          </cell>
        </row>
        <row r="4216">
          <cell r="N4216">
            <v>-8.9540000000000006</v>
          </cell>
        </row>
        <row r="4217">
          <cell r="N4217">
            <v>-30.518000000000001</v>
          </cell>
        </row>
        <row r="4218">
          <cell r="N4218">
            <v>-9.2059999999999995</v>
          </cell>
        </row>
        <row r="4219">
          <cell r="N4219">
            <v>-29.004999999999999</v>
          </cell>
        </row>
        <row r="4220">
          <cell r="N4220">
            <v>-37.140999999999998</v>
          </cell>
        </row>
        <row r="4221">
          <cell r="N4221">
            <v>-22.952000000000002</v>
          </cell>
        </row>
        <row r="4222">
          <cell r="N4222">
            <v>-41.328000000000003</v>
          </cell>
        </row>
        <row r="4223">
          <cell r="N4223">
            <v>-32.031999999999996</v>
          </cell>
        </row>
        <row r="4224">
          <cell r="N4224">
            <v>-7.1879999999999997</v>
          </cell>
        </row>
        <row r="4225">
          <cell r="N4225">
            <v>-9.4580000000000002</v>
          </cell>
        </row>
        <row r="4226">
          <cell r="N4226">
            <v>-38.369</v>
          </cell>
        </row>
        <row r="4227">
          <cell r="N4227">
            <v>-32.158000000000001</v>
          </cell>
        </row>
        <row r="4228">
          <cell r="N4228">
            <v>-33.481999999999999</v>
          </cell>
        </row>
        <row r="4229">
          <cell r="N4229">
            <v>-9.484</v>
          </cell>
        </row>
        <row r="4230">
          <cell r="N4230">
            <v>-9.734</v>
          </cell>
        </row>
        <row r="4231">
          <cell r="N4231">
            <v>-28.753</v>
          </cell>
        </row>
        <row r="4232">
          <cell r="N4232">
            <v>-38.085000000000001</v>
          </cell>
        </row>
        <row r="4233">
          <cell r="N4233">
            <v>-23.456</v>
          </cell>
        </row>
        <row r="4234">
          <cell r="N4234">
            <v>-31.401</v>
          </cell>
        </row>
        <row r="4235">
          <cell r="N4235">
            <v>-11.606</v>
          </cell>
        </row>
        <row r="4236">
          <cell r="N4236">
            <v>-9.4580000000000002</v>
          </cell>
        </row>
        <row r="4237">
          <cell r="N4237">
            <v>-10.089</v>
          </cell>
        </row>
        <row r="4238">
          <cell r="N4238">
            <v>-28.501000000000001</v>
          </cell>
        </row>
        <row r="4239">
          <cell r="N4239">
            <v>-9.5839999999999996</v>
          </cell>
        </row>
        <row r="4240">
          <cell r="N4240">
            <v>-9.36</v>
          </cell>
        </row>
        <row r="4241">
          <cell r="N4241">
            <v>-28.753</v>
          </cell>
        </row>
        <row r="4242">
          <cell r="N4242">
            <v>-14.519</v>
          </cell>
        </row>
        <row r="4243">
          <cell r="N4243">
            <v>-31.023</v>
          </cell>
        </row>
        <row r="4244">
          <cell r="N4244">
            <v>-9.2059999999999995</v>
          </cell>
        </row>
        <row r="4245">
          <cell r="N4245">
            <v>-40.057000000000002</v>
          </cell>
        </row>
        <row r="4246">
          <cell r="N4246">
            <v>-32.409999999999997</v>
          </cell>
        </row>
        <row r="4247">
          <cell r="N4247">
            <v>-14.476000000000001</v>
          </cell>
        </row>
        <row r="4248">
          <cell r="N4248">
            <v>-30.896999999999998</v>
          </cell>
        </row>
        <row r="4249">
          <cell r="N4249">
            <v>-14.763999999999999</v>
          </cell>
        </row>
        <row r="4250">
          <cell r="N4250">
            <v>-12.989000000000001</v>
          </cell>
        </row>
        <row r="4251">
          <cell r="N4251">
            <v>-29.434999999999999</v>
          </cell>
        </row>
        <row r="4252">
          <cell r="N4252">
            <v>-16.007000000000001</v>
          </cell>
        </row>
        <row r="4253">
          <cell r="N4253">
            <v>-6.4320000000000004</v>
          </cell>
        </row>
        <row r="4254">
          <cell r="N4254">
            <v>-7.6929999999999996</v>
          </cell>
        </row>
        <row r="4255">
          <cell r="N4255">
            <v>-42.206000000000003</v>
          </cell>
        </row>
        <row r="4256">
          <cell r="N4256">
            <v>-24.591000000000001</v>
          </cell>
        </row>
        <row r="4257">
          <cell r="N4257">
            <v>-31.274999999999999</v>
          </cell>
        </row>
        <row r="4258">
          <cell r="N4258">
            <v>-36.834000000000003</v>
          </cell>
        </row>
        <row r="4259">
          <cell r="N4259">
            <v>-31.401</v>
          </cell>
        </row>
        <row r="4260">
          <cell r="N4260">
            <v>-28.626999999999999</v>
          </cell>
        </row>
        <row r="4261">
          <cell r="N4261">
            <v>-31.023</v>
          </cell>
        </row>
        <row r="4262">
          <cell r="N4262">
            <v>-34.302</v>
          </cell>
        </row>
        <row r="4263">
          <cell r="N4263">
            <v>-12.051</v>
          </cell>
        </row>
        <row r="4264">
          <cell r="N4264">
            <v>-8.6110000000000007</v>
          </cell>
        </row>
        <row r="4265">
          <cell r="N4265">
            <v>-29.51</v>
          </cell>
        </row>
        <row r="4266">
          <cell r="N4266">
            <v>-9.9629999999999992</v>
          </cell>
        </row>
        <row r="4267">
          <cell r="N4267">
            <v>-30.14</v>
          </cell>
        </row>
        <row r="4268">
          <cell r="N4268">
            <v>-9.36</v>
          </cell>
        </row>
        <row r="4269">
          <cell r="N4269">
            <v>-10.483000000000001</v>
          </cell>
        </row>
        <row r="4270">
          <cell r="N4270">
            <v>-30.896999999999998</v>
          </cell>
        </row>
        <row r="4271">
          <cell r="N4271">
            <v>-23.582000000000001</v>
          </cell>
        </row>
        <row r="4272">
          <cell r="N4272">
            <v>-11.106999999999999</v>
          </cell>
        </row>
        <row r="4273">
          <cell r="N4273">
            <v>-33.418999999999997</v>
          </cell>
        </row>
        <row r="4274">
          <cell r="N4274">
            <v>-33.023000000000003</v>
          </cell>
        </row>
        <row r="4275">
          <cell r="N4275">
            <v>-11.476000000000001</v>
          </cell>
        </row>
        <row r="4276">
          <cell r="N4276">
            <v>-9.859</v>
          </cell>
        </row>
        <row r="4277">
          <cell r="N4277">
            <v>-9.984</v>
          </cell>
        </row>
        <row r="4278">
          <cell r="N4278">
            <v>-13.727</v>
          </cell>
        </row>
        <row r="4279">
          <cell r="N4279">
            <v>-13.727</v>
          </cell>
        </row>
        <row r="4280">
          <cell r="N4280">
            <v>-0.34499999999999997</v>
          </cell>
        </row>
        <row r="4281">
          <cell r="N4281">
            <v>-33.457999999999998</v>
          </cell>
        </row>
        <row r="4282">
          <cell r="N4282">
            <v>-31.274999999999999</v>
          </cell>
        </row>
        <row r="4283">
          <cell r="N4283">
            <v>-13.067</v>
          </cell>
        </row>
        <row r="4284">
          <cell r="N4284">
            <v>-11.356</v>
          </cell>
        </row>
        <row r="4285">
          <cell r="N4285">
            <v>-42.253999999999998</v>
          </cell>
        </row>
        <row r="4286">
          <cell r="N4286">
            <v>-34.302</v>
          </cell>
        </row>
        <row r="4287">
          <cell r="N4287">
            <v>-34.176000000000002</v>
          </cell>
        </row>
        <row r="4288">
          <cell r="N4288">
            <v>-10.215</v>
          </cell>
        </row>
        <row r="4289">
          <cell r="N4289">
            <v>-25.347999999999999</v>
          </cell>
        </row>
        <row r="4290">
          <cell r="N4290">
            <v>-19.782</v>
          </cell>
        </row>
        <row r="4291">
          <cell r="N4291">
            <v>-11.224</v>
          </cell>
        </row>
        <row r="4292">
          <cell r="N4292">
            <v>-44.201000000000001</v>
          </cell>
        </row>
        <row r="4293">
          <cell r="N4293">
            <v>-10.467000000000001</v>
          </cell>
        </row>
        <row r="4294">
          <cell r="N4294">
            <v>-3.3450000000000002</v>
          </cell>
        </row>
        <row r="4295">
          <cell r="N4295">
            <v>-4.367</v>
          </cell>
        </row>
        <row r="4296">
          <cell r="N4296">
            <v>-5.2460000000000004</v>
          </cell>
        </row>
        <row r="4297">
          <cell r="N4297">
            <v>-5.4370000000000003</v>
          </cell>
        </row>
        <row r="4298">
          <cell r="N4298">
            <v>-9.8369999999999997</v>
          </cell>
        </row>
        <row r="4299">
          <cell r="N4299">
            <v>-23.077999999999999</v>
          </cell>
        </row>
        <row r="4300">
          <cell r="N4300">
            <v>-5.4420000000000002</v>
          </cell>
        </row>
        <row r="4301">
          <cell r="N4301">
            <v>-36.652000000000001</v>
          </cell>
        </row>
        <row r="4302">
          <cell r="N4302">
            <v>-8.9009999999999998</v>
          </cell>
        </row>
        <row r="4303">
          <cell r="N4303">
            <v>-10.692</v>
          </cell>
        </row>
        <row r="4304">
          <cell r="N4304">
            <v>-13.815</v>
          </cell>
        </row>
        <row r="4305">
          <cell r="N4305">
            <v>-14.614000000000001</v>
          </cell>
        </row>
        <row r="4306">
          <cell r="N4306">
            <v>-12.340999999999999</v>
          </cell>
        </row>
        <row r="4307">
          <cell r="N4307">
            <v>-34.838999999999999</v>
          </cell>
        </row>
        <row r="4308">
          <cell r="N4308">
            <v>-3.2389999999999999</v>
          </cell>
        </row>
        <row r="4309">
          <cell r="N4309">
            <v>-0.92200000000000004</v>
          </cell>
        </row>
        <row r="4310">
          <cell r="N4310">
            <v>-1.2869999999999999</v>
          </cell>
        </row>
        <row r="4311">
          <cell r="N4311">
            <v>-3.1890000000000001</v>
          </cell>
        </row>
        <row r="4312">
          <cell r="N4312">
            <v>-2.472</v>
          </cell>
        </row>
        <row r="4313">
          <cell r="N4313">
            <v>-29.51</v>
          </cell>
        </row>
        <row r="4314">
          <cell r="N4314">
            <v>-12.106999999999999</v>
          </cell>
        </row>
        <row r="4315">
          <cell r="N4315">
            <v>-2.9390000000000001</v>
          </cell>
        </row>
        <row r="4316">
          <cell r="N4316">
            <v>-6.4320000000000004</v>
          </cell>
        </row>
        <row r="4317">
          <cell r="N4317">
            <v>-38.215000000000003</v>
          </cell>
        </row>
        <row r="4318">
          <cell r="N4318">
            <v>-31.401</v>
          </cell>
        </row>
        <row r="4319">
          <cell r="N4319">
            <v>-35.311</v>
          </cell>
        </row>
        <row r="4320">
          <cell r="N4320">
            <v>-16.841999999999999</v>
          </cell>
        </row>
        <row r="4321">
          <cell r="N4321">
            <v>-10.981999999999999</v>
          </cell>
        </row>
        <row r="4322">
          <cell r="N4322">
            <v>-37.328000000000003</v>
          </cell>
        </row>
        <row r="4323">
          <cell r="N4323">
            <v>-45.735999999999997</v>
          </cell>
        </row>
        <row r="4324">
          <cell r="N4324">
            <v>-28.177</v>
          </cell>
        </row>
        <row r="4325">
          <cell r="N4325">
            <v>-37.448</v>
          </cell>
        </row>
        <row r="4326">
          <cell r="N4326">
            <v>-8.86</v>
          </cell>
        </row>
        <row r="4327">
          <cell r="N4327">
            <v>-8.702</v>
          </cell>
        </row>
        <row r="4328">
          <cell r="N4328">
            <v>-10.163</v>
          </cell>
        </row>
        <row r="4329">
          <cell r="N4329">
            <v>-35.814999999999998</v>
          </cell>
        </row>
        <row r="4330">
          <cell r="N4330">
            <v>-12.105</v>
          </cell>
        </row>
        <row r="4331">
          <cell r="N4331">
            <v>-25.474</v>
          </cell>
        </row>
        <row r="4332">
          <cell r="N4332">
            <v>-10.089</v>
          </cell>
        </row>
        <row r="4333">
          <cell r="N4333">
            <v>-33.796999999999997</v>
          </cell>
        </row>
        <row r="4334">
          <cell r="N4334">
            <v>-34.049999999999997</v>
          </cell>
        </row>
        <row r="4335">
          <cell r="N4335">
            <v>-11.962999999999999</v>
          </cell>
        </row>
        <row r="4336">
          <cell r="N4336">
            <v>-24.591000000000001</v>
          </cell>
        </row>
        <row r="4337">
          <cell r="N4337">
            <v>-35.814999999999998</v>
          </cell>
        </row>
        <row r="4338">
          <cell r="N4338">
            <v>-7.819</v>
          </cell>
        </row>
        <row r="4339">
          <cell r="N4339">
            <v>-36.200000000000003</v>
          </cell>
        </row>
        <row r="4340">
          <cell r="N4340">
            <v>-45.384999999999998</v>
          </cell>
        </row>
        <row r="4341">
          <cell r="N4341">
            <v>-37.600999999999999</v>
          </cell>
        </row>
        <row r="4342">
          <cell r="N4342">
            <v>-23.582000000000001</v>
          </cell>
        </row>
        <row r="4343">
          <cell r="N4343">
            <v>-37.283000000000001</v>
          </cell>
        </row>
        <row r="4344">
          <cell r="N4344">
            <v>-40.859000000000002</v>
          </cell>
        </row>
        <row r="4345">
          <cell r="N4345">
            <v>-39.29</v>
          </cell>
        </row>
        <row r="4346">
          <cell r="N4346">
            <v>-35.689</v>
          </cell>
        </row>
        <row r="4347">
          <cell r="N4347">
            <v>-13.727</v>
          </cell>
        </row>
        <row r="4348">
          <cell r="N4348">
            <v>-8.8480000000000008</v>
          </cell>
        </row>
        <row r="4349">
          <cell r="N4349">
            <v>-9.5839999999999996</v>
          </cell>
        </row>
        <row r="4350">
          <cell r="N4350">
            <v>-13.852</v>
          </cell>
        </row>
        <row r="4351">
          <cell r="N4351">
            <v>-12.989000000000001</v>
          </cell>
        </row>
        <row r="4352">
          <cell r="N4352">
            <v>-11.224</v>
          </cell>
        </row>
        <row r="4353">
          <cell r="N4353">
            <v>-36.387</v>
          </cell>
        </row>
        <row r="4354">
          <cell r="N4354">
            <v>-9.484</v>
          </cell>
        </row>
        <row r="4355">
          <cell r="N4355">
            <v>-13.938000000000001</v>
          </cell>
        </row>
        <row r="4356">
          <cell r="N4356">
            <v>-32.158000000000001</v>
          </cell>
        </row>
        <row r="4357">
          <cell r="N4357">
            <v>-36.262</v>
          </cell>
        </row>
        <row r="4358">
          <cell r="N4358">
            <v>-10.483000000000001</v>
          </cell>
        </row>
        <row r="4359">
          <cell r="N4359">
            <v>-8.5749999999999993</v>
          </cell>
        </row>
        <row r="4360">
          <cell r="N4360">
            <v>-10.981999999999999</v>
          </cell>
        </row>
        <row r="4361">
          <cell r="N4361">
            <v>-10.972</v>
          </cell>
        </row>
        <row r="4362">
          <cell r="N4362">
            <v>-7.601</v>
          </cell>
        </row>
        <row r="4363">
          <cell r="N4363">
            <v>-23.582000000000001</v>
          </cell>
        </row>
        <row r="4364">
          <cell r="N4364">
            <v>-9.5950000000000006</v>
          </cell>
        </row>
        <row r="4365">
          <cell r="N4365">
            <v>-50.707000000000001</v>
          </cell>
        </row>
        <row r="4366">
          <cell r="N4366">
            <v>-9.36</v>
          </cell>
        </row>
        <row r="4367">
          <cell r="N4367">
            <v>-32.283999999999999</v>
          </cell>
        </row>
        <row r="4368">
          <cell r="N4368">
            <v>-36.950000000000003</v>
          </cell>
        </row>
        <row r="4369">
          <cell r="N4369">
            <v>-23.709</v>
          </cell>
        </row>
        <row r="4370">
          <cell r="N4370">
            <v>-25.186</v>
          </cell>
        </row>
        <row r="4371">
          <cell r="N4371">
            <v>-36.262</v>
          </cell>
        </row>
        <row r="4372">
          <cell r="N4372">
            <v>-34.427999999999997</v>
          </cell>
        </row>
        <row r="4373">
          <cell r="N4373">
            <v>-40.363999999999997</v>
          </cell>
        </row>
        <row r="4374">
          <cell r="N4374">
            <v>-6.81</v>
          </cell>
        </row>
        <row r="4375">
          <cell r="N4375">
            <v>-40.000999999999998</v>
          </cell>
        </row>
        <row r="4376">
          <cell r="N4376">
            <v>-17.215</v>
          </cell>
        </row>
        <row r="4377">
          <cell r="N4377">
            <v>-8.2360000000000007</v>
          </cell>
        </row>
        <row r="4378">
          <cell r="N4378">
            <v>-35.941000000000003</v>
          </cell>
        </row>
        <row r="4379">
          <cell r="N4379">
            <v>-35.814999999999998</v>
          </cell>
        </row>
        <row r="4380">
          <cell r="N4380">
            <v>-35.143999999999998</v>
          </cell>
        </row>
        <row r="4381">
          <cell r="N4381">
            <v>-35.058</v>
          </cell>
        </row>
        <row r="4382">
          <cell r="N4382">
            <v>-36.387</v>
          </cell>
        </row>
        <row r="4383">
          <cell r="N4383">
            <v>-15.225</v>
          </cell>
        </row>
        <row r="4384">
          <cell r="N4384">
            <v>-37.755000000000003</v>
          </cell>
        </row>
        <row r="4385">
          <cell r="N4385">
            <v>-8.702</v>
          </cell>
        </row>
        <row r="4386">
          <cell r="N4386">
            <v>-10.981999999999999</v>
          </cell>
        </row>
        <row r="4387">
          <cell r="N4387">
            <v>-9.9629999999999992</v>
          </cell>
        </row>
        <row r="4388">
          <cell r="N4388">
            <v>-9.08</v>
          </cell>
        </row>
        <row r="4389">
          <cell r="N4389">
            <v>-25.667999999999999</v>
          </cell>
        </row>
        <row r="4390">
          <cell r="N4390">
            <v>-24.51</v>
          </cell>
        </row>
        <row r="4391">
          <cell r="N4391">
            <v>-9.4580000000000002</v>
          </cell>
        </row>
        <row r="4392">
          <cell r="N4392">
            <v>-32.997</v>
          </cell>
        </row>
        <row r="4393">
          <cell r="N4393">
            <v>-10.340999999999999</v>
          </cell>
        </row>
        <row r="4394">
          <cell r="N4394">
            <v>-9.4580000000000002</v>
          </cell>
        </row>
        <row r="4395">
          <cell r="N4395">
            <v>-9.2059999999999995</v>
          </cell>
        </row>
        <row r="4396">
          <cell r="N4396">
            <v>-35.563000000000002</v>
          </cell>
        </row>
        <row r="4397">
          <cell r="N4397">
            <v>-46.348999999999997</v>
          </cell>
        </row>
        <row r="4398">
          <cell r="N4398">
            <v>-7.601</v>
          </cell>
        </row>
        <row r="4399">
          <cell r="N4399">
            <v>-32.283999999999999</v>
          </cell>
        </row>
        <row r="4400">
          <cell r="N4400">
            <v>-12.355</v>
          </cell>
        </row>
        <row r="4401">
          <cell r="N4401">
            <v>-10.233000000000001</v>
          </cell>
        </row>
        <row r="4402">
          <cell r="N4402">
            <v>-36.761000000000003</v>
          </cell>
        </row>
        <row r="4403">
          <cell r="N4403">
            <v>-33.167000000000002</v>
          </cell>
        </row>
        <row r="4404">
          <cell r="N4404">
            <v>-14.351000000000001</v>
          </cell>
        </row>
        <row r="4405">
          <cell r="N4405">
            <v>-13.358000000000001</v>
          </cell>
        </row>
        <row r="4406">
          <cell r="N4406">
            <v>-32.787999999999997</v>
          </cell>
        </row>
        <row r="4407">
          <cell r="N4407">
            <v>-37.429000000000002</v>
          </cell>
        </row>
        <row r="4408">
          <cell r="N4408">
            <v>-27.87</v>
          </cell>
        </row>
        <row r="4409">
          <cell r="N4409">
            <v>-15.35</v>
          </cell>
        </row>
        <row r="4410">
          <cell r="N4410">
            <v>-36.698</v>
          </cell>
        </row>
        <row r="4411">
          <cell r="N4411">
            <v>-9.11</v>
          </cell>
        </row>
        <row r="4412">
          <cell r="N4412">
            <v>-9.5839999999999996</v>
          </cell>
        </row>
        <row r="4413">
          <cell r="N4413">
            <v>-1.6970000000000001</v>
          </cell>
        </row>
        <row r="4414">
          <cell r="N4414">
            <v>-36.387</v>
          </cell>
        </row>
        <row r="4415">
          <cell r="N4415">
            <v>-29.382999999999999</v>
          </cell>
        </row>
        <row r="4416">
          <cell r="N4416">
            <v>-7.4770000000000003</v>
          </cell>
        </row>
        <row r="4417">
          <cell r="N4417">
            <v>-37.832999999999998</v>
          </cell>
        </row>
        <row r="4418">
          <cell r="N4418">
            <v>-40.354999999999997</v>
          </cell>
        </row>
        <row r="4419">
          <cell r="N4419">
            <v>-19.798999999999999</v>
          </cell>
        </row>
        <row r="4420">
          <cell r="N4420">
            <v>-31.652999999999999</v>
          </cell>
        </row>
        <row r="4421">
          <cell r="N4421">
            <v>-6.9359999999999999</v>
          </cell>
        </row>
        <row r="4422">
          <cell r="N4422">
            <v>-9.4580000000000002</v>
          </cell>
        </row>
        <row r="4423">
          <cell r="N4423">
            <v>-10.343</v>
          </cell>
        </row>
        <row r="4424">
          <cell r="N4424">
            <v>-38.764000000000003</v>
          </cell>
        </row>
        <row r="4425">
          <cell r="N4425">
            <v>-27.617999999999999</v>
          </cell>
        </row>
        <row r="4426">
          <cell r="N4426">
            <v>-2.14</v>
          </cell>
        </row>
        <row r="4427">
          <cell r="N4427">
            <v>-42.665999999999997</v>
          </cell>
        </row>
        <row r="4428">
          <cell r="N4428">
            <v>-15.051</v>
          </cell>
        </row>
        <row r="4429">
          <cell r="N4429">
            <v>-12.728999999999999</v>
          </cell>
        </row>
        <row r="4430">
          <cell r="N4430">
            <v>-10.972</v>
          </cell>
        </row>
        <row r="4431">
          <cell r="N4431">
            <v>-38.841999999999999</v>
          </cell>
        </row>
        <row r="4432">
          <cell r="N4432">
            <v>-30.14</v>
          </cell>
        </row>
        <row r="4433">
          <cell r="N4433">
            <v>-11.481</v>
          </cell>
        </row>
        <row r="4434">
          <cell r="N4434">
            <v>-33.040999999999997</v>
          </cell>
        </row>
        <row r="4435">
          <cell r="N4435">
            <v>-24.465</v>
          </cell>
        </row>
        <row r="4436">
          <cell r="N4436">
            <v>-28.879000000000001</v>
          </cell>
        </row>
        <row r="4437">
          <cell r="N4437">
            <v>-8.4489999999999998</v>
          </cell>
        </row>
        <row r="4438">
          <cell r="N4438">
            <v>-31.922999999999998</v>
          </cell>
        </row>
        <row r="4439">
          <cell r="N4439">
            <v>-33.646000000000001</v>
          </cell>
        </row>
        <row r="4440">
          <cell r="N4440">
            <v>-9.4710000000000001</v>
          </cell>
        </row>
        <row r="4441">
          <cell r="N4441">
            <v>-32.787999999999997</v>
          </cell>
        </row>
        <row r="4442">
          <cell r="N4442">
            <v>-11.855</v>
          </cell>
        </row>
        <row r="4443">
          <cell r="N4443">
            <v>-39.767000000000003</v>
          </cell>
        </row>
        <row r="4444">
          <cell r="N4444">
            <v>-32.076000000000001</v>
          </cell>
        </row>
        <row r="4445">
          <cell r="N4445">
            <v>-43.587000000000003</v>
          </cell>
        </row>
        <row r="4446">
          <cell r="N4446">
            <v>-9.6630000000000003</v>
          </cell>
        </row>
        <row r="4447">
          <cell r="N4447">
            <v>-1.8420000000000001</v>
          </cell>
        </row>
        <row r="4448">
          <cell r="N4448">
            <v>-37.959000000000003</v>
          </cell>
        </row>
        <row r="4449">
          <cell r="N4449">
            <v>-32.914999999999999</v>
          </cell>
        </row>
        <row r="4450">
          <cell r="N4450">
            <v>-46.042000000000002</v>
          </cell>
        </row>
        <row r="4451">
          <cell r="N4451">
            <v>-12.23</v>
          </cell>
        </row>
        <row r="4452">
          <cell r="N4452">
            <v>-9.3320000000000007</v>
          </cell>
        </row>
        <row r="4453">
          <cell r="N4453">
            <v>-23.835000000000001</v>
          </cell>
        </row>
        <row r="4454">
          <cell r="N4454">
            <v>-33.670999999999999</v>
          </cell>
        </row>
        <row r="4455">
          <cell r="N4455">
            <v>-10.468</v>
          </cell>
        </row>
        <row r="4456">
          <cell r="N4456">
            <v>-34.805999999999997</v>
          </cell>
        </row>
        <row r="4457">
          <cell r="N4457">
            <v>-8.5470000000000006</v>
          </cell>
        </row>
        <row r="4458">
          <cell r="N4458">
            <v>-36.067</v>
          </cell>
        </row>
        <row r="4459">
          <cell r="N4459">
            <v>-32.229999999999997</v>
          </cell>
        </row>
        <row r="4460">
          <cell r="N4460">
            <v>-16.329000000000001</v>
          </cell>
        </row>
        <row r="4461">
          <cell r="N4461">
            <v>-35.436999999999998</v>
          </cell>
        </row>
        <row r="4462">
          <cell r="N4462">
            <v>-9.0220000000000002</v>
          </cell>
        </row>
        <row r="4463">
          <cell r="N4463">
            <v>-40.210999999999999</v>
          </cell>
        </row>
        <row r="4464">
          <cell r="N4464">
            <v>-12.853999999999999</v>
          </cell>
        </row>
        <row r="4465">
          <cell r="N4465">
            <v>-13.603</v>
          </cell>
        </row>
        <row r="4466">
          <cell r="N4466">
            <v>-32.158000000000001</v>
          </cell>
        </row>
        <row r="4467">
          <cell r="N4467">
            <v>-9.7100000000000009</v>
          </cell>
        </row>
        <row r="4468">
          <cell r="N4468">
            <v>-14.975</v>
          </cell>
        </row>
        <row r="4469">
          <cell r="N4469">
            <v>-38.755000000000003</v>
          </cell>
        </row>
        <row r="4470">
          <cell r="N4470">
            <v>-38.15</v>
          </cell>
        </row>
        <row r="4471">
          <cell r="N4471">
            <v>-35.912999999999997</v>
          </cell>
        </row>
        <row r="4472">
          <cell r="N4472">
            <v>-7.4770000000000003</v>
          </cell>
        </row>
        <row r="4473">
          <cell r="N4473">
            <v>-16.132000000000001</v>
          </cell>
        </row>
        <row r="4474">
          <cell r="N4474">
            <v>-24.896000000000001</v>
          </cell>
        </row>
        <row r="4475">
          <cell r="N4475">
            <v>-2.778</v>
          </cell>
        </row>
        <row r="4476">
          <cell r="N4476">
            <v>-22.097999999999999</v>
          </cell>
        </row>
        <row r="4477">
          <cell r="N4477">
            <v>-6.6840000000000002</v>
          </cell>
        </row>
        <row r="4478">
          <cell r="N4478">
            <v>-32.750999999999998</v>
          </cell>
        </row>
        <row r="4479">
          <cell r="N4479">
            <v>-36.761000000000003</v>
          </cell>
        </row>
        <row r="4480">
          <cell r="N4480">
            <v>-5.0910000000000002</v>
          </cell>
        </row>
        <row r="4481">
          <cell r="N4481">
            <v>-32.311999999999998</v>
          </cell>
        </row>
        <row r="4482">
          <cell r="N4482">
            <v>-38.462000000000003</v>
          </cell>
        </row>
        <row r="4483">
          <cell r="N4483">
            <v>-37.959000000000003</v>
          </cell>
        </row>
        <row r="4484">
          <cell r="N4484">
            <v>-39.128999999999998</v>
          </cell>
        </row>
        <row r="4485">
          <cell r="N4485">
            <v>-33.936999999999998</v>
          </cell>
        </row>
        <row r="4486">
          <cell r="N4486">
            <v>-23.501999999999999</v>
          </cell>
        </row>
        <row r="4487">
          <cell r="N4487">
            <v>-3.1520000000000001</v>
          </cell>
        </row>
        <row r="4488">
          <cell r="N4488">
            <v>-36.387</v>
          </cell>
        </row>
        <row r="4489">
          <cell r="N4489">
            <v>-5.6289999999999996</v>
          </cell>
        </row>
        <row r="4490">
          <cell r="N4490">
            <v>-9.984</v>
          </cell>
        </row>
        <row r="4491">
          <cell r="N4491">
            <v>-17.576000000000001</v>
          </cell>
        </row>
        <row r="4492">
          <cell r="N4492">
            <v>-5.6980000000000004</v>
          </cell>
        </row>
        <row r="4493">
          <cell r="N4493">
            <v>-8.8279999999999994</v>
          </cell>
        </row>
        <row r="4494">
          <cell r="N4494">
            <v>-26.396000000000001</v>
          </cell>
        </row>
        <row r="4495">
          <cell r="N4495">
            <v>-11.481</v>
          </cell>
        </row>
        <row r="4496">
          <cell r="N4496">
            <v>-10.717000000000001</v>
          </cell>
        </row>
        <row r="4497">
          <cell r="N4497">
            <v>-28.751999999999999</v>
          </cell>
        </row>
        <row r="4498">
          <cell r="N4498">
            <v>-28.751999999999999</v>
          </cell>
        </row>
        <row r="4499">
          <cell r="N4499">
            <v>-29.459</v>
          </cell>
        </row>
        <row r="4500">
          <cell r="N4500">
            <v>-33.610999999999997</v>
          </cell>
        </row>
        <row r="4501">
          <cell r="N4501">
            <v>-5.992</v>
          </cell>
        </row>
        <row r="4502">
          <cell r="N4502">
            <v>-32.283999999999999</v>
          </cell>
        </row>
        <row r="4503">
          <cell r="N4503">
            <v>-34.554000000000002</v>
          </cell>
        </row>
        <row r="4504">
          <cell r="N4504">
            <v>-18.382999999999999</v>
          </cell>
        </row>
        <row r="4505">
          <cell r="N4505">
            <v>-4.99</v>
          </cell>
        </row>
        <row r="4506">
          <cell r="N4506">
            <v>-25.096</v>
          </cell>
        </row>
        <row r="4507">
          <cell r="N4507">
            <v>-9.5950000000000006</v>
          </cell>
        </row>
        <row r="4508">
          <cell r="N4508">
            <v>-26.16</v>
          </cell>
        </row>
        <row r="4509">
          <cell r="N4509">
            <v>-38.215000000000003</v>
          </cell>
        </row>
        <row r="4510">
          <cell r="N4510">
            <v>-33.292999999999999</v>
          </cell>
        </row>
        <row r="4511">
          <cell r="N4511">
            <v>-31.402999999999999</v>
          </cell>
        </row>
        <row r="4512">
          <cell r="N4512">
            <v>-27.103000000000002</v>
          </cell>
        </row>
        <row r="4513">
          <cell r="N4513">
            <v>-41.668999999999997</v>
          </cell>
        </row>
        <row r="4514">
          <cell r="N4514">
            <v>-35.39</v>
          </cell>
        </row>
        <row r="4515">
          <cell r="N4515">
            <v>-37.581000000000003</v>
          </cell>
        </row>
        <row r="4516">
          <cell r="N4516">
            <v>-11.785</v>
          </cell>
        </row>
        <row r="4517">
          <cell r="N4517">
            <v>-41.37</v>
          </cell>
        </row>
        <row r="4518">
          <cell r="N4518">
            <v>-28.87</v>
          </cell>
        </row>
        <row r="4519">
          <cell r="N4519">
            <v>-35.058</v>
          </cell>
        </row>
        <row r="4520">
          <cell r="N4520">
            <v>-47.225000000000001</v>
          </cell>
        </row>
        <row r="4521">
          <cell r="N4521">
            <v>-19.202999999999999</v>
          </cell>
        </row>
        <row r="4522">
          <cell r="N4522">
            <v>-9.1140000000000008</v>
          </cell>
        </row>
        <row r="4523">
          <cell r="N4523">
            <v>-39.136000000000003</v>
          </cell>
        </row>
        <row r="4524">
          <cell r="N4524">
            <v>-32.640999999999998</v>
          </cell>
        </row>
        <row r="4525">
          <cell r="N4525">
            <v>-8.8279999999999994</v>
          </cell>
        </row>
        <row r="4526">
          <cell r="N4526">
            <v>-36.067</v>
          </cell>
        </row>
        <row r="4527">
          <cell r="N4527">
            <v>-26.748999999999999</v>
          </cell>
        </row>
        <row r="4528">
          <cell r="N4528">
            <v>-31.905999999999999</v>
          </cell>
        </row>
        <row r="4529">
          <cell r="N4529">
            <v>-11.106999999999999</v>
          </cell>
        </row>
        <row r="4530">
          <cell r="N4530">
            <v>-10.86</v>
          </cell>
        </row>
        <row r="4531">
          <cell r="N4531">
            <v>-23.920999999999999</v>
          </cell>
        </row>
        <row r="4532">
          <cell r="N4532">
            <v>-9.0969999999999995</v>
          </cell>
        </row>
        <row r="4533">
          <cell r="N4533">
            <v>-35.445999999999998</v>
          </cell>
        </row>
        <row r="4534">
          <cell r="N4534">
            <v>-23.332000000000001</v>
          </cell>
        </row>
        <row r="4535">
          <cell r="N4535">
            <v>-4.5069999999999997</v>
          </cell>
        </row>
        <row r="4536">
          <cell r="N4536">
            <v>-7.3140000000000001</v>
          </cell>
        </row>
        <row r="4537">
          <cell r="N4537">
            <v>-12.478999999999999</v>
          </cell>
        </row>
        <row r="4538">
          <cell r="N4538">
            <v>-34.302</v>
          </cell>
        </row>
        <row r="4539">
          <cell r="N4539">
            <v>-29.382999999999999</v>
          </cell>
        </row>
        <row r="4540">
          <cell r="N4540">
            <v>-3.415</v>
          </cell>
        </row>
        <row r="4541">
          <cell r="N4541">
            <v>-6.3109999999999999</v>
          </cell>
        </row>
        <row r="4542">
          <cell r="N4542">
            <v>-9.5139999999999993</v>
          </cell>
        </row>
        <row r="4543">
          <cell r="N4543">
            <v>-17.558</v>
          </cell>
        </row>
        <row r="4544">
          <cell r="N4544">
            <v>-11.356</v>
          </cell>
        </row>
        <row r="4545">
          <cell r="N4545">
            <v>-31.109000000000002</v>
          </cell>
        </row>
        <row r="4546">
          <cell r="N4546">
            <v>-34.055</v>
          </cell>
        </row>
        <row r="4547">
          <cell r="N4547">
            <v>-34.427999999999997</v>
          </cell>
        </row>
        <row r="4548">
          <cell r="N4548">
            <v>-40.228999999999999</v>
          </cell>
        </row>
        <row r="4549">
          <cell r="N4549">
            <v>-21.408999999999999</v>
          </cell>
        </row>
        <row r="4550">
          <cell r="N4550">
            <v>-10.983000000000001</v>
          </cell>
        </row>
        <row r="4551">
          <cell r="N4551">
            <v>-9.9689999999999994</v>
          </cell>
        </row>
        <row r="4552">
          <cell r="N4552">
            <v>-31.149000000000001</v>
          </cell>
        </row>
        <row r="4553">
          <cell r="N4553">
            <v>-22.271000000000001</v>
          </cell>
        </row>
        <row r="4554">
          <cell r="N4554">
            <v>-8.0000000000000002E-3</v>
          </cell>
        </row>
        <row r="4555">
          <cell r="N4555">
            <v>-10.467000000000001</v>
          </cell>
        </row>
        <row r="4556">
          <cell r="N4556">
            <v>-41.37</v>
          </cell>
        </row>
        <row r="4557">
          <cell r="N4557">
            <v>-27.928000000000001</v>
          </cell>
        </row>
        <row r="4558">
          <cell r="N4558">
            <v>-21.518999999999998</v>
          </cell>
        </row>
        <row r="4559">
          <cell r="N4559">
            <v>-11.606</v>
          </cell>
        </row>
        <row r="4560">
          <cell r="N4560">
            <v>-32.661999999999999</v>
          </cell>
        </row>
        <row r="4561">
          <cell r="N4561">
            <v>-37.832999999999998</v>
          </cell>
        </row>
        <row r="4562">
          <cell r="N4562">
            <v>-28.988</v>
          </cell>
        </row>
        <row r="4563">
          <cell r="N4563">
            <v>-40.670999999999999</v>
          </cell>
        </row>
        <row r="4564">
          <cell r="N4564">
            <v>-31.401</v>
          </cell>
        </row>
        <row r="4565">
          <cell r="N4565">
            <v>-30.896999999999998</v>
          </cell>
        </row>
        <row r="4566">
          <cell r="N4566">
            <v>-44.886000000000003</v>
          </cell>
        </row>
        <row r="4567">
          <cell r="N4567">
            <v>-24.864000000000001</v>
          </cell>
        </row>
        <row r="4568">
          <cell r="N4568">
            <v>-30.032</v>
          </cell>
        </row>
        <row r="4569">
          <cell r="N4569">
            <v>-7.7990000000000004</v>
          </cell>
        </row>
        <row r="4570">
          <cell r="N4570">
            <v>-10.108000000000001</v>
          </cell>
        </row>
        <row r="4571">
          <cell r="N4571">
            <v>-25.474</v>
          </cell>
        </row>
        <row r="4572">
          <cell r="N4572">
            <v>-19.282</v>
          </cell>
        </row>
        <row r="4573">
          <cell r="N4573">
            <v>-29.762</v>
          </cell>
        </row>
        <row r="4574">
          <cell r="N4574">
            <v>-27.574000000000002</v>
          </cell>
        </row>
        <row r="4575">
          <cell r="N4575">
            <v>-2.8000000000000001E-2</v>
          </cell>
        </row>
        <row r="4576">
          <cell r="N4576">
            <v>-32.399000000000001</v>
          </cell>
        </row>
        <row r="4577">
          <cell r="N4577">
            <v>-27.456</v>
          </cell>
        </row>
        <row r="4578">
          <cell r="N4578">
            <v>-30.638000000000002</v>
          </cell>
        </row>
        <row r="4579">
          <cell r="N4579">
            <v>-9.3460000000000001</v>
          </cell>
        </row>
        <row r="4580">
          <cell r="N4580">
            <v>-40.000999999999998</v>
          </cell>
        </row>
        <row r="4581">
          <cell r="N4581">
            <v>-31.344999999999999</v>
          </cell>
        </row>
        <row r="4582">
          <cell r="N4582">
            <v>-31.14</v>
          </cell>
        </row>
        <row r="4583">
          <cell r="N4583">
            <v>-27.221</v>
          </cell>
        </row>
        <row r="4584">
          <cell r="N4584">
            <v>-30.234999999999999</v>
          </cell>
        </row>
        <row r="4585">
          <cell r="N4585">
            <v>-35.453000000000003</v>
          </cell>
        </row>
        <row r="4586">
          <cell r="N4586">
            <v>-28.751999999999999</v>
          </cell>
        </row>
        <row r="4587">
          <cell r="N4587">
            <v>-15.599</v>
          </cell>
        </row>
        <row r="4588">
          <cell r="N4588">
            <v>-3.4169999999999998</v>
          </cell>
        </row>
        <row r="4589">
          <cell r="N4589">
            <v>-31.274999999999999</v>
          </cell>
        </row>
        <row r="4590">
          <cell r="N4590">
            <v>-11.962999999999999</v>
          </cell>
        </row>
        <row r="4591">
          <cell r="N4591">
            <v>-29.341999999999999</v>
          </cell>
        </row>
        <row r="4592">
          <cell r="N4592">
            <v>-34.892000000000003</v>
          </cell>
        </row>
        <row r="4593">
          <cell r="N4593">
            <v>-26.483000000000001</v>
          </cell>
        </row>
        <row r="4594">
          <cell r="N4594">
            <v>-33.347999999999999</v>
          </cell>
        </row>
        <row r="4595">
          <cell r="N4595">
            <v>-26.396000000000001</v>
          </cell>
        </row>
        <row r="4596">
          <cell r="N4596">
            <v>-31.14</v>
          </cell>
        </row>
        <row r="4597">
          <cell r="N4597">
            <v>-23.096</v>
          </cell>
        </row>
        <row r="4598">
          <cell r="N4598">
            <v>-13.2</v>
          </cell>
        </row>
        <row r="4599">
          <cell r="N4599">
            <v>-25.806000000000001</v>
          </cell>
        </row>
        <row r="4600">
          <cell r="N4600">
            <v>-23.738</v>
          </cell>
        </row>
        <row r="4601">
          <cell r="N4601">
            <v>-2.617</v>
          </cell>
        </row>
        <row r="4602">
          <cell r="N4602">
            <v>-42.835999999999999</v>
          </cell>
        </row>
        <row r="4603">
          <cell r="N4603">
            <v>-32.287999999999997</v>
          </cell>
        </row>
        <row r="4604">
          <cell r="N4604">
            <v>-24.391999999999999</v>
          </cell>
        </row>
        <row r="4605">
          <cell r="N4605">
            <v>-34.796999999999997</v>
          </cell>
        </row>
        <row r="4606">
          <cell r="N4606">
            <v>-26.105</v>
          </cell>
        </row>
        <row r="4607">
          <cell r="N4607">
            <v>-12.978999999999999</v>
          </cell>
        </row>
        <row r="4608">
          <cell r="N4608">
            <v>-43.61</v>
          </cell>
        </row>
        <row r="4609">
          <cell r="N4609">
            <v>-17.062999999999999</v>
          </cell>
        </row>
        <row r="4610">
          <cell r="N4610">
            <v>-17.780999999999999</v>
          </cell>
        </row>
        <row r="4611">
          <cell r="N4611">
            <v>-8.98</v>
          </cell>
        </row>
        <row r="4612">
          <cell r="N4612">
            <v>-28.393000000000001</v>
          </cell>
        </row>
        <row r="4613">
          <cell r="N4613">
            <v>-10.358000000000001</v>
          </cell>
        </row>
        <row r="4614">
          <cell r="N4614">
            <v>-35.563000000000002</v>
          </cell>
        </row>
        <row r="4615">
          <cell r="N4615">
            <v>-3.6619999999999999</v>
          </cell>
        </row>
        <row r="4616">
          <cell r="N4616">
            <v>-36.192999999999998</v>
          </cell>
        </row>
        <row r="4617">
          <cell r="N4617">
            <v>-3.6619999999999999</v>
          </cell>
        </row>
        <row r="4618">
          <cell r="N4618">
            <v>-32.787999999999997</v>
          </cell>
        </row>
        <row r="4619">
          <cell r="N4619">
            <v>-50.442</v>
          </cell>
        </row>
        <row r="4620">
          <cell r="N4620">
            <v>-38.085000000000001</v>
          </cell>
        </row>
        <row r="4621">
          <cell r="N4621">
            <v>-30.166</v>
          </cell>
        </row>
        <row r="4622">
          <cell r="N4622">
            <v>-9.3460000000000001</v>
          </cell>
        </row>
        <row r="4623">
          <cell r="N4623">
            <v>-10.358000000000001</v>
          </cell>
        </row>
        <row r="4624">
          <cell r="N4624">
            <v>-8.9849999999999994</v>
          </cell>
        </row>
        <row r="4625">
          <cell r="N4625">
            <v>-42.232999999999997</v>
          </cell>
        </row>
        <row r="4626">
          <cell r="N4626">
            <v>-20.686</v>
          </cell>
        </row>
        <row r="4627">
          <cell r="N4627">
            <v>-28.516999999999999</v>
          </cell>
        </row>
        <row r="4628">
          <cell r="N4628">
            <v>-30.518000000000001</v>
          </cell>
        </row>
        <row r="4629">
          <cell r="N4629">
            <v>-7.2370000000000001</v>
          </cell>
        </row>
        <row r="4630">
          <cell r="N4630">
            <v>-29.106000000000002</v>
          </cell>
        </row>
        <row r="4631">
          <cell r="N4631">
            <v>-37.868000000000002</v>
          </cell>
        </row>
        <row r="4632">
          <cell r="N4632">
            <v>-28.280999999999999</v>
          </cell>
        </row>
        <row r="4633">
          <cell r="N4633">
            <v>-28.163</v>
          </cell>
        </row>
        <row r="4634">
          <cell r="N4634">
            <v>-38.793999999999997</v>
          </cell>
        </row>
        <row r="4635">
          <cell r="N4635">
            <v>-35.436999999999998</v>
          </cell>
        </row>
        <row r="4636">
          <cell r="N4636">
            <v>-11.476000000000001</v>
          </cell>
        </row>
        <row r="4637">
          <cell r="N4637">
            <v>-9.0969999999999995</v>
          </cell>
        </row>
        <row r="4638">
          <cell r="N4638">
            <v>-6.3460000000000001</v>
          </cell>
        </row>
        <row r="4639">
          <cell r="N4639">
            <v>-37.201999999999998</v>
          </cell>
        </row>
        <row r="4640">
          <cell r="N4640">
            <v>-34.643999999999998</v>
          </cell>
        </row>
        <row r="4641">
          <cell r="N4641">
            <v>-30.048999999999999</v>
          </cell>
        </row>
        <row r="4642">
          <cell r="N4642">
            <v>-33.933999999999997</v>
          </cell>
        </row>
        <row r="4643">
          <cell r="N4643">
            <v>-1.7390000000000001</v>
          </cell>
        </row>
        <row r="4644">
          <cell r="N4644">
            <v>-39.128999999999998</v>
          </cell>
        </row>
        <row r="4645">
          <cell r="N4645">
            <v>-32.750999999999998</v>
          </cell>
        </row>
        <row r="4646">
          <cell r="N4646">
            <v>-24.423999999999999</v>
          </cell>
        </row>
        <row r="4647">
          <cell r="N4647">
            <v>-31.834</v>
          </cell>
        </row>
        <row r="4648">
          <cell r="N4648">
            <v>-41.523000000000003</v>
          </cell>
        </row>
        <row r="4649">
          <cell r="N4649">
            <v>-19.782</v>
          </cell>
        </row>
        <row r="4650">
          <cell r="N4650">
            <v>-35.185000000000002</v>
          </cell>
        </row>
        <row r="4651">
          <cell r="N4651">
            <v>-19.106000000000002</v>
          </cell>
        </row>
        <row r="4652">
          <cell r="N4652">
            <v>-40.103000000000002</v>
          </cell>
        </row>
        <row r="4653">
          <cell r="N4653">
            <v>-28.399000000000001</v>
          </cell>
        </row>
        <row r="4654">
          <cell r="N4654">
            <v>-33.774999999999999</v>
          </cell>
        </row>
        <row r="4655">
          <cell r="N4655">
            <v>-30.638000000000002</v>
          </cell>
        </row>
        <row r="4656">
          <cell r="N4656">
            <v>-8.86</v>
          </cell>
        </row>
        <row r="4657">
          <cell r="N4657">
            <v>-37.454000000000001</v>
          </cell>
        </row>
        <row r="4658">
          <cell r="N4658">
            <v>-41.231000000000002</v>
          </cell>
        </row>
        <row r="4659">
          <cell r="N4659">
            <v>-23.568000000000001</v>
          </cell>
        </row>
        <row r="4660">
          <cell r="N4660">
            <v>-8.9849999999999994</v>
          </cell>
        </row>
        <row r="4661">
          <cell r="N4661">
            <v>-5.7380000000000004</v>
          </cell>
        </row>
        <row r="4662">
          <cell r="N4662">
            <v>-36.176000000000002</v>
          </cell>
        </row>
        <row r="4663">
          <cell r="N4663">
            <v>-45.716000000000001</v>
          </cell>
        </row>
        <row r="4664">
          <cell r="N4664">
            <v>-2.7370000000000001</v>
          </cell>
        </row>
        <row r="4665">
          <cell r="N4665">
            <v>-32.536000000000001</v>
          </cell>
        </row>
        <row r="4666">
          <cell r="N4666">
            <v>-6.5670000000000002</v>
          </cell>
        </row>
        <row r="4667">
          <cell r="N4667">
            <v>-27.81</v>
          </cell>
        </row>
        <row r="4668">
          <cell r="N4668">
            <v>-34.225000000000001</v>
          </cell>
        </row>
        <row r="4669">
          <cell r="N4669">
            <v>-27.341000000000001</v>
          </cell>
        </row>
        <row r="4670">
          <cell r="N4670">
            <v>-34.518000000000001</v>
          </cell>
        </row>
        <row r="4671">
          <cell r="N4671">
            <v>-10.090999999999999</v>
          </cell>
        </row>
        <row r="4672">
          <cell r="N4672">
            <v>-31.815999999999999</v>
          </cell>
        </row>
        <row r="4673">
          <cell r="N4673">
            <v>-35.185000000000002</v>
          </cell>
        </row>
        <row r="4674">
          <cell r="N4674">
            <v>-29.695</v>
          </cell>
        </row>
        <row r="4675">
          <cell r="N4675">
            <v>-36.802999999999997</v>
          </cell>
        </row>
        <row r="4676">
          <cell r="N4676">
            <v>-10.093999999999999</v>
          </cell>
        </row>
        <row r="4677">
          <cell r="N4677">
            <v>-26.984999999999999</v>
          </cell>
        </row>
        <row r="4678">
          <cell r="N4678">
            <v>-9.4710000000000001</v>
          </cell>
        </row>
        <row r="4679">
          <cell r="N4679">
            <v>-8.0419999999999998</v>
          </cell>
        </row>
        <row r="4680">
          <cell r="N4680">
            <v>-22.966000000000001</v>
          </cell>
        </row>
        <row r="4681">
          <cell r="N4681">
            <v>-25.571000000000002</v>
          </cell>
        </row>
        <row r="4682">
          <cell r="N4682">
            <v>-28.375</v>
          </cell>
        </row>
        <row r="4683">
          <cell r="N4683">
            <v>-26.483000000000001</v>
          </cell>
        </row>
        <row r="4684">
          <cell r="N4684">
            <v>-26.984999999999999</v>
          </cell>
        </row>
        <row r="4685">
          <cell r="N4685">
            <v>-38.304000000000002</v>
          </cell>
        </row>
        <row r="4686">
          <cell r="N4686">
            <v>-31.652999999999999</v>
          </cell>
        </row>
        <row r="4687">
          <cell r="N4687">
            <v>-34.642000000000003</v>
          </cell>
        </row>
        <row r="4688">
          <cell r="N4688">
            <v>-31.463000000000001</v>
          </cell>
        </row>
        <row r="4689">
          <cell r="N4689">
            <v>-5.7629999999999999</v>
          </cell>
        </row>
        <row r="4690">
          <cell r="N4690">
            <v>-31.227</v>
          </cell>
        </row>
        <row r="4691">
          <cell r="N4691">
            <v>-35.588999999999999</v>
          </cell>
        </row>
        <row r="4692">
          <cell r="N4692">
            <v>-10.087999999999999</v>
          </cell>
        </row>
        <row r="4693">
          <cell r="N4693">
            <v>-35.639000000000003</v>
          </cell>
        </row>
        <row r="4694">
          <cell r="N4694">
            <v>-30.283999999999999</v>
          </cell>
        </row>
        <row r="4695">
          <cell r="N4695">
            <v>-33.040999999999997</v>
          </cell>
        </row>
        <row r="4696">
          <cell r="N4696">
            <v>-9.5030000000000001</v>
          </cell>
        </row>
        <row r="4697">
          <cell r="N4697">
            <v>-35.185000000000002</v>
          </cell>
        </row>
        <row r="4698">
          <cell r="N4698">
            <v>-31.036999999999999</v>
          </cell>
        </row>
        <row r="4699">
          <cell r="N4699">
            <v>-29.382999999999999</v>
          </cell>
        </row>
        <row r="4700">
          <cell r="N4700">
            <v>-28.635000000000002</v>
          </cell>
        </row>
        <row r="4701">
          <cell r="N4701">
            <v>-33.167000000000002</v>
          </cell>
        </row>
        <row r="4702">
          <cell r="N4702">
            <v>-35.966999999999999</v>
          </cell>
        </row>
        <row r="4703">
          <cell r="N4703">
            <v>-39.914999999999999</v>
          </cell>
        </row>
        <row r="4704">
          <cell r="N4704">
            <v>-8.2240000000000002</v>
          </cell>
        </row>
        <row r="4705">
          <cell r="N4705">
            <v>-35.350999999999999</v>
          </cell>
        </row>
        <row r="4706">
          <cell r="N4706">
            <v>-17.911000000000001</v>
          </cell>
        </row>
        <row r="4707">
          <cell r="N4707">
            <v>-36.761000000000003</v>
          </cell>
        </row>
        <row r="4708">
          <cell r="N4708">
            <v>-13.305</v>
          </cell>
        </row>
        <row r="4709">
          <cell r="N4709">
            <v>-8.5749999999999993</v>
          </cell>
        </row>
        <row r="4710">
          <cell r="N4710">
            <v>-35.381999999999998</v>
          </cell>
        </row>
        <row r="4711">
          <cell r="N4711">
            <v>-26.867000000000001</v>
          </cell>
        </row>
        <row r="4712">
          <cell r="N4712">
            <v>-37.509</v>
          </cell>
        </row>
        <row r="4713">
          <cell r="N4713">
            <v>-26.042000000000002</v>
          </cell>
        </row>
        <row r="4714">
          <cell r="N4714">
            <v>-27.366</v>
          </cell>
        </row>
        <row r="4715">
          <cell r="N4715">
            <v>-31.934000000000001</v>
          </cell>
        </row>
        <row r="4716">
          <cell r="N4716">
            <v>-26.734999999999999</v>
          </cell>
        </row>
        <row r="4717">
          <cell r="N4717">
            <v>-34.554000000000002</v>
          </cell>
        </row>
        <row r="4718">
          <cell r="N4718">
            <v>-38.210999999999999</v>
          </cell>
        </row>
        <row r="4719">
          <cell r="N4719">
            <v>-30.995999999999999</v>
          </cell>
        </row>
        <row r="4720">
          <cell r="N4720">
            <v>-8.702</v>
          </cell>
        </row>
        <row r="4721">
          <cell r="N4721">
            <v>-33.819000000000003</v>
          </cell>
        </row>
        <row r="4722">
          <cell r="N4722">
            <v>-29.106000000000002</v>
          </cell>
        </row>
        <row r="4723">
          <cell r="N4723">
            <v>-22.68</v>
          </cell>
        </row>
        <row r="4724">
          <cell r="N4724">
            <v>-36.881</v>
          </cell>
        </row>
        <row r="4725">
          <cell r="N4725">
            <v>-41.377000000000002</v>
          </cell>
        </row>
        <row r="4726">
          <cell r="N4726">
            <v>-7.819</v>
          </cell>
        </row>
        <row r="4727">
          <cell r="N4727">
            <v>-0.68</v>
          </cell>
        </row>
        <row r="4728">
          <cell r="N4728">
            <v>-32.165999999999997</v>
          </cell>
        </row>
        <row r="4729">
          <cell r="N4729">
            <v>-24.844000000000001</v>
          </cell>
        </row>
        <row r="4730">
          <cell r="N4730">
            <v>-33.923000000000002</v>
          </cell>
        </row>
        <row r="4731">
          <cell r="N4731">
            <v>-8.3490000000000002</v>
          </cell>
        </row>
        <row r="4732">
          <cell r="N4732">
            <v>-30.896999999999998</v>
          </cell>
        </row>
        <row r="4733">
          <cell r="N4733">
            <v>-29.106000000000002</v>
          </cell>
        </row>
        <row r="4734">
          <cell r="N4734">
            <v>-27.414999999999999</v>
          </cell>
        </row>
        <row r="4735">
          <cell r="N4735">
            <v>-10.467000000000001</v>
          </cell>
        </row>
        <row r="4736">
          <cell r="N4736">
            <v>-0.65600000000000003</v>
          </cell>
        </row>
        <row r="4737">
          <cell r="N4737">
            <v>-22.387</v>
          </cell>
        </row>
        <row r="4738">
          <cell r="N4738">
            <v>-25.725999999999999</v>
          </cell>
        </row>
        <row r="4739">
          <cell r="N4739">
            <v>-30.265000000000001</v>
          </cell>
        </row>
        <row r="4740">
          <cell r="N4740">
            <v>-10.526999999999999</v>
          </cell>
        </row>
        <row r="4741">
          <cell r="N4741">
            <v>-10.819000000000001</v>
          </cell>
        </row>
        <row r="4742">
          <cell r="N4742">
            <v>-22.446999999999999</v>
          </cell>
        </row>
        <row r="4743">
          <cell r="N4743">
            <v>-38.337000000000003</v>
          </cell>
        </row>
        <row r="4744">
          <cell r="N4744">
            <v>-0.83499999999999996</v>
          </cell>
        </row>
        <row r="4745">
          <cell r="N4745">
            <v>-32.759</v>
          </cell>
        </row>
        <row r="4746">
          <cell r="N4746">
            <v>-35.587000000000003</v>
          </cell>
        </row>
        <row r="4747">
          <cell r="N4747">
            <v>-6.48</v>
          </cell>
        </row>
        <row r="4748">
          <cell r="N4748">
            <v>-14.475</v>
          </cell>
        </row>
        <row r="4749">
          <cell r="N4749">
            <v>-0.59699999999999998</v>
          </cell>
        </row>
        <row r="4750">
          <cell r="N4750">
            <v>-9.65</v>
          </cell>
        </row>
        <row r="4751">
          <cell r="N4751">
            <v>-0.58099999999999996</v>
          </cell>
        </row>
        <row r="4752">
          <cell r="N4752">
            <v>-27.456</v>
          </cell>
        </row>
        <row r="4753">
          <cell r="N4753">
            <v>-0.59699999999999998</v>
          </cell>
        </row>
        <row r="4754">
          <cell r="N4754">
            <v>-24.338999999999999</v>
          </cell>
        </row>
        <row r="4755">
          <cell r="N4755">
            <v>-37.328000000000003</v>
          </cell>
        </row>
        <row r="4756">
          <cell r="N4756">
            <v>-7.601</v>
          </cell>
        </row>
        <row r="4757">
          <cell r="N4757">
            <v>-14.365</v>
          </cell>
        </row>
        <row r="4758">
          <cell r="N4758">
            <v>-0.59699999999999998</v>
          </cell>
        </row>
        <row r="4759">
          <cell r="N4759">
            <v>-7.819</v>
          </cell>
        </row>
        <row r="4760">
          <cell r="N4760">
            <v>-11.515000000000001</v>
          </cell>
        </row>
        <row r="4761">
          <cell r="N4761">
            <v>-8.0730000000000004</v>
          </cell>
        </row>
        <row r="4762">
          <cell r="N4762">
            <v>-49.901000000000003</v>
          </cell>
        </row>
        <row r="4763">
          <cell r="N4763">
            <v>-30.85</v>
          </cell>
        </row>
        <row r="4764">
          <cell r="N4764">
            <v>-0.58099999999999996</v>
          </cell>
        </row>
        <row r="4765">
          <cell r="N4765">
            <v>-39.340000000000003</v>
          </cell>
        </row>
        <row r="4766">
          <cell r="N4766">
            <v>-39.622</v>
          </cell>
        </row>
        <row r="4767">
          <cell r="N4767">
            <v>-7.9080000000000004</v>
          </cell>
        </row>
        <row r="4768">
          <cell r="N4768">
            <v>-23.960999999999999</v>
          </cell>
        </row>
        <row r="4769">
          <cell r="N4769">
            <v>-26.16</v>
          </cell>
        </row>
        <row r="4770">
          <cell r="N4770">
            <v>-10.327999999999999</v>
          </cell>
        </row>
        <row r="4771">
          <cell r="N4771">
            <v>-19.689</v>
          </cell>
        </row>
        <row r="4772">
          <cell r="N4772">
            <v>-27.456</v>
          </cell>
        </row>
        <row r="4773">
          <cell r="N4773">
            <v>-12.711</v>
          </cell>
        </row>
        <row r="4774">
          <cell r="N4774">
            <v>-40.887</v>
          </cell>
        </row>
        <row r="4775">
          <cell r="N4775">
            <v>-32.405000000000001</v>
          </cell>
        </row>
        <row r="4776">
          <cell r="N4776">
            <v>-28.87</v>
          </cell>
        </row>
        <row r="4777">
          <cell r="N4777">
            <v>-12.675000000000001</v>
          </cell>
        </row>
        <row r="4778">
          <cell r="N4778">
            <v>-32.661999999999999</v>
          </cell>
        </row>
        <row r="4779">
          <cell r="N4779">
            <v>-35.436999999999998</v>
          </cell>
        </row>
        <row r="4780">
          <cell r="N4780">
            <v>-20.81</v>
          </cell>
        </row>
        <row r="4781">
          <cell r="N4781">
            <v>-0.63900000000000001</v>
          </cell>
        </row>
        <row r="4782">
          <cell r="N4782">
            <v>-0.58099999999999996</v>
          </cell>
        </row>
        <row r="4783">
          <cell r="N4783">
            <v>-39.24</v>
          </cell>
        </row>
        <row r="4784">
          <cell r="N4784">
            <v>-0.58099999999999996</v>
          </cell>
        </row>
        <row r="4785">
          <cell r="N4785">
            <v>-27.789000000000001</v>
          </cell>
        </row>
        <row r="4786">
          <cell r="N4786">
            <v>-0.82899999999999996</v>
          </cell>
        </row>
        <row r="4787">
          <cell r="N4787">
            <v>-8.0709999999999997</v>
          </cell>
        </row>
        <row r="4788">
          <cell r="N4788">
            <v>-0.995</v>
          </cell>
        </row>
        <row r="4789">
          <cell r="N4789">
            <v>-30.771000000000001</v>
          </cell>
        </row>
        <row r="4790">
          <cell r="N4790">
            <v>-37.707999999999998</v>
          </cell>
        </row>
        <row r="4791">
          <cell r="N4791">
            <v>-0.81399999999999995</v>
          </cell>
        </row>
        <row r="4792">
          <cell r="N4792">
            <v>-31.109000000000002</v>
          </cell>
        </row>
        <row r="4793">
          <cell r="N4793">
            <v>-0.63900000000000001</v>
          </cell>
        </row>
        <row r="4794">
          <cell r="N4794">
            <v>-31.527000000000001</v>
          </cell>
        </row>
        <row r="4795">
          <cell r="N4795">
            <v>-32.17</v>
          </cell>
        </row>
        <row r="4796">
          <cell r="N4796">
            <v>-0.876</v>
          </cell>
        </row>
        <row r="4797">
          <cell r="N4797">
            <v>-42.984999999999999</v>
          </cell>
        </row>
        <row r="4798">
          <cell r="N4798">
            <v>-25.765000000000001</v>
          </cell>
        </row>
        <row r="4799">
          <cell r="N4799">
            <v>-27.692</v>
          </cell>
        </row>
        <row r="4800">
          <cell r="N4800">
            <v>-0.63900000000000001</v>
          </cell>
        </row>
        <row r="4801">
          <cell r="N4801">
            <v>-0.65600000000000003</v>
          </cell>
        </row>
        <row r="4802">
          <cell r="N4802">
            <v>-32.018999999999998</v>
          </cell>
        </row>
        <row r="4803">
          <cell r="N4803">
            <v>-19.042999999999999</v>
          </cell>
        </row>
        <row r="4804">
          <cell r="N4804">
            <v>-38.453000000000003</v>
          </cell>
        </row>
        <row r="4805">
          <cell r="N4805">
            <v>-0.65600000000000003</v>
          </cell>
        </row>
        <row r="4806">
          <cell r="N4806">
            <v>-35.350999999999999</v>
          </cell>
        </row>
        <row r="4807">
          <cell r="N4807">
            <v>-25.099</v>
          </cell>
        </row>
        <row r="4808">
          <cell r="N4808">
            <v>-36.991</v>
          </cell>
        </row>
        <row r="4809">
          <cell r="N4809">
            <v>-44.886000000000003</v>
          </cell>
        </row>
        <row r="4810">
          <cell r="N4810">
            <v>-38.886000000000003</v>
          </cell>
        </row>
        <row r="4811">
          <cell r="N4811">
            <v>-35.436999999999998</v>
          </cell>
        </row>
        <row r="4812">
          <cell r="N4812">
            <v>-31.581</v>
          </cell>
        </row>
        <row r="4813">
          <cell r="N4813">
            <v>-35.350999999999999</v>
          </cell>
        </row>
        <row r="4814">
          <cell r="N4814">
            <v>-30.283999999999999</v>
          </cell>
        </row>
        <row r="4815">
          <cell r="N4815">
            <v>-13.856</v>
          </cell>
        </row>
        <row r="4816">
          <cell r="N4816">
            <v>-9.3460000000000001</v>
          </cell>
        </row>
        <row r="4817">
          <cell r="N4817">
            <v>-25.571000000000002</v>
          </cell>
        </row>
        <row r="4818">
          <cell r="N4818">
            <v>-33.335000000000001</v>
          </cell>
        </row>
        <row r="4819">
          <cell r="N4819">
            <v>-26.16</v>
          </cell>
        </row>
        <row r="4820">
          <cell r="N4820">
            <v>-9.3460000000000001</v>
          </cell>
        </row>
        <row r="4821">
          <cell r="N4821">
            <v>-9.4710000000000001</v>
          </cell>
        </row>
        <row r="4822">
          <cell r="N4822">
            <v>-9.7479999999999993</v>
          </cell>
        </row>
        <row r="4823">
          <cell r="N4823">
            <v>-37.707000000000001</v>
          </cell>
        </row>
        <row r="4824">
          <cell r="N4824">
            <v>-33.313000000000002</v>
          </cell>
        </row>
        <row r="4825">
          <cell r="N4825">
            <v>-23.539000000000001</v>
          </cell>
        </row>
        <row r="4826">
          <cell r="N4826">
            <v>-2.4820000000000002</v>
          </cell>
        </row>
        <row r="4827">
          <cell r="N4827">
            <v>-8.4740000000000002</v>
          </cell>
        </row>
        <row r="4828">
          <cell r="N4828">
            <v>-40.985999999999997</v>
          </cell>
        </row>
        <row r="4829">
          <cell r="N4829">
            <v>-9.0129999999999999</v>
          </cell>
        </row>
        <row r="4830">
          <cell r="N4830">
            <v>-24.123999999999999</v>
          </cell>
        </row>
        <row r="4831">
          <cell r="N4831">
            <v>-34.268999999999998</v>
          </cell>
        </row>
        <row r="4832">
          <cell r="N4832">
            <v>-28.045000000000002</v>
          </cell>
        </row>
        <row r="4833">
          <cell r="N4833">
            <v>-30.704000000000001</v>
          </cell>
        </row>
        <row r="4834">
          <cell r="N4834">
            <v>-8.31</v>
          </cell>
        </row>
        <row r="4835">
          <cell r="N4835">
            <v>-13.957000000000001</v>
          </cell>
        </row>
        <row r="4836">
          <cell r="N4836">
            <v>-10.984999999999999</v>
          </cell>
        </row>
        <row r="4837">
          <cell r="N4837">
            <v>-35.975000000000001</v>
          </cell>
        </row>
        <row r="4838">
          <cell r="N4838">
            <v>-8.2240000000000002</v>
          </cell>
        </row>
        <row r="4839">
          <cell r="N4839">
            <v>-14.475</v>
          </cell>
        </row>
        <row r="4840">
          <cell r="N4840">
            <v>-30.771000000000001</v>
          </cell>
        </row>
        <row r="4841">
          <cell r="N4841">
            <v>-35.805</v>
          </cell>
        </row>
        <row r="4842">
          <cell r="N4842">
            <v>-1.4419999999999999</v>
          </cell>
        </row>
        <row r="4843">
          <cell r="N4843">
            <v>-9.9689999999999994</v>
          </cell>
        </row>
        <row r="4844">
          <cell r="N4844">
            <v>-27.103000000000002</v>
          </cell>
        </row>
        <row r="4845">
          <cell r="N4845">
            <v>-35.235999999999997</v>
          </cell>
        </row>
        <row r="4846">
          <cell r="N4846">
            <v>-30.317</v>
          </cell>
        </row>
        <row r="4847">
          <cell r="N4847">
            <v>-39.723999999999997</v>
          </cell>
        </row>
        <row r="4848">
          <cell r="N4848">
            <v>-13.52</v>
          </cell>
        </row>
        <row r="4849">
          <cell r="N4849">
            <v>-11.356</v>
          </cell>
        </row>
        <row r="4850">
          <cell r="N4850">
            <v>-27.366</v>
          </cell>
        </row>
        <row r="4851">
          <cell r="N4851">
            <v>-33.770000000000003</v>
          </cell>
        </row>
        <row r="4852">
          <cell r="N4852">
            <v>-20.81</v>
          </cell>
        </row>
        <row r="4853">
          <cell r="N4853">
            <v>-34.302</v>
          </cell>
        </row>
        <row r="4854">
          <cell r="N4854">
            <v>-16.228999999999999</v>
          </cell>
        </row>
        <row r="4855">
          <cell r="N4855">
            <v>-42.014000000000003</v>
          </cell>
        </row>
        <row r="4856">
          <cell r="N4856">
            <v>-40.859000000000002</v>
          </cell>
        </row>
        <row r="4857">
          <cell r="N4857">
            <v>-31.776</v>
          </cell>
        </row>
        <row r="4858">
          <cell r="N4858">
            <v>-36.262</v>
          </cell>
        </row>
        <row r="4859">
          <cell r="N4859">
            <v>-9.5950000000000006</v>
          </cell>
        </row>
        <row r="4860">
          <cell r="N4860">
            <v>-30.283999999999999</v>
          </cell>
        </row>
        <row r="4861">
          <cell r="N4861">
            <v>-30.013999999999999</v>
          </cell>
        </row>
        <row r="4862">
          <cell r="N4862">
            <v>-35.198999999999998</v>
          </cell>
        </row>
        <row r="4863">
          <cell r="N4863">
            <v>-5.8570000000000002</v>
          </cell>
        </row>
        <row r="4864">
          <cell r="N4864">
            <v>-30.518000000000001</v>
          </cell>
        </row>
        <row r="4865">
          <cell r="N4865">
            <v>-5.4950000000000001</v>
          </cell>
        </row>
        <row r="4866">
          <cell r="N4866">
            <v>-23.684999999999999</v>
          </cell>
        </row>
        <row r="4867">
          <cell r="N4867">
            <v>-30.638000000000002</v>
          </cell>
        </row>
        <row r="4868">
          <cell r="N4868">
            <v>-35.845999999999997</v>
          </cell>
        </row>
        <row r="4869">
          <cell r="N4869">
            <v>-30.77</v>
          </cell>
        </row>
        <row r="4870">
          <cell r="N4870">
            <v>-31.227</v>
          </cell>
        </row>
        <row r="4871">
          <cell r="N4871">
            <v>-7.4770000000000003</v>
          </cell>
        </row>
        <row r="4872">
          <cell r="N4872">
            <v>-29.388000000000002</v>
          </cell>
        </row>
        <row r="4873">
          <cell r="N4873">
            <v>-1.4279999999999999</v>
          </cell>
        </row>
        <row r="4874">
          <cell r="N4874">
            <v>-22.213999999999999</v>
          </cell>
        </row>
        <row r="4875">
          <cell r="N4875">
            <v>-8.0419999999999998</v>
          </cell>
        </row>
        <row r="4876">
          <cell r="N4876">
            <v>-25.67</v>
          </cell>
        </row>
        <row r="4877">
          <cell r="N4877">
            <v>-25.571000000000002</v>
          </cell>
        </row>
        <row r="4878">
          <cell r="N4878">
            <v>-43.862000000000002</v>
          </cell>
        </row>
        <row r="4879">
          <cell r="N4879">
            <v>-35.058</v>
          </cell>
        </row>
        <row r="4880">
          <cell r="N4880">
            <v>-29.888000000000002</v>
          </cell>
        </row>
        <row r="4881">
          <cell r="N4881">
            <v>-7.4770000000000003</v>
          </cell>
        </row>
        <row r="4882">
          <cell r="N4882">
            <v>-33.040999999999997</v>
          </cell>
        </row>
        <row r="4883">
          <cell r="N4883">
            <v>-24.745999999999999</v>
          </cell>
        </row>
        <row r="4884">
          <cell r="N4884">
            <v>-32.869</v>
          </cell>
        </row>
        <row r="4885">
          <cell r="N4885">
            <v>-33.023000000000003</v>
          </cell>
        </row>
        <row r="4886">
          <cell r="N4886">
            <v>-31.451000000000001</v>
          </cell>
        </row>
        <row r="4887">
          <cell r="N4887">
            <v>-25.689</v>
          </cell>
        </row>
        <row r="4888">
          <cell r="N4888">
            <v>-41.37</v>
          </cell>
        </row>
        <row r="4889">
          <cell r="N4889">
            <v>-30.173999999999999</v>
          </cell>
        </row>
        <row r="4890">
          <cell r="N4890">
            <v>-33.418999999999997</v>
          </cell>
        </row>
        <row r="4891">
          <cell r="N4891">
            <v>-5.9809999999999999</v>
          </cell>
        </row>
        <row r="4892">
          <cell r="N4892">
            <v>-8.1120000000000001</v>
          </cell>
        </row>
        <row r="4893">
          <cell r="N4893">
            <v>-32.649000000000001</v>
          </cell>
        </row>
        <row r="4894">
          <cell r="N4894">
            <v>-1.454</v>
          </cell>
        </row>
        <row r="4895">
          <cell r="N4895">
            <v>-33.545000000000002</v>
          </cell>
        </row>
        <row r="4896">
          <cell r="N4896">
            <v>-30.468</v>
          </cell>
        </row>
        <row r="4897">
          <cell r="N4897">
            <v>-11.257999999999999</v>
          </cell>
        </row>
        <row r="4898">
          <cell r="N4898">
            <v>-23.498000000000001</v>
          </cell>
        </row>
        <row r="4899">
          <cell r="N4899">
            <v>-1.123</v>
          </cell>
        </row>
        <row r="4900">
          <cell r="N4900">
            <v>-11.090999999999999</v>
          </cell>
        </row>
        <row r="4901">
          <cell r="N4901">
            <v>-8.9849999999999994</v>
          </cell>
        </row>
        <row r="4902">
          <cell r="N4902">
            <v>-27.103000000000002</v>
          </cell>
        </row>
        <row r="4903">
          <cell r="N4903">
            <v>-34.018999999999998</v>
          </cell>
        </row>
        <row r="4904">
          <cell r="N4904">
            <v>-33.112000000000002</v>
          </cell>
        </row>
        <row r="4905">
          <cell r="N4905">
            <v>-1.2729999999999999</v>
          </cell>
        </row>
        <row r="4906">
          <cell r="N4906">
            <v>-25.765000000000001</v>
          </cell>
        </row>
        <row r="4907">
          <cell r="N4907">
            <v>-37.384</v>
          </cell>
        </row>
        <row r="4908">
          <cell r="N4908">
            <v>-29.762</v>
          </cell>
        </row>
        <row r="4909">
          <cell r="N4909">
            <v>-30.518000000000001</v>
          </cell>
        </row>
        <row r="4910">
          <cell r="N4910">
            <v>-34.692</v>
          </cell>
        </row>
        <row r="4911">
          <cell r="N4911">
            <v>-1.49</v>
          </cell>
        </row>
        <row r="4912">
          <cell r="N4912">
            <v>-1.3089999999999999</v>
          </cell>
        </row>
        <row r="4913">
          <cell r="N4913">
            <v>-27.751000000000001</v>
          </cell>
        </row>
        <row r="4914">
          <cell r="N4914">
            <v>-9.7200000000000006</v>
          </cell>
        </row>
        <row r="4915">
          <cell r="N4915">
            <v>-32.158000000000001</v>
          </cell>
        </row>
        <row r="4916">
          <cell r="N4916">
            <v>-28.626999999999999</v>
          </cell>
        </row>
        <row r="4917">
          <cell r="N4917">
            <v>-28.751999999999999</v>
          </cell>
        </row>
        <row r="4918">
          <cell r="N4918">
            <v>-28.045000000000002</v>
          </cell>
        </row>
        <row r="4919">
          <cell r="N4919">
            <v>-5.3659999999999997</v>
          </cell>
        </row>
        <row r="4920">
          <cell r="N4920">
            <v>-26.902000000000001</v>
          </cell>
        </row>
        <row r="4921">
          <cell r="N4921">
            <v>-30.995999999999999</v>
          </cell>
        </row>
        <row r="4922">
          <cell r="N4922">
            <v>-34.162999999999997</v>
          </cell>
        </row>
        <row r="4923">
          <cell r="N4923">
            <v>-29.870999999999999</v>
          </cell>
        </row>
        <row r="4924">
          <cell r="N4924">
            <v>-39.597999999999999</v>
          </cell>
        </row>
        <row r="4925">
          <cell r="N4925">
            <v>-26.667000000000002</v>
          </cell>
        </row>
        <row r="4926">
          <cell r="N4926">
            <v>-1.5189999999999999</v>
          </cell>
        </row>
        <row r="4927">
          <cell r="N4927">
            <v>-21.093</v>
          </cell>
        </row>
        <row r="4928">
          <cell r="N4928">
            <v>-33.335000000000001</v>
          </cell>
        </row>
        <row r="4929">
          <cell r="N4929">
            <v>-36.883000000000003</v>
          </cell>
        </row>
        <row r="4930">
          <cell r="N4930">
            <v>-35.563000000000002</v>
          </cell>
        </row>
        <row r="4931">
          <cell r="N4931">
            <v>-7.4770000000000003</v>
          </cell>
        </row>
        <row r="4932">
          <cell r="N4932">
            <v>-14.224</v>
          </cell>
        </row>
        <row r="4933">
          <cell r="N4933">
            <v>-44.886000000000003</v>
          </cell>
        </row>
        <row r="4934">
          <cell r="N4934">
            <v>-33.292999999999999</v>
          </cell>
        </row>
        <row r="4935">
          <cell r="N4935">
            <v>-8.3490000000000002</v>
          </cell>
        </row>
        <row r="4936">
          <cell r="N4936">
            <v>-27.492000000000001</v>
          </cell>
        </row>
        <row r="4937">
          <cell r="N4937">
            <v>-34.176000000000002</v>
          </cell>
        </row>
        <row r="4938">
          <cell r="N4938">
            <v>-28.988</v>
          </cell>
        </row>
        <row r="4939">
          <cell r="N4939">
            <v>-33.387</v>
          </cell>
        </row>
        <row r="4940">
          <cell r="N4940">
            <v>-14.506</v>
          </cell>
        </row>
        <row r="4941">
          <cell r="N4941">
            <v>-19.207999999999998</v>
          </cell>
        </row>
        <row r="4942">
          <cell r="N4942">
            <v>-29.341999999999999</v>
          </cell>
        </row>
        <row r="4943">
          <cell r="N4943">
            <v>-4.9850000000000003</v>
          </cell>
        </row>
        <row r="4944">
          <cell r="N4944">
            <v>-9.11</v>
          </cell>
        </row>
        <row r="4945">
          <cell r="N4945">
            <v>-33.237000000000002</v>
          </cell>
        </row>
        <row r="4946">
          <cell r="N4946">
            <v>-31.698</v>
          </cell>
        </row>
        <row r="4947">
          <cell r="N4947">
            <v>-27.212</v>
          </cell>
        </row>
        <row r="4948">
          <cell r="N4948">
            <v>-38.311</v>
          </cell>
        </row>
        <row r="4949">
          <cell r="N4949">
            <v>-38.337000000000003</v>
          </cell>
        </row>
        <row r="4950">
          <cell r="N4950">
            <v>-27.456</v>
          </cell>
        </row>
        <row r="4951">
          <cell r="N4951">
            <v>-32.311999999999998</v>
          </cell>
        </row>
        <row r="4952">
          <cell r="N4952">
            <v>-43.892000000000003</v>
          </cell>
        </row>
        <row r="4953">
          <cell r="N4953">
            <v>-35.689</v>
          </cell>
        </row>
        <row r="4954">
          <cell r="N4954">
            <v>-8.8480000000000008</v>
          </cell>
        </row>
        <row r="4955">
          <cell r="N4955">
            <v>-29.533999999999999</v>
          </cell>
        </row>
        <row r="4956">
          <cell r="N4956">
            <v>-29.972999999999999</v>
          </cell>
        </row>
        <row r="4957">
          <cell r="N4957">
            <v>-7.5060000000000002</v>
          </cell>
        </row>
        <row r="4958">
          <cell r="N4958">
            <v>-32.731000000000002</v>
          </cell>
        </row>
        <row r="4959">
          <cell r="N4959">
            <v>-33.584000000000003</v>
          </cell>
        </row>
        <row r="4960">
          <cell r="N4960">
            <v>-37.076000000000001</v>
          </cell>
        </row>
        <row r="4961">
          <cell r="N4961">
            <v>-8.5980000000000008</v>
          </cell>
        </row>
        <row r="4962">
          <cell r="N4962">
            <v>-30.166</v>
          </cell>
        </row>
        <row r="4963">
          <cell r="N4963">
            <v>-34.393000000000001</v>
          </cell>
        </row>
        <row r="4964">
          <cell r="N4964">
            <v>-38.841999999999999</v>
          </cell>
        </row>
        <row r="4965">
          <cell r="N4965">
            <v>-11.266999999999999</v>
          </cell>
        </row>
        <row r="4966">
          <cell r="N4966">
            <v>-26.437000000000001</v>
          </cell>
        </row>
        <row r="4967">
          <cell r="N4967">
            <v>-36.32</v>
          </cell>
        </row>
        <row r="4968">
          <cell r="N4968">
            <v>-28.122</v>
          </cell>
        </row>
        <row r="4969">
          <cell r="N4969">
            <v>-20.03</v>
          </cell>
        </row>
        <row r="4970">
          <cell r="N4970">
            <v>-9.859</v>
          </cell>
        </row>
        <row r="4971">
          <cell r="N4971">
            <v>-31.434999999999999</v>
          </cell>
        </row>
        <row r="4972">
          <cell r="N4972">
            <v>-31.652999999999999</v>
          </cell>
        </row>
        <row r="4973">
          <cell r="N4973">
            <v>-30.623000000000001</v>
          </cell>
        </row>
        <row r="4974">
          <cell r="N4974">
            <v>-34.692</v>
          </cell>
        </row>
        <row r="4975">
          <cell r="N4975">
            <v>-8.4740000000000002</v>
          </cell>
        </row>
        <row r="4976">
          <cell r="N4976">
            <v>-29.382999999999999</v>
          </cell>
        </row>
        <row r="4977">
          <cell r="N4977">
            <v>-39.003999999999998</v>
          </cell>
        </row>
        <row r="4978">
          <cell r="N4978">
            <v>-41.209000000000003</v>
          </cell>
        </row>
        <row r="4979">
          <cell r="N4979">
            <v>-29.577000000000002</v>
          </cell>
        </row>
        <row r="4980">
          <cell r="N4980">
            <v>-28.553999999999998</v>
          </cell>
        </row>
        <row r="4981">
          <cell r="N4981">
            <v>-8.7230000000000008</v>
          </cell>
        </row>
        <row r="4982">
          <cell r="N4982">
            <v>-8.1</v>
          </cell>
        </row>
        <row r="4983">
          <cell r="N4983">
            <v>-35.533000000000001</v>
          </cell>
        </row>
        <row r="4984">
          <cell r="N4984">
            <v>-13.103</v>
          </cell>
        </row>
        <row r="4985">
          <cell r="N4985">
            <v>-26.042000000000002</v>
          </cell>
        </row>
        <row r="4986">
          <cell r="N4986">
            <v>-30.638000000000002</v>
          </cell>
        </row>
        <row r="4987">
          <cell r="N4987">
            <v>-13.802</v>
          </cell>
        </row>
        <row r="4988">
          <cell r="N4988">
            <v>-14.58</v>
          </cell>
        </row>
        <row r="4989">
          <cell r="N4989">
            <v>-9.4710000000000001</v>
          </cell>
        </row>
        <row r="4990">
          <cell r="N4990">
            <v>-28.163</v>
          </cell>
        </row>
        <row r="4991">
          <cell r="N4991">
            <v>-9.3819999999999997</v>
          </cell>
        </row>
        <row r="4992">
          <cell r="N4992">
            <v>-42.618000000000002</v>
          </cell>
        </row>
        <row r="4993">
          <cell r="N4993">
            <v>-32.368000000000002</v>
          </cell>
        </row>
        <row r="4994">
          <cell r="N4994">
            <v>-30.405999999999999</v>
          </cell>
        </row>
        <row r="4995">
          <cell r="N4995">
            <v>-39.987000000000002</v>
          </cell>
        </row>
        <row r="4996">
          <cell r="N4996">
            <v>-9.1539999999999999</v>
          </cell>
        </row>
        <row r="4997">
          <cell r="N4997">
            <v>-46.201999999999998</v>
          </cell>
        </row>
        <row r="4998">
          <cell r="N4998">
            <v>-31.109000000000002</v>
          </cell>
        </row>
        <row r="4999">
          <cell r="N4999">
            <v>-31.277999999999999</v>
          </cell>
        </row>
        <row r="5000">
          <cell r="N5000">
            <v>-45.031999999999996</v>
          </cell>
        </row>
        <row r="5001">
          <cell r="N5001">
            <v>-8.5980000000000008</v>
          </cell>
        </row>
        <row r="5002">
          <cell r="N5002">
            <v>-25.571000000000002</v>
          </cell>
        </row>
        <row r="5003">
          <cell r="N5003">
            <v>-34.290999999999997</v>
          </cell>
        </row>
        <row r="5004">
          <cell r="N5004">
            <v>-24.317</v>
          </cell>
        </row>
        <row r="5005">
          <cell r="N5005">
            <v>-30.106000000000002</v>
          </cell>
        </row>
        <row r="5006">
          <cell r="N5006">
            <v>-11.090999999999999</v>
          </cell>
        </row>
        <row r="5007">
          <cell r="N5007">
            <v>-36.698</v>
          </cell>
        </row>
        <row r="5008">
          <cell r="N5008">
            <v>-34.642000000000003</v>
          </cell>
        </row>
        <row r="5009">
          <cell r="N5009">
            <v>-23.45</v>
          </cell>
        </row>
        <row r="5010">
          <cell r="N5010">
            <v>-8.5980000000000008</v>
          </cell>
        </row>
        <row r="5011">
          <cell r="N5011">
            <v>-35.563000000000002</v>
          </cell>
        </row>
        <row r="5012">
          <cell r="N5012">
            <v>-27.81</v>
          </cell>
        </row>
        <row r="5013">
          <cell r="N5013">
            <v>-33.796999999999997</v>
          </cell>
        </row>
        <row r="5014">
          <cell r="N5014">
            <v>-31.227</v>
          </cell>
        </row>
        <row r="5015">
          <cell r="N5015">
            <v>-3.9750000000000001</v>
          </cell>
        </row>
        <row r="5016">
          <cell r="N5016">
            <v>-31.527000000000001</v>
          </cell>
        </row>
        <row r="5017">
          <cell r="N5017">
            <v>-8.9960000000000004</v>
          </cell>
        </row>
        <row r="5018">
          <cell r="N5018">
            <v>-27.692</v>
          </cell>
        </row>
        <row r="5019">
          <cell r="N5019">
            <v>-28.045000000000002</v>
          </cell>
        </row>
        <row r="5020">
          <cell r="N5020">
            <v>-34.505000000000003</v>
          </cell>
        </row>
        <row r="5021">
          <cell r="N5021">
            <v>-31.652999999999999</v>
          </cell>
        </row>
        <row r="5022">
          <cell r="N5022">
            <v>-29.577000000000002</v>
          </cell>
        </row>
        <row r="5023">
          <cell r="N5023">
            <v>-31.905999999999999</v>
          </cell>
        </row>
        <row r="5024">
          <cell r="N5024">
            <v>-29.591000000000001</v>
          </cell>
        </row>
        <row r="5025">
          <cell r="N5025">
            <v>-37.826000000000001</v>
          </cell>
        </row>
        <row r="5026">
          <cell r="N5026">
            <v>-32.661999999999999</v>
          </cell>
        </row>
        <row r="5027">
          <cell r="N5027">
            <v>-32.737000000000002</v>
          </cell>
        </row>
        <row r="5028">
          <cell r="N5028">
            <v>-6.7009999999999996</v>
          </cell>
        </row>
        <row r="5029">
          <cell r="N5029">
            <v>-30.14</v>
          </cell>
        </row>
        <row r="5030">
          <cell r="N5030">
            <v>-35.575000000000003</v>
          </cell>
        </row>
        <row r="5031">
          <cell r="N5031">
            <v>-8.2240000000000002</v>
          </cell>
        </row>
        <row r="5032">
          <cell r="N5032">
            <v>-35.845999999999997</v>
          </cell>
        </row>
        <row r="5033">
          <cell r="N5033">
            <v>-28.87</v>
          </cell>
        </row>
        <row r="5034">
          <cell r="N5034">
            <v>-28.966999999999999</v>
          </cell>
        </row>
        <row r="5035">
          <cell r="N5035">
            <v>-27.777000000000001</v>
          </cell>
        </row>
        <row r="5036">
          <cell r="N5036">
            <v>-34.302</v>
          </cell>
        </row>
        <row r="5037">
          <cell r="N5037">
            <v>-40.875999999999998</v>
          </cell>
        </row>
        <row r="5038">
          <cell r="N5038">
            <v>-1.4999999999999999E-2</v>
          </cell>
        </row>
        <row r="5039">
          <cell r="N5039">
            <v>-34.268999999999998</v>
          </cell>
        </row>
        <row r="5040">
          <cell r="N5040">
            <v>-24.05</v>
          </cell>
        </row>
        <row r="5041">
          <cell r="N5041">
            <v>-42.335999999999999</v>
          </cell>
        </row>
        <row r="5042">
          <cell r="N5042">
            <v>-9.31</v>
          </cell>
        </row>
        <row r="5043">
          <cell r="N5043">
            <v>-30.166</v>
          </cell>
        </row>
        <row r="5044">
          <cell r="N5044">
            <v>-11.606</v>
          </cell>
        </row>
        <row r="5045">
          <cell r="N5045">
            <v>-7.532</v>
          </cell>
        </row>
        <row r="5046">
          <cell r="N5046">
            <v>-9.0969999999999995</v>
          </cell>
        </row>
        <row r="5047">
          <cell r="N5047">
            <v>-23.835000000000001</v>
          </cell>
        </row>
        <row r="5048">
          <cell r="N5048">
            <v>-34.162999999999997</v>
          </cell>
        </row>
        <row r="5049">
          <cell r="N5049">
            <v>-11.266999999999999</v>
          </cell>
        </row>
        <row r="5050">
          <cell r="N5050">
            <v>-30.619</v>
          </cell>
        </row>
        <row r="5051">
          <cell r="N5051">
            <v>-36.636000000000003</v>
          </cell>
        </row>
        <row r="5052">
          <cell r="N5052">
            <v>-10.358000000000001</v>
          </cell>
        </row>
        <row r="5053">
          <cell r="N5053">
            <v>-34.932000000000002</v>
          </cell>
        </row>
        <row r="5054">
          <cell r="N5054">
            <v>-33.646000000000001</v>
          </cell>
        </row>
        <row r="5055">
          <cell r="N5055">
            <v>-4.1849999999999996</v>
          </cell>
        </row>
        <row r="5056">
          <cell r="N5056">
            <v>-38.598999999999997</v>
          </cell>
        </row>
        <row r="5057">
          <cell r="N5057">
            <v>-12.105</v>
          </cell>
        </row>
        <row r="5058">
          <cell r="N5058">
            <v>-12.534000000000001</v>
          </cell>
        </row>
        <row r="5059">
          <cell r="N5059">
            <v>-9.7840000000000007</v>
          </cell>
        </row>
        <row r="5060">
          <cell r="N5060">
            <v>-10.218</v>
          </cell>
        </row>
        <row r="5061">
          <cell r="N5061">
            <v>-23.213999999999999</v>
          </cell>
        </row>
        <row r="5062">
          <cell r="N5062">
            <v>-25.335000000000001</v>
          </cell>
        </row>
        <row r="5063">
          <cell r="N5063">
            <v>-27.623000000000001</v>
          </cell>
        </row>
        <row r="5064">
          <cell r="N5064">
            <v>-31.274999999999999</v>
          </cell>
        </row>
        <row r="5065">
          <cell r="N5065">
            <v>-31.727</v>
          </cell>
        </row>
        <row r="5066">
          <cell r="N5066">
            <v>-35.311</v>
          </cell>
        </row>
        <row r="5067">
          <cell r="N5067">
            <v>-34.049999999999997</v>
          </cell>
        </row>
        <row r="5068">
          <cell r="N5068">
            <v>-34.302</v>
          </cell>
        </row>
        <row r="5069">
          <cell r="N5069">
            <v>-37.868000000000002</v>
          </cell>
        </row>
        <row r="5070">
          <cell r="N5070">
            <v>-26.984999999999999</v>
          </cell>
        </row>
        <row r="5071">
          <cell r="N5071">
            <v>-8.4740000000000002</v>
          </cell>
        </row>
        <row r="5072">
          <cell r="N5072">
            <v>-32.158000000000001</v>
          </cell>
        </row>
        <row r="5073">
          <cell r="N5073">
            <v>-8.5980000000000008</v>
          </cell>
        </row>
        <row r="5074">
          <cell r="N5074">
            <v>-31.581</v>
          </cell>
        </row>
        <row r="5075">
          <cell r="N5075">
            <v>-32.283999999999999</v>
          </cell>
        </row>
        <row r="5076">
          <cell r="N5076">
            <v>-35.265999999999998</v>
          </cell>
        </row>
        <row r="5077">
          <cell r="N5077">
            <v>-38.210999999999999</v>
          </cell>
        </row>
        <row r="5078">
          <cell r="N5078">
            <v>-8.8919999999999995</v>
          </cell>
        </row>
        <row r="5079">
          <cell r="N5079">
            <v>-36.761000000000003</v>
          </cell>
        </row>
        <row r="5080">
          <cell r="N5080">
            <v>-12.534000000000001</v>
          </cell>
        </row>
        <row r="5081">
          <cell r="N5081">
            <v>-39.768000000000001</v>
          </cell>
        </row>
        <row r="5082">
          <cell r="N5082">
            <v>-8.7230000000000008</v>
          </cell>
        </row>
        <row r="5083">
          <cell r="N5083">
            <v>-30.317</v>
          </cell>
        </row>
        <row r="5084">
          <cell r="N5084">
            <v>-27.81</v>
          </cell>
        </row>
        <row r="5085">
          <cell r="N5085">
            <v>-30.904</v>
          </cell>
        </row>
        <row r="5086">
          <cell r="N5086">
            <v>-8.4749999999999996</v>
          </cell>
        </row>
        <row r="5087">
          <cell r="N5087">
            <v>-36.32</v>
          </cell>
        </row>
        <row r="5088">
          <cell r="N5088">
            <v>-5.99</v>
          </cell>
        </row>
        <row r="5089">
          <cell r="N5089">
            <v>-31.227</v>
          </cell>
        </row>
        <row r="5090">
          <cell r="N5090">
            <v>-1.044</v>
          </cell>
        </row>
        <row r="5091">
          <cell r="N5091">
            <v>-26.609000000000002</v>
          </cell>
        </row>
        <row r="5092">
          <cell r="N5092">
            <v>-12.534000000000001</v>
          </cell>
        </row>
        <row r="5093">
          <cell r="N5093">
            <v>-24.05</v>
          </cell>
        </row>
        <row r="5094">
          <cell r="N5094">
            <v>-1.044</v>
          </cell>
        </row>
        <row r="5095">
          <cell r="N5095">
            <v>-31.277999999999999</v>
          </cell>
        </row>
        <row r="5096">
          <cell r="N5096">
            <v>-9.9689999999999994</v>
          </cell>
        </row>
        <row r="5097">
          <cell r="N5097">
            <v>-31.698</v>
          </cell>
        </row>
        <row r="5098">
          <cell r="N5098">
            <v>-30.518000000000001</v>
          </cell>
        </row>
        <row r="5099">
          <cell r="N5099">
            <v>-9.3460000000000001</v>
          </cell>
        </row>
        <row r="5100">
          <cell r="N5100">
            <v>-36.192999999999998</v>
          </cell>
        </row>
        <row r="5101">
          <cell r="N5101">
            <v>-26.513999999999999</v>
          </cell>
        </row>
        <row r="5102">
          <cell r="N5102">
            <v>-26.231000000000002</v>
          </cell>
        </row>
        <row r="5103">
          <cell r="N5103">
            <v>-41.932000000000002</v>
          </cell>
        </row>
        <row r="5104">
          <cell r="N5104">
            <v>-29.257000000000001</v>
          </cell>
        </row>
        <row r="5105">
          <cell r="N5105">
            <v>-34.651000000000003</v>
          </cell>
        </row>
        <row r="5106">
          <cell r="N5106">
            <v>-1.044</v>
          </cell>
        </row>
        <row r="5107">
          <cell r="N5107">
            <v>-34.932000000000002</v>
          </cell>
        </row>
        <row r="5108">
          <cell r="N5108">
            <v>-31.454999999999998</v>
          </cell>
        </row>
        <row r="5109">
          <cell r="N5109">
            <v>-40.938000000000002</v>
          </cell>
        </row>
        <row r="5110">
          <cell r="N5110">
            <v>-26.861000000000001</v>
          </cell>
        </row>
        <row r="5111">
          <cell r="N5111">
            <v>-31.78</v>
          </cell>
        </row>
        <row r="5112">
          <cell r="N5112">
            <v>-32.994999999999997</v>
          </cell>
        </row>
        <row r="5113">
          <cell r="N5113">
            <v>-30.995999999999999</v>
          </cell>
        </row>
        <row r="5114">
          <cell r="N5114">
            <v>-40.5</v>
          </cell>
        </row>
        <row r="5115">
          <cell r="N5115">
            <v>-8.9999999999999993E-3</v>
          </cell>
        </row>
        <row r="5116">
          <cell r="N5116">
            <v>-1.044</v>
          </cell>
        </row>
        <row r="5117">
          <cell r="N5117">
            <v>-32.523000000000003</v>
          </cell>
        </row>
        <row r="5118">
          <cell r="N5118">
            <v>-40.749000000000002</v>
          </cell>
        </row>
        <row r="5119">
          <cell r="N5119">
            <v>-34.286999999999999</v>
          </cell>
        </row>
        <row r="5120">
          <cell r="N5120">
            <v>-25.805</v>
          </cell>
        </row>
        <row r="5121">
          <cell r="N5121">
            <v>-23.213999999999999</v>
          </cell>
        </row>
        <row r="5122">
          <cell r="N5122">
            <v>-29.588000000000001</v>
          </cell>
        </row>
        <row r="5123">
          <cell r="N5123">
            <v>-1.044</v>
          </cell>
        </row>
        <row r="5124">
          <cell r="N5124">
            <v>-26.356999999999999</v>
          </cell>
        </row>
        <row r="5125">
          <cell r="N5125">
            <v>-36.405999999999999</v>
          </cell>
        </row>
        <row r="5126">
          <cell r="N5126">
            <v>-26.692</v>
          </cell>
        </row>
        <row r="5127">
          <cell r="N5127">
            <v>-35.39</v>
          </cell>
        </row>
        <row r="5128">
          <cell r="N5128">
            <v>-16.077000000000002</v>
          </cell>
        </row>
        <row r="5129">
          <cell r="N5129">
            <v>-33.146999999999998</v>
          </cell>
        </row>
        <row r="5130">
          <cell r="N5130">
            <v>-26.986999999999998</v>
          </cell>
        </row>
        <row r="5131">
          <cell r="N5131">
            <v>-36.445999999999998</v>
          </cell>
        </row>
        <row r="5132">
          <cell r="N5132">
            <v>-25.978999999999999</v>
          </cell>
        </row>
        <row r="5133">
          <cell r="N5133">
            <v>-2.3E-2</v>
          </cell>
        </row>
        <row r="5134">
          <cell r="N5134">
            <v>-6.1429999999999998</v>
          </cell>
        </row>
        <row r="5135">
          <cell r="N5135">
            <v>-13.353</v>
          </cell>
        </row>
        <row r="5136">
          <cell r="N5136">
            <v>-32.74</v>
          </cell>
        </row>
        <row r="5137">
          <cell r="N5137">
            <v>-1.044</v>
          </cell>
        </row>
        <row r="5138">
          <cell r="N5138">
            <v>-7.4770000000000003</v>
          </cell>
        </row>
        <row r="5139">
          <cell r="N5139">
            <v>-31.527000000000001</v>
          </cell>
        </row>
        <row r="5140">
          <cell r="N5140">
            <v>-6.8540000000000001</v>
          </cell>
        </row>
        <row r="5141">
          <cell r="N5141">
            <v>-33.189</v>
          </cell>
        </row>
        <row r="5142">
          <cell r="N5142">
            <v>-27.338000000000001</v>
          </cell>
        </row>
        <row r="5143">
          <cell r="N5143">
            <v>-9.0129999999999999</v>
          </cell>
        </row>
        <row r="5144">
          <cell r="N5144">
            <v>-10.468</v>
          </cell>
        </row>
        <row r="5145">
          <cell r="N5145">
            <v>-24.245999999999999</v>
          </cell>
        </row>
        <row r="5146">
          <cell r="N5146">
            <v>-24.05</v>
          </cell>
        </row>
        <row r="5147">
          <cell r="N5147">
            <v>-24.123999999999999</v>
          </cell>
        </row>
        <row r="5148">
          <cell r="N5148">
            <v>-10.422000000000001</v>
          </cell>
        </row>
        <row r="5149">
          <cell r="N5149">
            <v>-21.329000000000001</v>
          </cell>
        </row>
        <row r="5150">
          <cell r="N5150">
            <v>-1.127</v>
          </cell>
        </row>
        <row r="5151">
          <cell r="N5151">
            <v>-32.74</v>
          </cell>
        </row>
        <row r="5152">
          <cell r="N5152">
            <v>-35.090000000000003</v>
          </cell>
        </row>
        <row r="5153">
          <cell r="N5153">
            <v>-14.85</v>
          </cell>
        </row>
        <row r="5154">
          <cell r="N5154">
            <v>-9.3460000000000001</v>
          </cell>
        </row>
        <row r="5155">
          <cell r="N5155">
            <v>-32.661999999999999</v>
          </cell>
        </row>
        <row r="5156">
          <cell r="N5156">
            <v>-29.533999999999999</v>
          </cell>
        </row>
        <row r="5157">
          <cell r="N5157">
            <v>-35.090000000000003</v>
          </cell>
        </row>
        <row r="5158">
          <cell r="N5158">
            <v>-30.638000000000002</v>
          </cell>
        </row>
        <row r="5159">
          <cell r="N5159">
            <v>-11.356</v>
          </cell>
        </row>
        <row r="5160">
          <cell r="N5160">
            <v>-41.478999999999999</v>
          </cell>
        </row>
        <row r="5161">
          <cell r="N5161">
            <v>-34.049999999999997</v>
          </cell>
        </row>
        <row r="5162">
          <cell r="N5162">
            <v>-21.228999999999999</v>
          </cell>
        </row>
        <row r="5163">
          <cell r="N5163">
            <v>-34.643999999999998</v>
          </cell>
        </row>
        <row r="5164">
          <cell r="N5164">
            <v>-32.158000000000001</v>
          </cell>
        </row>
        <row r="5165">
          <cell r="N5165">
            <v>-27.338000000000001</v>
          </cell>
        </row>
        <row r="5166">
          <cell r="N5166">
            <v>-30.468</v>
          </cell>
        </row>
        <row r="5167">
          <cell r="N5167">
            <v>-30.265999999999998</v>
          </cell>
        </row>
        <row r="5168">
          <cell r="N5168">
            <v>-32.409999999999997</v>
          </cell>
        </row>
        <row r="5169">
          <cell r="N5169">
            <v>-40.353000000000002</v>
          </cell>
        </row>
        <row r="5170">
          <cell r="N5170">
            <v>-28.460999999999999</v>
          </cell>
        </row>
        <row r="5171">
          <cell r="N5171">
            <v>-11.356</v>
          </cell>
        </row>
        <row r="5172">
          <cell r="N5172">
            <v>-34.932000000000002</v>
          </cell>
        </row>
        <row r="5173">
          <cell r="N5173">
            <v>-32.018999999999998</v>
          </cell>
        </row>
        <row r="5174">
          <cell r="N5174">
            <v>-27.608000000000001</v>
          </cell>
        </row>
        <row r="5175">
          <cell r="N5175">
            <v>-31.760999999999999</v>
          </cell>
        </row>
        <row r="5176">
          <cell r="N5176">
            <v>-7.2279999999999998</v>
          </cell>
        </row>
        <row r="5177">
          <cell r="N5177">
            <v>-32.536000000000001</v>
          </cell>
        </row>
        <row r="5178">
          <cell r="N5178">
            <v>-35.764000000000003</v>
          </cell>
        </row>
        <row r="5179">
          <cell r="N5179">
            <v>-37.201999999999998</v>
          </cell>
        </row>
        <row r="5180">
          <cell r="N5180">
            <v>-36.104999999999997</v>
          </cell>
        </row>
        <row r="5181">
          <cell r="N5181">
            <v>-28.411999999999999</v>
          </cell>
        </row>
        <row r="5182">
          <cell r="N5182">
            <v>-9.577</v>
          </cell>
        </row>
        <row r="5183">
          <cell r="N5183">
            <v>-36.572000000000003</v>
          </cell>
        </row>
        <row r="5184">
          <cell r="N5184">
            <v>-36.067</v>
          </cell>
        </row>
        <row r="5185">
          <cell r="N5185">
            <v>-34.302</v>
          </cell>
        </row>
        <row r="5186">
          <cell r="N5186">
            <v>-9.5950000000000006</v>
          </cell>
        </row>
        <row r="5187">
          <cell r="N5187">
            <v>-33.796999999999997</v>
          </cell>
        </row>
        <row r="5188">
          <cell r="N5188">
            <v>-6.0670000000000002</v>
          </cell>
        </row>
        <row r="5189">
          <cell r="N5189">
            <v>-25.099</v>
          </cell>
        </row>
        <row r="5190">
          <cell r="N5190">
            <v>-8.2240000000000002</v>
          </cell>
        </row>
        <row r="5191">
          <cell r="N5191">
            <v>-35.116</v>
          </cell>
        </row>
        <row r="5192">
          <cell r="N5192">
            <v>-27.166</v>
          </cell>
        </row>
        <row r="5193">
          <cell r="N5193">
            <v>-4.577</v>
          </cell>
        </row>
        <row r="5194">
          <cell r="N5194">
            <v>-33.112000000000002</v>
          </cell>
        </row>
        <row r="5195">
          <cell r="N5195">
            <v>-33.796999999999997</v>
          </cell>
        </row>
        <row r="5196">
          <cell r="N5196">
            <v>-34.018999999999998</v>
          </cell>
        </row>
        <row r="5197">
          <cell r="N5197">
            <v>-3.0110000000000001</v>
          </cell>
        </row>
        <row r="5198">
          <cell r="N5198">
            <v>-37.201999999999998</v>
          </cell>
        </row>
        <row r="5199">
          <cell r="N5199">
            <v>-30.989000000000001</v>
          </cell>
        </row>
        <row r="5200">
          <cell r="N5200">
            <v>-12.112</v>
          </cell>
        </row>
        <row r="5201">
          <cell r="N5201">
            <v>-37.707000000000001</v>
          </cell>
        </row>
        <row r="5202">
          <cell r="N5202">
            <v>-14.787000000000001</v>
          </cell>
        </row>
        <row r="5203">
          <cell r="N5203">
            <v>-34.643999999999998</v>
          </cell>
        </row>
        <row r="5204">
          <cell r="N5204">
            <v>-23.803000000000001</v>
          </cell>
        </row>
        <row r="5205">
          <cell r="N5205">
            <v>-12.478999999999999</v>
          </cell>
        </row>
        <row r="5206">
          <cell r="N5206">
            <v>-39.094000000000001</v>
          </cell>
        </row>
        <row r="5207">
          <cell r="N5207">
            <v>-10.093999999999999</v>
          </cell>
        </row>
        <row r="5208">
          <cell r="N5208">
            <v>-10.468</v>
          </cell>
        </row>
        <row r="5209">
          <cell r="N5209">
            <v>-7.532</v>
          </cell>
        </row>
        <row r="5210">
          <cell r="N5210">
            <v>-38.890999999999998</v>
          </cell>
        </row>
        <row r="5211">
          <cell r="N5211">
            <v>-15.385</v>
          </cell>
        </row>
        <row r="5212">
          <cell r="N5212">
            <v>-35.563000000000002</v>
          </cell>
        </row>
        <row r="5213">
          <cell r="N5213">
            <v>-40.938000000000002</v>
          </cell>
        </row>
        <row r="5214">
          <cell r="N5214">
            <v>-25.099</v>
          </cell>
        </row>
        <row r="5215">
          <cell r="N5215">
            <v>-27.79</v>
          </cell>
        </row>
        <row r="5216">
          <cell r="N5216">
            <v>-14.629</v>
          </cell>
        </row>
        <row r="5217">
          <cell r="N5217">
            <v>-2.891</v>
          </cell>
        </row>
        <row r="5218">
          <cell r="N5218">
            <v>-17.547999999999998</v>
          </cell>
        </row>
        <row r="5219">
          <cell r="N5219">
            <v>-30.779</v>
          </cell>
        </row>
        <row r="5220">
          <cell r="N5220">
            <v>-2.891</v>
          </cell>
        </row>
        <row r="5221">
          <cell r="N5221">
            <v>-9.2050000000000001</v>
          </cell>
        </row>
        <row r="5222">
          <cell r="N5222">
            <v>-36.387</v>
          </cell>
        </row>
        <row r="5223">
          <cell r="N5223">
            <v>-33.040999999999997</v>
          </cell>
        </row>
        <row r="5224">
          <cell r="N5224">
            <v>-36.293999999999997</v>
          </cell>
        </row>
        <row r="5225">
          <cell r="N5225">
            <v>-22.58</v>
          </cell>
        </row>
        <row r="5226">
          <cell r="N5226">
            <v>-28.87</v>
          </cell>
        </row>
        <row r="5227">
          <cell r="N5227">
            <v>-7.851</v>
          </cell>
        </row>
        <row r="5228">
          <cell r="N5228">
            <v>-30.995999999999999</v>
          </cell>
        </row>
        <row r="5229">
          <cell r="N5229">
            <v>-9.2210000000000001</v>
          </cell>
        </row>
        <row r="5230">
          <cell r="N5230">
            <v>-32.731000000000002</v>
          </cell>
        </row>
        <row r="5231">
          <cell r="N5231">
            <v>-12.112</v>
          </cell>
        </row>
        <row r="5232">
          <cell r="N5232">
            <v>-35.515000000000001</v>
          </cell>
        </row>
        <row r="5233">
          <cell r="N5233">
            <v>-8.4730000000000008</v>
          </cell>
        </row>
        <row r="5234">
          <cell r="N5234">
            <v>-41.962000000000003</v>
          </cell>
        </row>
        <row r="5235">
          <cell r="N5235">
            <v>-25.92</v>
          </cell>
        </row>
        <row r="5236">
          <cell r="N5236">
            <v>-32.158000000000001</v>
          </cell>
        </row>
        <row r="5237">
          <cell r="N5237">
            <v>-31.402999999999999</v>
          </cell>
        </row>
        <row r="5238">
          <cell r="N5238">
            <v>-10.462</v>
          </cell>
        </row>
        <row r="5239">
          <cell r="N5239">
            <v>-28.280999999999999</v>
          </cell>
        </row>
        <row r="5240">
          <cell r="N5240">
            <v>-27.166</v>
          </cell>
        </row>
        <row r="5241">
          <cell r="N5241">
            <v>-1.2E-2</v>
          </cell>
        </row>
        <row r="5242">
          <cell r="N5242">
            <v>-15.599</v>
          </cell>
        </row>
        <row r="5243">
          <cell r="N5243">
            <v>-9.6240000000000006</v>
          </cell>
        </row>
        <row r="5244">
          <cell r="N5244">
            <v>-31.968</v>
          </cell>
        </row>
        <row r="5245">
          <cell r="N5245">
            <v>-31.277999999999999</v>
          </cell>
        </row>
        <row r="5246">
          <cell r="N5246">
            <v>-30.317</v>
          </cell>
        </row>
        <row r="5247">
          <cell r="N5247">
            <v>-28.626999999999999</v>
          </cell>
        </row>
        <row r="5248">
          <cell r="N5248">
            <v>-1.6E-2</v>
          </cell>
        </row>
        <row r="5249">
          <cell r="N5249">
            <v>-0.02</v>
          </cell>
        </row>
        <row r="5250">
          <cell r="N5250">
            <v>-1.246</v>
          </cell>
        </row>
        <row r="5251">
          <cell r="N5251">
            <v>-14.206</v>
          </cell>
        </row>
        <row r="5252">
          <cell r="N5252">
            <v>-33.040999999999997</v>
          </cell>
        </row>
        <row r="5253">
          <cell r="N5253">
            <v>-34.643999999999998</v>
          </cell>
        </row>
        <row r="5254">
          <cell r="N5254">
            <v>-36.113</v>
          </cell>
        </row>
        <row r="5255">
          <cell r="N5255">
            <v>-43.137999999999998</v>
          </cell>
        </row>
        <row r="5256">
          <cell r="N5256">
            <v>-1.7000000000000001E-2</v>
          </cell>
        </row>
        <row r="5257">
          <cell r="N5257">
            <v>-26.277999999999999</v>
          </cell>
        </row>
        <row r="5258">
          <cell r="N5258">
            <v>-24.286999999999999</v>
          </cell>
        </row>
        <row r="5259">
          <cell r="N5259">
            <v>-24.591000000000001</v>
          </cell>
        </row>
        <row r="5260">
          <cell r="N5260">
            <v>-35.639000000000003</v>
          </cell>
        </row>
        <row r="5261">
          <cell r="N5261">
            <v>-24.213000000000001</v>
          </cell>
        </row>
        <row r="5262">
          <cell r="N5262">
            <v>-12.292999999999999</v>
          </cell>
        </row>
        <row r="5263">
          <cell r="N5263">
            <v>-32.405000000000001</v>
          </cell>
        </row>
        <row r="5264">
          <cell r="N5264">
            <v>-28.248999999999999</v>
          </cell>
        </row>
        <row r="5265">
          <cell r="N5265">
            <v>-13.478</v>
          </cell>
        </row>
        <row r="5266">
          <cell r="N5266">
            <v>-30.556999999999999</v>
          </cell>
        </row>
        <row r="5267">
          <cell r="N5267">
            <v>-25.172000000000001</v>
          </cell>
        </row>
        <row r="5268">
          <cell r="N5268">
            <v>-8.0000000000000002E-3</v>
          </cell>
        </row>
        <row r="5269">
          <cell r="N5269">
            <v>-26.483000000000001</v>
          </cell>
        </row>
        <row r="5270">
          <cell r="N5270">
            <v>-24.919</v>
          </cell>
        </row>
        <row r="5271">
          <cell r="N5271">
            <v>-36.32</v>
          </cell>
        </row>
        <row r="5272">
          <cell r="N5272">
            <v>-61.35</v>
          </cell>
        </row>
        <row r="5273">
          <cell r="N5273">
            <v>-340</v>
          </cell>
        </row>
        <row r="5274">
          <cell r="N5274">
            <v>-0.91900000000000004</v>
          </cell>
        </row>
        <row r="5275">
          <cell r="N5275">
            <v>-374.08100000000002</v>
          </cell>
        </row>
        <row r="5276">
          <cell r="N5276">
            <v>-4.1050000000000004</v>
          </cell>
        </row>
        <row r="5277">
          <cell r="N5277">
            <v>-7</v>
          </cell>
        </row>
        <row r="5278">
          <cell r="N5278">
            <v>-818.69799999999998</v>
          </cell>
        </row>
        <row r="5279">
          <cell r="N5279">
            <v>-135.58799999999999</v>
          </cell>
        </row>
        <row r="5280">
          <cell r="N5280">
            <v>-57.713999999999999</v>
          </cell>
        </row>
        <row r="5281">
          <cell r="N5281">
            <v>-62</v>
          </cell>
        </row>
        <row r="5282">
          <cell r="N5282">
            <v>-57.12</v>
          </cell>
        </row>
        <row r="5283">
          <cell r="N5283">
            <v>-11.772</v>
          </cell>
        </row>
        <row r="5284">
          <cell r="N5284">
            <v>-12.688000000000001</v>
          </cell>
        </row>
        <row r="5285">
          <cell r="N5285">
            <v>-540</v>
          </cell>
        </row>
        <row r="5286">
          <cell r="N5286">
            <v>-53.570999999999998</v>
          </cell>
        </row>
        <row r="5287">
          <cell r="N5287">
            <v>-408</v>
          </cell>
        </row>
        <row r="5288">
          <cell r="N5288">
            <v>-408</v>
          </cell>
        </row>
        <row r="5289">
          <cell r="N5289">
            <v>-349.88900000000001</v>
          </cell>
        </row>
        <row r="5290">
          <cell r="N5290">
            <v>-0.54900000000000004</v>
          </cell>
        </row>
        <row r="5291">
          <cell r="N5291">
            <v>-594</v>
          </cell>
        </row>
        <row r="5292">
          <cell r="N5292">
            <v>-270</v>
          </cell>
        </row>
        <row r="5293">
          <cell r="N5293">
            <v>-672</v>
          </cell>
        </row>
        <row r="5294">
          <cell r="N5294">
            <v>-295.5</v>
          </cell>
        </row>
        <row r="5295">
          <cell r="N5295">
            <v>-732</v>
          </cell>
        </row>
        <row r="5296">
          <cell r="N5296">
            <v>-742</v>
          </cell>
        </row>
        <row r="5297">
          <cell r="N5297">
            <v>-324</v>
          </cell>
        </row>
        <row r="5298">
          <cell r="N5298">
            <v>-265</v>
          </cell>
        </row>
        <row r="5299">
          <cell r="N5299">
            <v>-972.423</v>
          </cell>
        </row>
        <row r="5300">
          <cell r="N5300">
            <v>-6</v>
          </cell>
        </row>
        <row r="5301">
          <cell r="N5301">
            <v>-1212.604</v>
          </cell>
        </row>
        <row r="5302">
          <cell r="N5302">
            <v>-7</v>
          </cell>
        </row>
        <row r="5303">
          <cell r="N5303">
            <v>-1232.124</v>
          </cell>
        </row>
        <row r="5304">
          <cell r="N5304">
            <v>-84.936999999999998</v>
          </cell>
        </row>
        <row r="5305">
          <cell r="N5305">
            <v>-6.3E-2</v>
          </cell>
        </row>
        <row r="5306">
          <cell r="N5306">
            <v>-10.065</v>
          </cell>
        </row>
        <row r="5307">
          <cell r="N5307">
            <v>-173.59200000000001</v>
          </cell>
        </row>
        <row r="5308">
          <cell r="N5308">
            <v>-178.90700000000001</v>
          </cell>
        </row>
        <row r="5309">
          <cell r="N5309">
            <v>-16.843</v>
          </cell>
        </row>
        <row r="5310">
          <cell r="N5310">
            <v>-13.606</v>
          </cell>
        </row>
        <row r="5311">
          <cell r="N5311">
            <v>-258</v>
          </cell>
        </row>
        <row r="5312">
          <cell r="N5312">
            <v>-126</v>
          </cell>
        </row>
        <row r="5313">
          <cell r="N5313">
            <v>-19.693000000000001</v>
          </cell>
        </row>
        <row r="5314">
          <cell r="N5314">
            <v>-298</v>
          </cell>
        </row>
        <row r="5315">
          <cell r="N5315">
            <v>-20.460999999999999</v>
          </cell>
        </row>
        <row r="5316">
          <cell r="N5316">
            <v>-298</v>
          </cell>
        </row>
        <row r="5317">
          <cell r="N5317">
            <v>-1221.6020000000001</v>
          </cell>
        </row>
        <row r="5318">
          <cell r="N5318">
            <v>-136</v>
          </cell>
        </row>
        <row r="5319">
          <cell r="N5319">
            <v>-298</v>
          </cell>
        </row>
        <row r="5320">
          <cell r="N5320">
            <v>-9.5299999999999994</v>
          </cell>
        </row>
        <row r="5321">
          <cell r="N5321">
            <v>-298</v>
          </cell>
        </row>
        <row r="5322">
          <cell r="N5322">
            <v>-298</v>
          </cell>
        </row>
        <row r="5323">
          <cell r="N5323">
            <v>-298</v>
          </cell>
        </row>
        <row r="5324">
          <cell r="N5324">
            <v>-324</v>
          </cell>
        </row>
        <row r="5325">
          <cell r="N5325">
            <v>-298</v>
          </cell>
        </row>
        <row r="5326">
          <cell r="N5326">
            <v>-162</v>
          </cell>
        </row>
        <row r="5327">
          <cell r="N5327">
            <v>-15</v>
          </cell>
        </row>
        <row r="5328">
          <cell r="N5328">
            <v>-298</v>
          </cell>
        </row>
        <row r="5329">
          <cell r="N5329">
            <v>-1297.8140000000001</v>
          </cell>
        </row>
        <row r="5330">
          <cell r="N5330">
            <v>-0.29799999999999999</v>
          </cell>
        </row>
        <row r="5331">
          <cell r="N5331">
            <v>-1244.5940000000001</v>
          </cell>
        </row>
        <row r="5332">
          <cell r="N5332">
            <v>-15</v>
          </cell>
        </row>
        <row r="5333">
          <cell r="N5333">
            <v>-1000.814</v>
          </cell>
        </row>
        <row r="5334">
          <cell r="N5334">
            <v>-297.81400000000002</v>
          </cell>
        </row>
        <row r="5335">
          <cell r="N5335">
            <v>-298</v>
          </cell>
        </row>
        <row r="5336">
          <cell r="N5336">
            <v>-298</v>
          </cell>
        </row>
        <row r="5337">
          <cell r="N5337">
            <v>-1163.723</v>
          </cell>
        </row>
        <row r="5338">
          <cell r="N5338">
            <v>-1018.002</v>
          </cell>
        </row>
        <row r="5339">
          <cell r="N5339">
            <v>-82.242000000000004</v>
          </cell>
        </row>
        <row r="5340">
          <cell r="N5340">
            <v>-1287.279</v>
          </cell>
        </row>
        <row r="5341">
          <cell r="N5341">
            <v>-298</v>
          </cell>
        </row>
        <row r="5342">
          <cell r="N5342">
            <v>-5.47</v>
          </cell>
        </row>
        <row r="5343">
          <cell r="N5343">
            <v>-298</v>
          </cell>
        </row>
        <row r="5344">
          <cell r="N5344">
            <v>-298</v>
          </cell>
        </row>
        <row r="5345">
          <cell r="N5345">
            <v>-298</v>
          </cell>
        </row>
        <row r="5346">
          <cell r="N5346">
            <v>-298</v>
          </cell>
        </row>
        <row r="5347">
          <cell r="N5347">
            <v>-1278.1500000000001</v>
          </cell>
        </row>
        <row r="5348">
          <cell r="N5348">
            <v>-964.64200000000005</v>
          </cell>
        </row>
        <row r="5349">
          <cell r="N5349">
            <v>-1287.28</v>
          </cell>
        </row>
        <row r="5350">
          <cell r="N5350">
            <v>-60</v>
          </cell>
        </row>
        <row r="5351">
          <cell r="N5351">
            <v>-900.58399999999995</v>
          </cell>
        </row>
        <row r="5352">
          <cell r="N5352">
            <v>-308.78800000000001</v>
          </cell>
        </row>
        <row r="5353">
          <cell r="N5353">
            <v>-306.11500000000001</v>
          </cell>
        </row>
        <row r="5354">
          <cell r="N5354">
            <v>-386</v>
          </cell>
        </row>
        <row r="5355">
          <cell r="N5355">
            <v>-86.783000000000001</v>
          </cell>
        </row>
        <row r="5356">
          <cell r="N5356">
            <v>-121</v>
          </cell>
        </row>
        <row r="5357">
          <cell r="N5357">
            <v>-1223.528</v>
          </cell>
        </row>
        <row r="5358">
          <cell r="N5358">
            <v>-7.0960000000000001</v>
          </cell>
        </row>
        <row r="5359">
          <cell r="N5359">
            <v>-123.18600000000001</v>
          </cell>
        </row>
        <row r="5360">
          <cell r="N5360">
            <v>-99.662000000000006</v>
          </cell>
        </row>
        <row r="5361">
          <cell r="N5361">
            <v>-113.295</v>
          </cell>
        </row>
        <row r="5362">
          <cell r="N5362">
            <v>-722.85</v>
          </cell>
        </row>
        <row r="5363">
          <cell r="N5363">
            <v>-132.018</v>
          </cell>
        </row>
        <row r="5364">
          <cell r="N5364">
            <v>-198.739</v>
          </cell>
        </row>
        <row r="5365">
          <cell r="N5365">
            <v>-50.470999999999997</v>
          </cell>
        </row>
        <row r="5366">
          <cell r="N5366">
            <v>-13.141</v>
          </cell>
        </row>
        <row r="5367">
          <cell r="N5367">
            <v>-1223.528</v>
          </cell>
        </row>
        <row r="5368">
          <cell r="N5368">
            <v>-15.244</v>
          </cell>
        </row>
        <row r="5369">
          <cell r="N5369">
            <v>-21</v>
          </cell>
        </row>
        <row r="5370">
          <cell r="N5370">
            <v>-5</v>
          </cell>
        </row>
        <row r="5371">
          <cell r="N5371">
            <v>-298</v>
          </cell>
        </row>
        <row r="5372">
          <cell r="N5372">
            <v>-298</v>
          </cell>
        </row>
        <row r="5373">
          <cell r="N5373">
            <v>-105</v>
          </cell>
        </row>
        <row r="5374">
          <cell r="N5374">
            <v>-0.86799999999999999</v>
          </cell>
        </row>
        <row r="5375">
          <cell r="N5375">
            <v>-192.07599999999999</v>
          </cell>
        </row>
        <row r="5376">
          <cell r="N5376">
            <v>-900</v>
          </cell>
        </row>
        <row r="5377">
          <cell r="N5377">
            <v>-200</v>
          </cell>
        </row>
        <row r="5378">
          <cell r="N5378">
            <v>-298</v>
          </cell>
        </row>
        <row r="5379">
          <cell r="N5379">
            <v>-7.8849999999999998</v>
          </cell>
        </row>
        <row r="5380">
          <cell r="N5380">
            <v>-105</v>
          </cell>
        </row>
        <row r="5381">
          <cell r="N5381">
            <v>-1688.123</v>
          </cell>
        </row>
        <row r="5382">
          <cell r="N5382">
            <v>-0.309</v>
          </cell>
        </row>
        <row r="5383">
          <cell r="N5383">
            <v>-298</v>
          </cell>
        </row>
        <row r="5384">
          <cell r="N5384">
            <v>-0.98499999999999999</v>
          </cell>
        </row>
        <row r="5385">
          <cell r="N5385">
            <v>-298</v>
          </cell>
        </row>
        <row r="5386">
          <cell r="N5386">
            <v>-298</v>
          </cell>
        </row>
        <row r="5387">
          <cell r="N5387">
            <v>-298</v>
          </cell>
        </row>
        <row r="5388">
          <cell r="N5388">
            <v>-298</v>
          </cell>
        </row>
        <row r="5389">
          <cell r="N5389">
            <v>-1097.8140000000001</v>
          </cell>
        </row>
        <row r="5390">
          <cell r="N5390">
            <v>-298</v>
          </cell>
        </row>
        <row r="5391">
          <cell r="N5391">
            <v>-5</v>
          </cell>
        </row>
        <row r="5392">
          <cell r="N5392">
            <v>-1533.78</v>
          </cell>
        </row>
        <row r="5393">
          <cell r="N5393">
            <v>-298</v>
          </cell>
        </row>
        <row r="5394">
          <cell r="N5394">
            <v>-8</v>
          </cell>
        </row>
        <row r="5395">
          <cell r="N5395">
            <v>-7</v>
          </cell>
        </row>
        <row r="5396">
          <cell r="N5396">
            <v>-298</v>
          </cell>
        </row>
        <row r="5397">
          <cell r="N5397">
            <v>-324</v>
          </cell>
        </row>
        <row r="5398">
          <cell r="N5398">
            <v>-298</v>
          </cell>
        </row>
        <row r="5399">
          <cell r="N5399">
            <v>-7</v>
          </cell>
        </row>
        <row r="5400">
          <cell r="N5400">
            <v>-1287.28</v>
          </cell>
        </row>
        <row r="5401">
          <cell r="N5401">
            <v>-1089.7049999999999</v>
          </cell>
        </row>
        <row r="5402">
          <cell r="N5402">
            <v>-1089.7049999999999</v>
          </cell>
        </row>
        <row r="5403">
          <cell r="N5403">
            <v>-1297.8140000000001</v>
          </cell>
        </row>
        <row r="5404">
          <cell r="N5404">
            <v>-298</v>
          </cell>
        </row>
        <row r="5405">
          <cell r="N5405">
            <v>-8</v>
          </cell>
        </row>
        <row r="5406">
          <cell r="N5406">
            <v>-216</v>
          </cell>
        </row>
        <row r="5407">
          <cell r="N5407">
            <v>-5</v>
          </cell>
        </row>
        <row r="5408">
          <cell r="N5408">
            <v>-15</v>
          </cell>
        </row>
        <row r="5409">
          <cell r="N5409">
            <v>-1278.1500000000001</v>
          </cell>
        </row>
        <row r="5410">
          <cell r="N5410">
            <v>-298</v>
          </cell>
        </row>
        <row r="5411">
          <cell r="N5411">
            <v>-1223.529</v>
          </cell>
        </row>
        <row r="5412">
          <cell r="N5412">
            <v>-540.75599999999997</v>
          </cell>
        </row>
        <row r="5413">
          <cell r="N5413">
            <v>-298</v>
          </cell>
        </row>
        <row r="5414">
          <cell r="N5414">
            <v>-5</v>
          </cell>
        </row>
        <row r="5415">
          <cell r="N5415">
            <v>-540.75599999999997</v>
          </cell>
        </row>
        <row r="5416">
          <cell r="N5416">
            <v>-1278.1500000000001</v>
          </cell>
        </row>
        <row r="5417">
          <cell r="N5417">
            <v>-622.29700000000003</v>
          </cell>
        </row>
        <row r="5418">
          <cell r="N5418">
            <v>-7</v>
          </cell>
        </row>
        <row r="5419">
          <cell r="N5419">
            <v>-622.98199999999997</v>
          </cell>
        </row>
        <row r="5420">
          <cell r="N5420">
            <v>-162</v>
          </cell>
        </row>
        <row r="5421">
          <cell r="N5421">
            <v>-298</v>
          </cell>
        </row>
        <row r="5422">
          <cell r="N5422">
            <v>-1236</v>
          </cell>
        </row>
        <row r="5423">
          <cell r="N5423">
            <v>-298</v>
          </cell>
        </row>
        <row r="5424">
          <cell r="N5424">
            <v>-298</v>
          </cell>
        </row>
        <row r="5425">
          <cell r="N5425">
            <v>-298</v>
          </cell>
        </row>
        <row r="5426">
          <cell r="N5426">
            <v>-162</v>
          </cell>
        </row>
        <row r="5427">
          <cell r="N5427">
            <v>-1245.9639999999999</v>
          </cell>
        </row>
        <row r="5428">
          <cell r="N5428">
            <v>-63.055</v>
          </cell>
        </row>
        <row r="5429">
          <cell r="N5429">
            <v>-1221.6030000000001</v>
          </cell>
        </row>
        <row r="5430">
          <cell r="N5430">
            <v>-49</v>
          </cell>
        </row>
        <row r="5431">
          <cell r="N5431">
            <v>-732</v>
          </cell>
        </row>
        <row r="5432">
          <cell r="N5432">
            <v>-788.39700000000005</v>
          </cell>
        </row>
        <row r="5433">
          <cell r="N5433">
            <v>-298</v>
          </cell>
        </row>
        <row r="5434">
          <cell r="N5434">
            <v>-298</v>
          </cell>
        </row>
        <row r="5435">
          <cell r="N5435">
            <v>-298</v>
          </cell>
        </row>
        <row r="5436">
          <cell r="N5436">
            <v>-298</v>
          </cell>
        </row>
        <row r="5437">
          <cell r="N5437">
            <v>-133.989</v>
          </cell>
        </row>
        <row r="5438">
          <cell r="N5438">
            <v>-204.059</v>
          </cell>
        </row>
        <row r="5439">
          <cell r="N5439">
            <v>-1276.9449999999999</v>
          </cell>
        </row>
        <row r="5440">
          <cell r="N5440">
            <v>-298</v>
          </cell>
        </row>
        <row r="5441">
          <cell r="N5441">
            <v>-1212.604</v>
          </cell>
        </row>
        <row r="5442">
          <cell r="N5442">
            <v>-732</v>
          </cell>
        </row>
        <row r="5443">
          <cell r="N5443">
            <v>-1297.8140000000001</v>
          </cell>
        </row>
        <row r="5444">
          <cell r="N5444">
            <v>-340</v>
          </cell>
        </row>
        <row r="5445">
          <cell r="N5445">
            <v>-41.533999999999999</v>
          </cell>
        </row>
        <row r="5446">
          <cell r="N5446">
            <v>-104.261</v>
          </cell>
        </row>
        <row r="5447">
          <cell r="N5447">
            <v>-40.186</v>
          </cell>
        </row>
        <row r="5448">
          <cell r="N5448">
            <v>-298</v>
          </cell>
        </row>
        <row r="5449">
          <cell r="N5449">
            <v>-298</v>
          </cell>
        </row>
        <row r="5450">
          <cell r="N5450">
            <v>-298</v>
          </cell>
        </row>
        <row r="5451">
          <cell r="N5451">
            <v>-298</v>
          </cell>
        </row>
        <row r="5452">
          <cell r="N5452">
            <v>-298</v>
          </cell>
        </row>
        <row r="5453">
          <cell r="N5453">
            <v>-298</v>
          </cell>
        </row>
        <row r="5454">
          <cell r="N5454">
            <v>-22</v>
          </cell>
        </row>
        <row r="5455">
          <cell r="N5455">
            <v>-162</v>
          </cell>
        </row>
        <row r="5456">
          <cell r="N5456">
            <v>-1088.6869999999999</v>
          </cell>
        </row>
        <row r="5457">
          <cell r="N5457">
            <v>-228.732</v>
          </cell>
        </row>
        <row r="5458">
          <cell r="N5458">
            <v>-298</v>
          </cell>
        </row>
        <row r="5459">
          <cell r="N5459">
            <v>-298</v>
          </cell>
        </row>
        <row r="5460">
          <cell r="N5460">
            <v>-713.20600000000002</v>
          </cell>
        </row>
        <row r="5461">
          <cell r="N5461">
            <v>-1.7999999999999999E-2</v>
          </cell>
        </row>
        <row r="5462">
          <cell r="N5462">
            <v>-298</v>
          </cell>
        </row>
        <row r="5463">
          <cell r="N5463">
            <v>-1296.7940000000001</v>
          </cell>
        </row>
        <row r="5464">
          <cell r="N5464">
            <v>-298</v>
          </cell>
        </row>
        <row r="5465">
          <cell r="N5465">
            <v>-162</v>
          </cell>
        </row>
        <row r="5466">
          <cell r="N5466">
            <v>-298</v>
          </cell>
        </row>
        <row r="5467">
          <cell r="N5467">
            <v>-563.73900000000003</v>
          </cell>
        </row>
        <row r="5468">
          <cell r="N5468">
            <v>-1271.519</v>
          </cell>
        </row>
        <row r="5469">
          <cell r="N5469">
            <v>-1229.7940000000001</v>
          </cell>
        </row>
        <row r="5470">
          <cell r="N5470">
            <v>-298</v>
          </cell>
        </row>
        <row r="5471">
          <cell r="N5471">
            <v>-298</v>
          </cell>
        </row>
        <row r="5472">
          <cell r="N5472">
            <v>-1232.268</v>
          </cell>
        </row>
        <row r="5473">
          <cell r="N5473">
            <v>-1297.8140000000001</v>
          </cell>
        </row>
        <row r="5474">
          <cell r="N5474">
            <v>-105</v>
          </cell>
        </row>
        <row r="5475">
          <cell r="N5475">
            <v>-298</v>
          </cell>
        </row>
        <row r="5476">
          <cell r="N5476">
            <v>-298</v>
          </cell>
        </row>
        <row r="5477">
          <cell r="N5477">
            <v>-298</v>
          </cell>
        </row>
        <row r="5478">
          <cell r="N5478">
            <v>-1091.4590000000001</v>
          </cell>
        </row>
        <row r="5479">
          <cell r="N5479">
            <v>-298</v>
          </cell>
        </row>
        <row r="5480">
          <cell r="N5480">
            <v>-298</v>
          </cell>
        </row>
        <row r="5481">
          <cell r="N5481">
            <v>-175.941</v>
          </cell>
        </row>
        <row r="5482">
          <cell r="N5482">
            <v>-161</v>
          </cell>
        </row>
        <row r="5483">
          <cell r="N5483">
            <v>-721</v>
          </cell>
        </row>
        <row r="5484">
          <cell r="N5484">
            <v>-0.50700000000000001</v>
          </cell>
        </row>
        <row r="5485">
          <cell r="N5485">
            <v>-204.059</v>
          </cell>
        </row>
        <row r="5486">
          <cell r="N5486">
            <v>-695.18600000000004</v>
          </cell>
        </row>
        <row r="5487">
          <cell r="N5487">
            <v>-665</v>
          </cell>
        </row>
        <row r="5488">
          <cell r="N5488">
            <v>-200</v>
          </cell>
        </row>
        <row r="5489">
          <cell r="N5489">
            <v>-1247.335</v>
          </cell>
        </row>
        <row r="5490">
          <cell r="N5490">
            <v>-1297.8140000000001</v>
          </cell>
        </row>
        <row r="5491">
          <cell r="N5491">
            <v>-298</v>
          </cell>
        </row>
        <row r="5492">
          <cell r="N5492">
            <v>-298</v>
          </cell>
        </row>
        <row r="5493">
          <cell r="N5493">
            <v>-298</v>
          </cell>
        </row>
        <row r="5494">
          <cell r="N5494">
            <v>-1278.1500000000001</v>
          </cell>
        </row>
        <row r="5495">
          <cell r="N5495">
            <v>-1297.8140000000001</v>
          </cell>
        </row>
        <row r="5496">
          <cell r="N5496">
            <v>-82.242000000000004</v>
          </cell>
        </row>
        <row r="5497">
          <cell r="N5497">
            <v>-6</v>
          </cell>
        </row>
        <row r="5498">
          <cell r="N5498">
            <v>-22</v>
          </cell>
        </row>
        <row r="5499">
          <cell r="N5499">
            <v>-16</v>
          </cell>
        </row>
        <row r="5500">
          <cell r="N5500">
            <v>-734</v>
          </cell>
        </row>
        <row r="5501">
          <cell r="N5501">
            <v>-487.38900000000001</v>
          </cell>
        </row>
        <row r="5502">
          <cell r="N5502">
            <v>-298</v>
          </cell>
        </row>
        <row r="5503">
          <cell r="N5503">
            <v>-298</v>
          </cell>
        </row>
        <row r="5504">
          <cell r="N5504">
            <v>-6</v>
          </cell>
        </row>
        <row r="5505">
          <cell r="N5505">
            <v>-6</v>
          </cell>
        </row>
        <row r="5506">
          <cell r="N5506">
            <v>-6</v>
          </cell>
        </row>
        <row r="5507">
          <cell r="N5507">
            <v>-298</v>
          </cell>
        </row>
        <row r="5508">
          <cell r="N5508">
            <v>-298</v>
          </cell>
        </row>
        <row r="5509">
          <cell r="N5509">
            <v>-1235.9159999999999</v>
          </cell>
        </row>
        <row r="5510">
          <cell r="N5510">
            <v>-162</v>
          </cell>
        </row>
        <row r="5511">
          <cell r="N5511">
            <v>-602.90099999999995</v>
          </cell>
        </row>
        <row r="5512">
          <cell r="N5512">
            <v>-179</v>
          </cell>
        </row>
        <row r="5513">
          <cell r="N5513">
            <v>-298</v>
          </cell>
        </row>
        <row r="5514">
          <cell r="N5514">
            <v>-298</v>
          </cell>
        </row>
        <row r="5515">
          <cell r="N5515">
            <v>-298</v>
          </cell>
        </row>
        <row r="5516">
          <cell r="N5516">
            <v>-298</v>
          </cell>
        </row>
        <row r="5517">
          <cell r="N5517">
            <v>-1296.7940000000001</v>
          </cell>
        </row>
        <row r="5518">
          <cell r="N5518">
            <v>-413.22300000000001</v>
          </cell>
        </row>
        <row r="5519">
          <cell r="N5519">
            <v>-100</v>
          </cell>
        </row>
        <row r="5520">
          <cell r="N5520">
            <v>-835.01800000000003</v>
          </cell>
        </row>
        <row r="5521">
          <cell r="N5521">
            <v>-16</v>
          </cell>
        </row>
        <row r="5522">
          <cell r="N5522">
            <v>-375.22500000000002</v>
          </cell>
        </row>
        <row r="5523">
          <cell r="N5523">
            <v>-732</v>
          </cell>
        </row>
        <row r="5524">
          <cell r="N5524">
            <v>-100</v>
          </cell>
        </row>
        <row r="5525">
          <cell r="N5525">
            <v>-766</v>
          </cell>
        </row>
        <row r="5526">
          <cell r="N5526">
            <v>-298</v>
          </cell>
        </row>
        <row r="5527">
          <cell r="N5527">
            <v>-298</v>
          </cell>
        </row>
        <row r="5528">
          <cell r="N5528">
            <v>-223</v>
          </cell>
        </row>
        <row r="5529">
          <cell r="N5529">
            <v>-298</v>
          </cell>
        </row>
        <row r="5530">
          <cell r="N5530">
            <v>-1031</v>
          </cell>
        </row>
        <row r="5531">
          <cell r="N5531">
            <v>-298</v>
          </cell>
        </row>
        <row r="5532">
          <cell r="N5532">
            <v>-16</v>
          </cell>
        </row>
        <row r="5533">
          <cell r="N5533">
            <v>-6</v>
          </cell>
        </row>
        <row r="5534">
          <cell r="N5534">
            <v>-233.131</v>
          </cell>
        </row>
        <row r="5535">
          <cell r="N5535">
            <v>-761</v>
          </cell>
        </row>
        <row r="5536">
          <cell r="N5536">
            <v>-38</v>
          </cell>
        </row>
        <row r="5537">
          <cell r="N5537">
            <v>-298</v>
          </cell>
        </row>
        <row r="5538">
          <cell r="N5538">
            <v>-18</v>
          </cell>
        </row>
        <row r="5539">
          <cell r="N5539">
            <v>-298</v>
          </cell>
        </row>
        <row r="5540">
          <cell r="N5540">
            <v>-593.82600000000002</v>
          </cell>
        </row>
        <row r="5541">
          <cell r="N5541">
            <v>-1094.7750000000001</v>
          </cell>
        </row>
        <row r="5542">
          <cell r="N5542">
            <v>-622.98199999999997</v>
          </cell>
        </row>
        <row r="5543">
          <cell r="N5543">
            <v>-1212.1089999999999</v>
          </cell>
        </row>
        <row r="5544">
          <cell r="N5544">
            <v>-622.98199999999997</v>
          </cell>
        </row>
        <row r="5545">
          <cell r="N5545">
            <v>-17</v>
          </cell>
        </row>
        <row r="5546">
          <cell r="N5546">
            <v>-16</v>
          </cell>
        </row>
        <row r="5547">
          <cell r="N5547">
            <v>-563.66800000000001</v>
          </cell>
        </row>
        <row r="5548">
          <cell r="N5548">
            <v>-6</v>
          </cell>
        </row>
        <row r="5549">
          <cell r="N5549">
            <v>-298</v>
          </cell>
        </row>
        <row r="5550">
          <cell r="N5550">
            <v>-298</v>
          </cell>
        </row>
        <row r="5551">
          <cell r="N5551">
            <v>-529.24599999999998</v>
          </cell>
        </row>
        <row r="5552">
          <cell r="N5552">
            <v>-12</v>
          </cell>
        </row>
        <row r="5553">
          <cell r="N5553">
            <v>-7</v>
          </cell>
        </row>
        <row r="5554">
          <cell r="N5554">
            <v>-162</v>
          </cell>
        </row>
        <row r="5555">
          <cell r="N5555">
            <v>-162</v>
          </cell>
        </row>
        <row r="5556">
          <cell r="N5556">
            <v>-50</v>
          </cell>
        </row>
        <row r="5557">
          <cell r="N5557">
            <v>-298</v>
          </cell>
        </row>
        <row r="5558">
          <cell r="N5558">
            <v>-63.347000000000001</v>
          </cell>
        </row>
        <row r="5559">
          <cell r="N5559">
            <v>-186.126</v>
          </cell>
        </row>
        <row r="5560">
          <cell r="N5560">
            <v>-354.52699999999999</v>
          </cell>
        </row>
        <row r="5561">
          <cell r="N5561">
            <v>-8.2460000000000004</v>
          </cell>
        </row>
        <row r="5562">
          <cell r="N5562">
            <v>-92.754000000000005</v>
          </cell>
        </row>
        <row r="5563">
          <cell r="N5563">
            <v>-19.399999999999999</v>
          </cell>
        </row>
        <row r="5564">
          <cell r="N5564">
            <v>-6.5</v>
          </cell>
        </row>
        <row r="5565">
          <cell r="N5565">
            <v>-6.5449999999999999</v>
          </cell>
        </row>
        <row r="5566">
          <cell r="N5566">
            <v>-43</v>
          </cell>
        </row>
        <row r="5567">
          <cell r="N5567">
            <v>-42</v>
          </cell>
        </row>
        <row r="5568">
          <cell r="N5568">
            <v>-42</v>
          </cell>
        </row>
        <row r="5569">
          <cell r="N5569">
            <v>-42</v>
          </cell>
        </row>
        <row r="5570">
          <cell r="N5570">
            <v>-42</v>
          </cell>
        </row>
        <row r="5571">
          <cell r="N5571">
            <v>-42</v>
          </cell>
        </row>
        <row r="5572">
          <cell r="N5572">
            <v>-41</v>
          </cell>
        </row>
        <row r="5573">
          <cell r="N5573">
            <v>-42</v>
          </cell>
        </row>
        <row r="5574">
          <cell r="N5574">
            <v>-5</v>
          </cell>
        </row>
        <row r="5575">
          <cell r="N5575">
            <v>-6.4349999999999996</v>
          </cell>
        </row>
        <row r="5576">
          <cell r="N5576">
            <v>-16</v>
          </cell>
        </row>
        <row r="5577">
          <cell r="N5577">
            <v>-22</v>
          </cell>
        </row>
        <row r="5578">
          <cell r="N5578">
            <v>-93.45</v>
          </cell>
        </row>
        <row r="5579">
          <cell r="N5579">
            <v>-46.283999999999999</v>
          </cell>
        </row>
        <row r="5580">
          <cell r="N5580">
            <v>-32.799999999999997</v>
          </cell>
        </row>
        <row r="5581">
          <cell r="N5581">
            <v>-11</v>
          </cell>
        </row>
        <row r="5582">
          <cell r="N5582">
            <v>-20</v>
          </cell>
        </row>
        <row r="5583">
          <cell r="N5583">
            <v>-20</v>
          </cell>
        </row>
        <row r="5584">
          <cell r="N5584">
            <v>-20</v>
          </cell>
        </row>
        <row r="5585">
          <cell r="N5585">
            <v>-20</v>
          </cell>
        </row>
        <row r="5586">
          <cell r="N5586">
            <v>-0.85</v>
          </cell>
        </row>
        <row r="5587">
          <cell r="N5587">
            <v>-10</v>
          </cell>
        </row>
        <row r="5588">
          <cell r="N5588">
            <v>-35.152000000000001</v>
          </cell>
        </row>
        <row r="5589">
          <cell r="N5589">
            <v>-964.84799999999996</v>
          </cell>
        </row>
        <row r="5590">
          <cell r="N5590">
            <v>-964.84699999999998</v>
          </cell>
        </row>
        <row r="5591">
          <cell r="N5591">
            <v>-134</v>
          </cell>
        </row>
        <row r="5592">
          <cell r="N5592">
            <v>-983.52200000000005</v>
          </cell>
        </row>
        <row r="5593">
          <cell r="N5593">
            <v>-2885</v>
          </cell>
        </row>
        <row r="5594">
          <cell r="N5594">
            <v>-750</v>
          </cell>
        </row>
        <row r="5595">
          <cell r="N5595">
            <v>-1012</v>
          </cell>
        </row>
        <row r="5596">
          <cell r="N5596">
            <v>-1003</v>
          </cell>
        </row>
        <row r="5597">
          <cell r="N5597">
            <v>-8.6750000000000007</v>
          </cell>
        </row>
        <row r="5598">
          <cell r="N5598">
            <v>-0.82499999999999996</v>
          </cell>
        </row>
        <row r="5599">
          <cell r="N5599">
            <v>-2.6909999999999998</v>
          </cell>
        </row>
        <row r="5600">
          <cell r="N5600">
            <v>-1005.309</v>
          </cell>
        </row>
        <row r="5601">
          <cell r="N5601">
            <v>-148.51499999999999</v>
          </cell>
        </row>
        <row r="5602">
          <cell r="N5602">
            <v>-434.18099999999998</v>
          </cell>
        </row>
        <row r="5603">
          <cell r="N5603">
            <v>-42</v>
          </cell>
        </row>
        <row r="5604">
          <cell r="N5604">
            <v>-100</v>
          </cell>
        </row>
        <row r="5605">
          <cell r="N5605">
            <v>-1.046</v>
          </cell>
        </row>
        <row r="5606">
          <cell r="N5606">
            <v>-6.47</v>
          </cell>
        </row>
        <row r="5607">
          <cell r="N5607">
            <v>-6.47</v>
          </cell>
        </row>
        <row r="5608">
          <cell r="N5608">
            <v>-2.0459999999999998</v>
          </cell>
        </row>
        <row r="5609">
          <cell r="N5609">
            <v>-6.359</v>
          </cell>
        </row>
        <row r="5610">
          <cell r="N5610">
            <v>-3.0640000000000001</v>
          </cell>
        </row>
        <row r="5611">
          <cell r="N5611">
            <v>-4.6550000000000002</v>
          </cell>
        </row>
        <row r="5612">
          <cell r="N5612">
            <v>-1.5569999999999999</v>
          </cell>
        </row>
        <row r="5613">
          <cell r="N5613">
            <v>-1074</v>
          </cell>
        </row>
        <row r="5614">
          <cell r="N5614">
            <v>-460</v>
          </cell>
        </row>
        <row r="5615">
          <cell r="N5615">
            <v>-14.381</v>
          </cell>
        </row>
        <row r="5616">
          <cell r="N5616">
            <v>-10</v>
          </cell>
        </row>
        <row r="5617">
          <cell r="N5617">
            <v>-371.37299999999999</v>
          </cell>
        </row>
        <row r="5618">
          <cell r="N5618">
            <v>-231.62700000000001</v>
          </cell>
        </row>
        <row r="5619">
          <cell r="N5619">
            <v>-485.61900000000003</v>
          </cell>
        </row>
        <row r="5620">
          <cell r="N5620">
            <v>-190.75</v>
          </cell>
        </row>
        <row r="5621">
          <cell r="N5621">
            <v>-75.25</v>
          </cell>
        </row>
        <row r="5622">
          <cell r="N5622">
            <v>-600</v>
          </cell>
        </row>
        <row r="5623">
          <cell r="N5623">
            <v>-482</v>
          </cell>
        </row>
        <row r="5624">
          <cell r="N5624">
            <v>-77</v>
          </cell>
        </row>
        <row r="5625">
          <cell r="N5625">
            <v>-186.745</v>
          </cell>
        </row>
        <row r="5626">
          <cell r="N5626">
            <v>-1150</v>
          </cell>
        </row>
        <row r="5627">
          <cell r="N5627">
            <v>-302.56400000000002</v>
          </cell>
        </row>
        <row r="5628">
          <cell r="N5628">
            <v>-460.98700000000002</v>
          </cell>
        </row>
        <row r="5629">
          <cell r="N5629">
            <v>-28</v>
          </cell>
        </row>
        <row r="5630">
          <cell r="N5630">
            <v>-552</v>
          </cell>
        </row>
        <row r="5631">
          <cell r="N5631">
            <v>-100</v>
          </cell>
        </row>
        <row r="5632">
          <cell r="N5632">
            <v>-300</v>
          </cell>
        </row>
        <row r="5633">
          <cell r="N5633">
            <v>-86.593999999999994</v>
          </cell>
        </row>
        <row r="5634">
          <cell r="N5634">
            <v>-27</v>
          </cell>
        </row>
        <row r="5635">
          <cell r="N5635">
            <v>-838</v>
          </cell>
        </row>
        <row r="5636">
          <cell r="N5636">
            <v>-343.40600000000001</v>
          </cell>
        </row>
        <row r="5637">
          <cell r="N5637">
            <v>-663</v>
          </cell>
        </row>
        <row r="5638">
          <cell r="N5638">
            <v>-25</v>
          </cell>
        </row>
        <row r="5639">
          <cell r="N5639">
            <v>-22.748000000000001</v>
          </cell>
        </row>
        <row r="5640">
          <cell r="N5640">
            <v>-13.288</v>
          </cell>
        </row>
        <row r="5641">
          <cell r="N5641">
            <v>-350</v>
          </cell>
        </row>
        <row r="5642">
          <cell r="N5642">
            <v>-16</v>
          </cell>
        </row>
        <row r="5643">
          <cell r="N5643">
            <v>-191.37</v>
          </cell>
        </row>
        <row r="5644">
          <cell r="N5644">
            <v>-24.725999999999999</v>
          </cell>
        </row>
        <row r="5645">
          <cell r="N5645">
            <v>-10.201000000000001</v>
          </cell>
        </row>
        <row r="5646">
          <cell r="N5646">
            <v>-0.35199999999999998</v>
          </cell>
        </row>
        <row r="5647">
          <cell r="N5647">
            <v>-9.8000000000000004E-2</v>
          </cell>
        </row>
        <row r="5648">
          <cell r="N5648">
            <v>-17.803000000000001</v>
          </cell>
        </row>
        <row r="5649">
          <cell r="N5649">
            <v>-20.968</v>
          </cell>
        </row>
        <row r="5650">
          <cell r="N5650">
            <v>-21.263999999999999</v>
          </cell>
        </row>
        <row r="5651">
          <cell r="N5651">
            <v>-9.2189999999999994</v>
          </cell>
        </row>
        <row r="5652">
          <cell r="N5652">
            <v>-21.067</v>
          </cell>
        </row>
        <row r="5653">
          <cell r="N5653">
            <v>-12.164999999999999</v>
          </cell>
        </row>
        <row r="5654">
          <cell r="N5654">
            <v>-9.8190000000000008</v>
          </cell>
        </row>
        <row r="5655">
          <cell r="N5655">
            <v>-25.122</v>
          </cell>
        </row>
        <row r="5656">
          <cell r="N5656">
            <v>-27.199000000000002</v>
          </cell>
        </row>
        <row r="5657">
          <cell r="N5657">
            <v>-12.18</v>
          </cell>
        </row>
        <row r="5658">
          <cell r="N5658">
            <v>-97.406000000000006</v>
          </cell>
        </row>
        <row r="5659">
          <cell r="N5659">
            <v>-150</v>
          </cell>
        </row>
        <row r="5660">
          <cell r="N5660">
            <v>-2.9660000000000002</v>
          </cell>
        </row>
        <row r="5661">
          <cell r="N5661">
            <v>-307.36700000000002</v>
          </cell>
        </row>
        <row r="5662">
          <cell r="N5662">
            <v>-0.23100000000000001</v>
          </cell>
        </row>
        <row r="5663">
          <cell r="N5663">
            <v>-0.63900000000000001</v>
          </cell>
        </row>
        <row r="5664">
          <cell r="N5664">
            <v>-24.725999999999999</v>
          </cell>
        </row>
        <row r="5665">
          <cell r="N5665">
            <v>-18.359000000000002</v>
          </cell>
        </row>
        <row r="5666">
          <cell r="N5666">
            <v>-0.91900000000000004</v>
          </cell>
        </row>
        <row r="5667">
          <cell r="N5667">
            <v>-0.89200000000000002</v>
          </cell>
        </row>
        <row r="5668">
          <cell r="N5668">
            <v>-27.001000000000001</v>
          </cell>
        </row>
        <row r="5669">
          <cell r="N5669">
            <v>-9.11</v>
          </cell>
        </row>
        <row r="5670">
          <cell r="N5670">
            <v>-1.827</v>
          </cell>
        </row>
        <row r="5671">
          <cell r="N5671">
            <v>-1.44</v>
          </cell>
        </row>
        <row r="5672">
          <cell r="N5672">
            <v>-0.13100000000000001</v>
          </cell>
        </row>
        <row r="5673">
          <cell r="N5673">
            <v>-128.30099999999999</v>
          </cell>
        </row>
        <row r="5674">
          <cell r="N5674">
            <v>-13.462</v>
          </cell>
        </row>
        <row r="5675">
          <cell r="N5675">
            <v>-0.318</v>
          </cell>
        </row>
        <row r="5676">
          <cell r="N5676">
            <v>-7.1589999999999998</v>
          </cell>
        </row>
        <row r="5677">
          <cell r="N5677">
            <v>-21.462</v>
          </cell>
        </row>
        <row r="5678">
          <cell r="N5678">
            <v>-2.0609999999999999</v>
          </cell>
        </row>
        <row r="5679">
          <cell r="N5679">
            <v>-1.0589999999999999</v>
          </cell>
        </row>
        <row r="5680">
          <cell r="N5680">
            <v>-10.801</v>
          </cell>
        </row>
        <row r="5681">
          <cell r="N5681">
            <v>-3.8730000000000002</v>
          </cell>
        </row>
        <row r="5682">
          <cell r="N5682">
            <v>-10.092000000000001</v>
          </cell>
        </row>
        <row r="5683">
          <cell r="N5683">
            <v>-30.166</v>
          </cell>
        </row>
        <row r="5684">
          <cell r="N5684">
            <v>-22.919</v>
          </cell>
        </row>
        <row r="5685">
          <cell r="N5685">
            <v>-30.119</v>
          </cell>
        </row>
        <row r="5686">
          <cell r="N5686">
            <v>-1.6359999999999999</v>
          </cell>
        </row>
        <row r="5687">
          <cell r="N5687">
            <v>-4.4189999999999996</v>
          </cell>
        </row>
        <row r="5688">
          <cell r="N5688">
            <v>-7.68</v>
          </cell>
        </row>
        <row r="5689">
          <cell r="N5689">
            <v>-22.946000000000002</v>
          </cell>
        </row>
        <row r="5690">
          <cell r="N5690">
            <v>-40.131999999999998</v>
          </cell>
        </row>
        <row r="5691">
          <cell r="N5691">
            <v>-40</v>
          </cell>
        </row>
        <row r="5692">
          <cell r="N5692">
            <v>-8.6050000000000004</v>
          </cell>
        </row>
        <row r="5693">
          <cell r="N5693">
            <v>-22.946000000000002</v>
          </cell>
        </row>
        <row r="5694">
          <cell r="N5694">
            <v>-9.3829999999999991</v>
          </cell>
        </row>
        <row r="5695">
          <cell r="N5695">
            <v>-3.3279999999999998</v>
          </cell>
        </row>
        <row r="5696">
          <cell r="N5696">
            <v>-3.5459999999999998</v>
          </cell>
        </row>
        <row r="5697">
          <cell r="N5697">
            <v>-23.143999999999998</v>
          </cell>
        </row>
        <row r="5698">
          <cell r="N5698">
            <v>-28.559000000000001</v>
          </cell>
        </row>
        <row r="5699">
          <cell r="N5699">
            <v>-3.6549999999999998</v>
          </cell>
        </row>
        <row r="5700">
          <cell r="N5700">
            <v>-26.012</v>
          </cell>
        </row>
        <row r="5701">
          <cell r="N5701">
            <v>-29.039000000000001</v>
          </cell>
        </row>
        <row r="5702">
          <cell r="N5702">
            <v>-23.242000000000001</v>
          </cell>
        </row>
        <row r="5703">
          <cell r="N5703">
            <v>-24.959</v>
          </cell>
        </row>
        <row r="5704">
          <cell r="N5704">
            <v>-3.4910000000000001</v>
          </cell>
        </row>
        <row r="5705">
          <cell r="N5705">
            <v>-9.3829999999999991</v>
          </cell>
        </row>
        <row r="5706">
          <cell r="N5706">
            <v>-10.364000000000001</v>
          </cell>
        </row>
        <row r="5707">
          <cell r="N5707">
            <v>-3.8180000000000001</v>
          </cell>
        </row>
        <row r="5708">
          <cell r="N5708">
            <v>-3.9279999999999999</v>
          </cell>
        </row>
        <row r="5709">
          <cell r="N5709">
            <v>-26.012</v>
          </cell>
        </row>
        <row r="5710">
          <cell r="N5710">
            <v>-5</v>
          </cell>
        </row>
        <row r="5711">
          <cell r="N5711">
            <v>-20.77</v>
          </cell>
        </row>
        <row r="5712">
          <cell r="N5712">
            <v>-3.8730000000000002</v>
          </cell>
        </row>
        <row r="5713">
          <cell r="N5713">
            <v>-3.4910000000000001</v>
          </cell>
        </row>
        <row r="5714">
          <cell r="N5714">
            <v>-18.495000000000001</v>
          </cell>
        </row>
        <row r="5715">
          <cell r="N5715">
            <v>-3.5459999999999998</v>
          </cell>
        </row>
        <row r="5716">
          <cell r="N5716">
            <v>-9.0009999999999994</v>
          </cell>
        </row>
        <row r="5717">
          <cell r="N5717">
            <v>-32.997999999999998</v>
          </cell>
        </row>
        <row r="5718">
          <cell r="N5718">
            <v>-18.792000000000002</v>
          </cell>
        </row>
        <row r="5719">
          <cell r="N5719">
            <v>-10.146000000000001</v>
          </cell>
        </row>
        <row r="5720">
          <cell r="N5720">
            <v>-27.396000000000001</v>
          </cell>
        </row>
        <row r="5721">
          <cell r="N5721">
            <v>-3.6</v>
          </cell>
        </row>
        <row r="5722">
          <cell r="N5722">
            <v>-23.44</v>
          </cell>
        </row>
        <row r="5723">
          <cell r="N5723">
            <v>-24.119</v>
          </cell>
        </row>
        <row r="5724">
          <cell r="N5724">
            <v>-3.7090000000000001</v>
          </cell>
        </row>
        <row r="5725">
          <cell r="N5725">
            <v>-3.1640000000000001</v>
          </cell>
        </row>
        <row r="5726">
          <cell r="N5726">
            <v>-22.649000000000001</v>
          </cell>
        </row>
        <row r="5727">
          <cell r="N5727">
            <v>-10.583</v>
          </cell>
        </row>
        <row r="5728">
          <cell r="N5728">
            <v>-3.7639999999999998</v>
          </cell>
        </row>
        <row r="5729">
          <cell r="N5729">
            <v>-27.99</v>
          </cell>
        </row>
        <row r="5730">
          <cell r="N5730">
            <v>-3.6549999999999998</v>
          </cell>
        </row>
        <row r="5731">
          <cell r="N5731">
            <v>-31.558</v>
          </cell>
        </row>
        <row r="5732">
          <cell r="N5732">
            <v>-10.965</v>
          </cell>
        </row>
        <row r="5733">
          <cell r="N5733">
            <v>-4.0369999999999999</v>
          </cell>
        </row>
        <row r="5734">
          <cell r="N5734">
            <v>-3.3820000000000001</v>
          </cell>
        </row>
        <row r="5735">
          <cell r="N5735">
            <v>-31.558</v>
          </cell>
        </row>
        <row r="5736">
          <cell r="N5736">
            <v>-3.9279999999999999</v>
          </cell>
        </row>
        <row r="5737">
          <cell r="N5737">
            <v>-2.891</v>
          </cell>
        </row>
        <row r="5738">
          <cell r="N5738">
            <v>-9.6549999999999994</v>
          </cell>
        </row>
        <row r="5739">
          <cell r="N5739">
            <v>-26.704000000000001</v>
          </cell>
        </row>
        <row r="5740">
          <cell r="N5740">
            <v>-26.638999999999999</v>
          </cell>
        </row>
        <row r="5741">
          <cell r="N5741">
            <v>-26.012</v>
          </cell>
        </row>
        <row r="5742">
          <cell r="N5742">
            <v>-9.11</v>
          </cell>
        </row>
        <row r="5743">
          <cell r="N5743">
            <v>-12.545999999999999</v>
          </cell>
        </row>
        <row r="5744">
          <cell r="N5744">
            <v>-9.7639999999999993</v>
          </cell>
        </row>
        <row r="5745">
          <cell r="N5745">
            <v>-27.495000000000001</v>
          </cell>
        </row>
        <row r="5746">
          <cell r="N5746">
            <v>-124.754</v>
          </cell>
        </row>
        <row r="5747">
          <cell r="N5747">
            <v>-461.86799999999999</v>
          </cell>
        </row>
        <row r="5748">
          <cell r="N5748">
            <v>-337.11399999999998</v>
          </cell>
        </row>
        <row r="5749">
          <cell r="N5749">
            <v>-28.079000000000001</v>
          </cell>
        </row>
        <row r="5750">
          <cell r="N5750">
            <v>-22.649000000000001</v>
          </cell>
        </row>
        <row r="5751">
          <cell r="N5751">
            <v>-32.878</v>
          </cell>
        </row>
        <row r="5752">
          <cell r="N5752">
            <v>-14.183</v>
          </cell>
        </row>
        <row r="5753">
          <cell r="N5753">
            <v>-25.122</v>
          </cell>
        </row>
        <row r="5754">
          <cell r="N5754">
            <v>-14.456</v>
          </cell>
        </row>
        <row r="5755">
          <cell r="N5755">
            <v>-28.582999999999998</v>
          </cell>
        </row>
        <row r="5756">
          <cell r="N5756">
            <v>-29.158999999999999</v>
          </cell>
        </row>
        <row r="5757">
          <cell r="N5757">
            <v>-15.874000000000001</v>
          </cell>
        </row>
        <row r="5758">
          <cell r="N5758">
            <v>-15.929</v>
          </cell>
        </row>
        <row r="5759">
          <cell r="N5759">
            <v>-3.8730000000000002</v>
          </cell>
        </row>
        <row r="5760">
          <cell r="N5760">
            <v>-25.22</v>
          </cell>
        </row>
        <row r="5761">
          <cell r="N5761">
            <v>-5.2370000000000001</v>
          </cell>
        </row>
        <row r="5762">
          <cell r="N5762">
            <v>-28.798999999999999</v>
          </cell>
        </row>
        <row r="5763">
          <cell r="N5763">
            <v>-4.2</v>
          </cell>
        </row>
        <row r="5764">
          <cell r="N5764">
            <v>-16.091999999999999</v>
          </cell>
        </row>
        <row r="5765">
          <cell r="N5765">
            <v>-25.318999999999999</v>
          </cell>
        </row>
        <row r="5766">
          <cell r="N5766">
            <v>-3.3279999999999998</v>
          </cell>
        </row>
        <row r="5767">
          <cell r="N5767">
            <v>-15.929</v>
          </cell>
        </row>
        <row r="5768">
          <cell r="N5768">
            <v>-27.959</v>
          </cell>
        </row>
        <row r="5769">
          <cell r="N5769">
            <v>-17.510999999999999</v>
          </cell>
        </row>
        <row r="5770">
          <cell r="N5770">
            <v>-3.3279999999999998</v>
          </cell>
        </row>
        <row r="5771">
          <cell r="N5771">
            <v>-15.874000000000001</v>
          </cell>
        </row>
        <row r="5772">
          <cell r="N5772">
            <v>-30.838000000000001</v>
          </cell>
        </row>
        <row r="5773">
          <cell r="N5773">
            <v>-4.1459999999999999</v>
          </cell>
        </row>
        <row r="5774">
          <cell r="N5774">
            <v>-14.728</v>
          </cell>
        </row>
        <row r="5775">
          <cell r="N5775">
            <v>-4.5279999999999996</v>
          </cell>
        </row>
        <row r="5776">
          <cell r="N5776">
            <v>-15.929</v>
          </cell>
        </row>
        <row r="5777">
          <cell r="N5777">
            <v>-3.2730000000000001</v>
          </cell>
        </row>
        <row r="5778">
          <cell r="N5778">
            <v>-24.824999999999999</v>
          </cell>
        </row>
        <row r="5779">
          <cell r="N5779">
            <v>-30.599</v>
          </cell>
        </row>
        <row r="5780">
          <cell r="N5780">
            <v>-3.2730000000000001</v>
          </cell>
        </row>
        <row r="5781">
          <cell r="N5781">
            <v>-1.879</v>
          </cell>
        </row>
        <row r="5782">
          <cell r="N5782">
            <v>-4.5819999999999999</v>
          </cell>
        </row>
        <row r="5783">
          <cell r="N5783">
            <v>-15.929</v>
          </cell>
        </row>
        <row r="5784">
          <cell r="N5784">
            <v>-17.129000000000001</v>
          </cell>
        </row>
        <row r="5785">
          <cell r="N5785">
            <v>-21.858000000000001</v>
          </cell>
        </row>
        <row r="5786">
          <cell r="N5786">
            <v>-22.154</v>
          </cell>
        </row>
        <row r="5787">
          <cell r="N5787">
            <v>-16.965</v>
          </cell>
        </row>
        <row r="5788">
          <cell r="N5788">
            <v>-16.091999999999999</v>
          </cell>
        </row>
        <row r="5789">
          <cell r="N5789">
            <v>-13.747</v>
          </cell>
        </row>
        <row r="5790">
          <cell r="N5790">
            <v>-4.6909999999999998</v>
          </cell>
        </row>
        <row r="5791">
          <cell r="N5791">
            <v>-15.492000000000001</v>
          </cell>
        </row>
        <row r="5792">
          <cell r="N5792">
            <v>-4.2</v>
          </cell>
        </row>
        <row r="5793">
          <cell r="N5793">
            <v>-28.199000000000002</v>
          </cell>
        </row>
        <row r="5794">
          <cell r="N5794">
            <v>-3.9820000000000002</v>
          </cell>
        </row>
        <row r="5795">
          <cell r="N5795">
            <v>-28.187999999999999</v>
          </cell>
        </row>
        <row r="5796">
          <cell r="N5796">
            <v>-31.946000000000002</v>
          </cell>
        </row>
        <row r="5797">
          <cell r="N5797">
            <v>-4.3639999999999999</v>
          </cell>
        </row>
        <row r="5798">
          <cell r="N5798">
            <v>-17.510999999999999</v>
          </cell>
        </row>
        <row r="5799">
          <cell r="N5799">
            <v>-444.39499999999998</v>
          </cell>
        </row>
        <row r="5800">
          <cell r="N5800">
            <v>-14.183</v>
          </cell>
        </row>
        <row r="5801">
          <cell r="N5801">
            <v>-13.147</v>
          </cell>
        </row>
        <row r="5802">
          <cell r="N5802">
            <v>-23.539000000000001</v>
          </cell>
        </row>
        <row r="5803">
          <cell r="N5803">
            <v>-30.363</v>
          </cell>
        </row>
        <row r="5804">
          <cell r="N5804">
            <v>-5.2370000000000001</v>
          </cell>
        </row>
        <row r="5805">
          <cell r="N5805">
            <v>-4.0910000000000002</v>
          </cell>
        </row>
        <row r="5806">
          <cell r="N5806">
            <v>-34.078000000000003</v>
          </cell>
        </row>
        <row r="5807">
          <cell r="N5807">
            <v>-1.1459999999999999</v>
          </cell>
        </row>
        <row r="5808">
          <cell r="N5808">
            <v>-15.273999999999999</v>
          </cell>
        </row>
        <row r="5809">
          <cell r="N5809">
            <v>-579.29999999999995</v>
          </cell>
        </row>
        <row r="5810">
          <cell r="N5810">
            <v>-25.616</v>
          </cell>
        </row>
        <row r="5811">
          <cell r="N5811">
            <v>-27.890999999999998</v>
          </cell>
        </row>
        <row r="5812">
          <cell r="N5812">
            <v>-17.129000000000001</v>
          </cell>
        </row>
        <row r="5813">
          <cell r="N5813">
            <v>-22.154</v>
          </cell>
        </row>
        <row r="5814">
          <cell r="N5814">
            <v>-3.9820000000000002</v>
          </cell>
        </row>
        <row r="5815">
          <cell r="N5815">
            <v>-4.0910000000000002</v>
          </cell>
        </row>
        <row r="5816">
          <cell r="N5816">
            <v>-15.11</v>
          </cell>
        </row>
        <row r="5817">
          <cell r="N5817">
            <v>-10.692</v>
          </cell>
        </row>
        <row r="5818">
          <cell r="N5818">
            <v>-34.122</v>
          </cell>
        </row>
        <row r="5819">
          <cell r="N5819">
            <v>-9.0549999999999997</v>
          </cell>
        </row>
        <row r="5820">
          <cell r="N5820">
            <v>-18.495000000000001</v>
          </cell>
        </row>
        <row r="5821">
          <cell r="N5821">
            <v>-164</v>
          </cell>
        </row>
        <row r="5822">
          <cell r="N5822">
            <v>-33.597999999999999</v>
          </cell>
        </row>
        <row r="5823">
          <cell r="N5823">
            <v>-28.088999999999999</v>
          </cell>
        </row>
        <row r="5824">
          <cell r="N5824">
            <v>-4.4189999999999996</v>
          </cell>
        </row>
        <row r="5825">
          <cell r="N5825">
            <v>-3.6</v>
          </cell>
        </row>
        <row r="5826">
          <cell r="N5826">
            <v>-4.1459999999999999</v>
          </cell>
        </row>
        <row r="5827">
          <cell r="N5827">
            <v>-27.99</v>
          </cell>
        </row>
        <row r="5828">
          <cell r="N5828">
            <v>-6.8239999999999998</v>
          </cell>
        </row>
        <row r="5829">
          <cell r="N5829">
            <v>-23.934999999999999</v>
          </cell>
        </row>
        <row r="5830">
          <cell r="N5830">
            <v>-9</v>
          </cell>
        </row>
        <row r="5831">
          <cell r="N5831">
            <v>-3.0000000000000001E-3</v>
          </cell>
        </row>
        <row r="5832">
          <cell r="N5832">
            <v>-16.091999999999999</v>
          </cell>
        </row>
        <row r="5833">
          <cell r="N5833">
            <v>-6.4290000000000003</v>
          </cell>
        </row>
        <row r="5834">
          <cell r="N5834">
            <v>-16.420000000000002</v>
          </cell>
        </row>
        <row r="5835">
          <cell r="N5835">
            <v>-27.001000000000001</v>
          </cell>
        </row>
        <row r="5836">
          <cell r="N5836">
            <v>-24.33</v>
          </cell>
        </row>
        <row r="5837">
          <cell r="N5837">
            <v>-20.968</v>
          </cell>
        </row>
        <row r="5838">
          <cell r="N5838">
            <v>-15.601000000000001</v>
          </cell>
        </row>
        <row r="5839">
          <cell r="N5839">
            <v>-29.279</v>
          </cell>
        </row>
        <row r="5840">
          <cell r="N5840">
            <v>-9.9280000000000008</v>
          </cell>
        </row>
        <row r="5841">
          <cell r="N5841">
            <v>-7.319</v>
          </cell>
        </row>
        <row r="5842">
          <cell r="N5842">
            <v>-21.759</v>
          </cell>
        </row>
        <row r="5843">
          <cell r="N5843">
            <v>-9.7910000000000004</v>
          </cell>
        </row>
        <row r="5844">
          <cell r="N5844">
            <v>-5.5640000000000001</v>
          </cell>
        </row>
        <row r="5845">
          <cell r="N5845">
            <v>-29.077999999999999</v>
          </cell>
        </row>
        <row r="5846">
          <cell r="N5846">
            <v>-29.998999999999999</v>
          </cell>
        </row>
        <row r="5847">
          <cell r="N5847">
            <v>-21.66</v>
          </cell>
        </row>
        <row r="5848">
          <cell r="N5848">
            <v>-12.000999999999999</v>
          </cell>
        </row>
        <row r="5849">
          <cell r="N5849">
            <v>-12.164999999999999</v>
          </cell>
        </row>
        <row r="5850">
          <cell r="N5850">
            <v>-20.472999999999999</v>
          </cell>
        </row>
        <row r="5851">
          <cell r="N5851">
            <v>-7.1210000000000004</v>
          </cell>
        </row>
        <row r="5852">
          <cell r="N5852">
            <v>-3.6549999999999998</v>
          </cell>
        </row>
        <row r="5853">
          <cell r="N5853">
            <v>-20.869</v>
          </cell>
        </row>
        <row r="5854">
          <cell r="N5854">
            <v>-8.6189999999999998</v>
          </cell>
        </row>
        <row r="5855">
          <cell r="N5855">
            <v>-26.803000000000001</v>
          </cell>
        </row>
        <row r="5856">
          <cell r="N5856">
            <v>-9.11</v>
          </cell>
        </row>
        <row r="5857">
          <cell r="N5857">
            <v>-2.8370000000000002</v>
          </cell>
        </row>
        <row r="5858">
          <cell r="N5858">
            <v>-3.3279999999999998</v>
          </cell>
        </row>
        <row r="5859">
          <cell r="N5859">
            <v>-26.012</v>
          </cell>
        </row>
        <row r="5860">
          <cell r="N5860">
            <v>-15.923999999999999</v>
          </cell>
        </row>
        <row r="5861">
          <cell r="N5861">
            <v>-24.119</v>
          </cell>
        </row>
        <row r="5862">
          <cell r="N5862">
            <v>-20.77</v>
          </cell>
        </row>
        <row r="5863">
          <cell r="N5863">
            <v>-23.835999999999999</v>
          </cell>
        </row>
        <row r="5864">
          <cell r="N5864">
            <v>-13.91</v>
          </cell>
        </row>
        <row r="5865">
          <cell r="N5865">
            <v>-4.3639999999999999</v>
          </cell>
        </row>
        <row r="5866">
          <cell r="N5866">
            <v>-4.1459999999999999</v>
          </cell>
        </row>
        <row r="5867">
          <cell r="N5867">
            <v>-25.023</v>
          </cell>
        </row>
        <row r="5868">
          <cell r="N5868">
            <v>-15.000999999999999</v>
          </cell>
        </row>
        <row r="5869">
          <cell r="N5869">
            <v>-9.11</v>
          </cell>
        </row>
        <row r="5870">
          <cell r="N5870">
            <v>-15.874000000000001</v>
          </cell>
        </row>
        <row r="5871">
          <cell r="N5871">
            <v>-22.55</v>
          </cell>
        </row>
        <row r="5872">
          <cell r="N5872">
            <v>-24.478999999999999</v>
          </cell>
        </row>
        <row r="5873">
          <cell r="N5873">
            <v>-3.2730000000000001</v>
          </cell>
        </row>
        <row r="5874">
          <cell r="N5874">
            <v>-4.0910000000000002</v>
          </cell>
        </row>
        <row r="5875">
          <cell r="N5875">
            <v>-10.978</v>
          </cell>
        </row>
        <row r="5876">
          <cell r="N5876">
            <v>-9.7910000000000004</v>
          </cell>
        </row>
        <row r="5877">
          <cell r="N5877">
            <v>-3.6</v>
          </cell>
        </row>
        <row r="5878">
          <cell r="N5878">
            <v>-4.2</v>
          </cell>
        </row>
        <row r="5879">
          <cell r="N5879">
            <v>-19.88</v>
          </cell>
        </row>
        <row r="5880">
          <cell r="N5880">
            <v>-6.11</v>
          </cell>
        </row>
        <row r="5881">
          <cell r="N5881">
            <v>-3.7090000000000001</v>
          </cell>
        </row>
        <row r="5882">
          <cell r="N5882">
            <v>-30.363</v>
          </cell>
        </row>
        <row r="5883">
          <cell r="N5883">
            <v>-4.0910000000000002</v>
          </cell>
        </row>
        <row r="5884">
          <cell r="N5884">
            <v>-2.5640000000000001</v>
          </cell>
        </row>
        <row r="5885">
          <cell r="N5885">
            <v>-14.782999999999999</v>
          </cell>
        </row>
        <row r="5886">
          <cell r="N5886">
            <v>-14.292</v>
          </cell>
        </row>
        <row r="5887">
          <cell r="N5887">
            <v>-14.456</v>
          </cell>
        </row>
        <row r="5888">
          <cell r="N5888">
            <v>-11.673999999999999</v>
          </cell>
        </row>
        <row r="5889">
          <cell r="N5889">
            <v>-29.670999999999999</v>
          </cell>
        </row>
        <row r="5890">
          <cell r="N5890">
            <v>-18.198</v>
          </cell>
        </row>
        <row r="5891">
          <cell r="N5891">
            <v>-30.363</v>
          </cell>
        </row>
        <row r="5892">
          <cell r="N5892">
            <v>-7.6159999999999997</v>
          </cell>
        </row>
        <row r="5893">
          <cell r="N5893">
            <v>-3.2730000000000001</v>
          </cell>
        </row>
        <row r="5894">
          <cell r="N5894">
            <v>-2.6179999999999999</v>
          </cell>
        </row>
        <row r="5895">
          <cell r="N5895">
            <v>-3.6549999999999998</v>
          </cell>
        </row>
        <row r="5896">
          <cell r="N5896">
            <v>-20.968</v>
          </cell>
        </row>
        <row r="5897">
          <cell r="N5897">
            <v>-16.364999999999998</v>
          </cell>
        </row>
        <row r="5898">
          <cell r="N5898">
            <v>-24.239000000000001</v>
          </cell>
        </row>
        <row r="5899">
          <cell r="N5899">
            <v>-11.237</v>
          </cell>
        </row>
        <row r="5900">
          <cell r="N5900">
            <v>-27.599</v>
          </cell>
        </row>
        <row r="5901">
          <cell r="N5901">
            <v>-4.8550000000000004</v>
          </cell>
        </row>
        <row r="5902">
          <cell r="N5902">
            <v>-4.2549999999999999</v>
          </cell>
        </row>
        <row r="5903">
          <cell r="N5903">
            <v>-22.55</v>
          </cell>
        </row>
        <row r="5904">
          <cell r="N5904">
            <v>-14.891999999999999</v>
          </cell>
        </row>
        <row r="5905">
          <cell r="N5905">
            <v>-3.2730000000000001</v>
          </cell>
        </row>
        <row r="5906">
          <cell r="N5906">
            <v>-13.55</v>
          </cell>
        </row>
        <row r="5907">
          <cell r="N5907">
            <v>-2.1819999999999999</v>
          </cell>
        </row>
        <row r="5908">
          <cell r="N5908">
            <v>-4.8550000000000004</v>
          </cell>
        </row>
        <row r="5909">
          <cell r="N5909">
            <v>-25.419</v>
          </cell>
        </row>
        <row r="5910">
          <cell r="N5910">
            <v>-3.8730000000000002</v>
          </cell>
        </row>
        <row r="5911">
          <cell r="N5911">
            <v>-18.655999999999999</v>
          </cell>
        </row>
        <row r="5912">
          <cell r="N5912">
            <v>-3.8180000000000001</v>
          </cell>
        </row>
        <row r="5913">
          <cell r="N5913">
            <v>-3.5459999999999998</v>
          </cell>
        </row>
        <row r="5914">
          <cell r="N5914">
            <v>-6.3819999999999997</v>
          </cell>
        </row>
        <row r="5915">
          <cell r="N5915">
            <v>-26.039000000000001</v>
          </cell>
        </row>
        <row r="5916">
          <cell r="N5916">
            <v>-20.274999999999999</v>
          </cell>
        </row>
        <row r="5917">
          <cell r="N5917">
            <v>-15.055999999999999</v>
          </cell>
        </row>
        <row r="5918">
          <cell r="N5918">
            <v>-34.917999999999999</v>
          </cell>
        </row>
        <row r="5919">
          <cell r="N5919">
            <v>-13.692</v>
          </cell>
        </row>
        <row r="5920">
          <cell r="N5920">
            <v>-13.31</v>
          </cell>
        </row>
        <row r="5921">
          <cell r="N5921">
            <v>-21.858000000000001</v>
          </cell>
        </row>
        <row r="5922">
          <cell r="N5922">
            <v>-0.02</v>
          </cell>
        </row>
        <row r="5923">
          <cell r="N5923">
            <v>-30.462</v>
          </cell>
        </row>
        <row r="5924">
          <cell r="N5924">
            <v>-31.254000000000001</v>
          </cell>
        </row>
        <row r="5925">
          <cell r="N5925">
            <v>-3.7639999999999998</v>
          </cell>
        </row>
        <row r="5926">
          <cell r="N5926">
            <v>-19.978999999999999</v>
          </cell>
        </row>
        <row r="5927">
          <cell r="N5927">
            <v>-15.164999999999999</v>
          </cell>
        </row>
        <row r="5928">
          <cell r="N5928">
            <v>-4.1459999999999999</v>
          </cell>
        </row>
        <row r="5929">
          <cell r="N5929">
            <v>-3.7639999999999998</v>
          </cell>
        </row>
        <row r="5930">
          <cell r="N5930">
            <v>-27.599</v>
          </cell>
        </row>
        <row r="5931">
          <cell r="N5931">
            <v>-3.7090000000000001</v>
          </cell>
        </row>
        <row r="5932">
          <cell r="N5932">
            <v>-14.728</v>
          </cell>
        </row>
        <row r="5933">
          <cell r="N5933">
            <v>-15.000999999999999</v>
          </cell>
        </row>
        <row r="5934">
          <cell r="N5934">
            <v>-16.038</v>
          </cell>
        </row>
        <row r="5935">
          <cell r="N5935">
            <v>-21.462</v>
          </cell>
        </row>
        <row r="5936">
          <cell r="N5936">
            <v>-3.9820000000000002</v>
          </cell>
        </row>
        <row r="5937">
          <cell r="N5937">
            <v>-24.359000000000002</v>
          </cell>
        </row>
        <row r="5938">
          <cell r="N5938">
            <v>-3.7090000000000001</v>
          </cell>
        </row>
        <row r="5939">
          <cell r="N5939">
            <v>-32.518000000000001</v>
          </cell>
        </row>
        <row r="5940">
          <cell r="N5940">
            <v>-10.784000000000001</v>
          </cell>
        </row>
        <row r="5941">
          <cell r="N5941">
            <v>-3.7639999999999998</v>
          </cell>
        </row>
        <row r="5942">
          <cell r="N5942">
            <v>-21.363</v>
          </cell>
        </row>
        <row r="5943">
          <cell r="N5943">
            <v>-3.7639999999999998</v>
          </cell>
        </row>
        <row r="5944">
          <cell r="N5944">
            <v>-23.341000000000001</v>
          </cell>
        </row>
        <row r="5945">
          <cell r="N5945">
            <v>-15.438000000000001</v>
          </cell>
        </row>
        <row r="5946">
          <cell r="N5946">
            <v>-26.111000000000001</v>
          </cell>
        </row>
        <row r="5947">
          <cell r="N5947">
            <v>-10.528</v>
          </cell>
        </row>
        <row r="5948">
          <cell r="N5948">
            <v>-4.4729999999999999</v>
          </cell>
        </row>
        <row r="5949">
          <cell r="N5949">
            <v>-284</v>
          </cell>
        </row>
        <row r="5950">
          <cell r="N5950">
            <v>-25.616</v>
          </cell>
        </row>
        <row r="5951">
          <cell r="N5951">
            <v>-3.6</v>
          </cell>
        </row>
        <row r="5952">
          <cell r="N5952">
            <v>-4.5819999999999999</v>
          </cell>
        </row>
        <row r="5953">
          <cell r="N5953">
            <v>-4.3639999999999999</v>
          </cell>
        </row>
        <row r="5954">
          <cell r="N5954">
            <v>-14.51</v>
          </cell>
        </row>
        <row r="5955">
          <cell r="N5955">
            <v>-24.626999999999999</v>
          </cell>
        </row>
        <row r="5956">
          <cell r="N5956">
            <v>-3</v>
          </cell>
        </row>
        <row r="5957">
          <cell r="N5957">
            <v>-4.0910000000000002</v>
          </cell>
        </row>
        <row r="5958">
          <cell r="N5958">
            <v>-23.736999999999998</v>
          </cell>
        </row>
        <row r="5959">
          <cell r="N5959">
            <v>-16.091999999999999</v>
          </cell>
        </row>
        <row r="5960">
          <cell r="N5960">
            <v>-4.0910000000000002</v>
          </cell>
        </row>
        <row r="5961">
          <cell r="N5961">
            <v>-7.7030000000000003</v>
          </cell>
        </row>
        <row r="5962">
          <cell r="N5962">
            <v>-13.692</v>
          </cell>
        </row>
        <row r="5963">
          <cell r="N5963">
            <v>-27.693000000000001</v>
          </cell>
        </row>
        <row r="5964">
          <cell r="N5964">
            <v>-20.968</v>
          </cell>
        </row>
        <row r="5965">
          <cell r="N5965">
            <v>-15.492000000000001</v>
          </cell>
        </row>
        <row r="5966">
          <cell r="N5966">
            <v>-13.528</v>
          </cell>
        </row>
        <row r="5967">
          <cell r="N5967">
            <v>-33.357999999999997</v>
          </cell>
        </row>
        <row r="5968">
          <cell r="N5968">
            <v>-3.2730000000000001</v>
          </cell>
        </row>
        <row r="5969">
          <cell r="N5969">
            <v>-22.451000000000001</v>
          </cell>
        </row>
        <row r="5970">
          <cell r="N5970">
            <v>-10.528</v>
          </cell>
        </row>
        <row r="5971">
          <cell r="N5971">
            <v>-25.972000000000001</v>
          </cell>
        </row>
        <row r="5972">
          <cell r="N5972">
            <v>-23.44</v>
          </cell>
        </row>
        <row r="5973">
          <cell r="N5973">
            <v>-14.763999999999999</v>
          </cell>
        </row>
        <row r="5974">
          <cell r="N5974">
            <v>-10.528</v>
          </cell>
        </row>
        <row r="5975">
          <cell r="N5975">
            <v>-3.8180000000000001</v>
          </cell>
        </row>
        <row r="5976">
          <cell r="N5976">
            <v>-27.396000000000001</v>
          </cell>
        </row>
        <row r="5977">
          <cell r="N5977">
            <v>-7.2539999999999996</v>
          </cell>
        </row>
        <row r="5978">
          <cell r="N5978">
            <v>-17.838000000000001</v>
          </cell>
        </row>
        <row r="5979">
          <cell r="N5979">
            <v>-24.119</v>
          </cell>
        </row>
        <row r="5980">
          <cell r="N5980">
            <v>-32.161000000000001</v>
          </cell>
        </row>
        <row r="5981">
          <cell r="N5981">
            <v>-26.902000000000001</v>
          </cell>
        </row>
        <row r="5982">
          <cell r="N5982">
            <v>-2.7E-2</v>
          </cell>
        </row>
        <row r="5983">
          <cell r="N5983">
            <v>-4.5819999999999999</v>
          </cell>
        </row>
        <row r="5984">
          <cell r="N5984">
            <v>-17.396000000000001</v>
          </cell>
        </row>
        <row r="5985">
          <cell r="N5985">
            <v>-3.1640000000000001</v>
          </cell>
        </row>
        <row r="5986">
          <cell r="N5986">
            <v>-24.239000000000001</v>
          </cell>
        </row>
        <row r="5987">
          <cell r="N5987">
            <v>-19.978999999999999</v>
          </cell>
        </row>
        <row r="5988">
          <cell r="N5988">
            <v>-15.656000000000001</v>
          </cell>
        </row>
        <row r="5989">
          <cell r="N5989">
            <v>-18.873000000000001</v>
          </cell>
        </row>
        <row r="5990">
          <cell r="N5990">
            <v>-21.66</v>
          </cell>
        </row>
        <row r="5991">
          <cell r="N5991">
            <v>-26.039000000000001</v>
          </cell>
        </row>
        <row r="5992">
          <cell r="N5992">
            <v>-32.997999999999998</v>
          </cell>
        </row>
        <row r="5993">
          <cell r="N5993">
            <v>-12.436999999999999</v>
          </cell>
        </row>
        <row r="5994">
          <cell r="N5994">
            <v>-11.891999999999999</v>
          </cell>
        </row>
        <row r="5995">
          <cell r="N5995">
            <v>-4.4189999999999996</v>
          </cell>
        </row>
        <row r="5996">
          <cell r="N5996">
            <v>-34.813000000000002</v>
          </cell>
        </row>
        <row r="5997">
          <cell r="N5997">
            <v>-26.308</v>
          </cell>
        </row>
        <row r="5998">
          <cell r="N5998">
            <v>-4.2</v>
          </cell>
        </row>
        <row r="5999">
          <cell r="N5999">
            <v>-3.6</v>
          </cell>
        </row>
        <row r="6000">
          <cell r="N6000">
            <v>-27.297000000000001</v>
          </cell>
        </row>
        <row r="6001">
          <cell r="N6001">
            <v>-13.474</v>
          </cell>
        </row>
        <row r="6002">
          <cell r="N6002">
            <v>-20.968</v>
          </cell>
        </row>
        <row r="6003">
          <cell r="N6003">
            <v>-16.241</v>
          </cell>
        </row>
        <row r="6004">
          <cell r="N6004">
            <v>-4.0369999999999999</v>
          </cell>
        </row>
        <row r="6005">
          <cell r="N6005">
            <v>-15.547000000000001</v>
          </cell>
        </row>
        <row r="6006">
          <cell r="N6006">
            <v>-14.891999999999999</v>
          </cell>
        </row>
        <row r="6007">
          <cell r="N6007">
            <v>-23.736999999999998</v>
          </cell>
        </row>
        <row r="6008">
          <cell r="N6008">
            <v>-15.929</v>
          </cell>
        </row>
        <row r="6009">
          <cell r="N6009">
            <v>-3.4369999999999998</v>
          </cell>
        </row>
        <row r="6010">
          <cell r="N6010">
            <v>-15.11</v>
          </cell>
        </row>
        <row r="6011">
          <cell r="N6011">
            <v>-14.122</v>
          </cell>
        </row>
        <row r="6012">
          <cell r="N6012">
            <v>-5</v>
          </cell>
        </row>
        <row r="6013">
          <cell r="N6013">
            <v>-15.601000000000001</v>
          </cell>
        </row>
        <row r="6014">
          <cell r="N6014">
            <v>-11.346</v>
          </cell>
        </row>
        <row r="6015">
          <cell r="N6015">
            <v>-13.692</v>
          </cell>
        </row>
        <row r="6016">
          <cell r="N6016">
            <v>-34.317999999999998</v>
          </cell>
        </row>
        <row r="6017">
          <cell r="N6017">
            <v>-0.54500000000000004</v>
          </cell>
        </row>
        <row r="6018">
          <cell r="N6018">
            <v>-28.385000000000002</v>
          </cell>
        </row>
        <row r="6019">
          <cell r="N6019">
            <v>-13.747</v>
          </cell>
        </row>
        <row r="6020">
          <cell r="N6020">
            <v>-11.019</v>
          </cell>
        </row>
        <row r="6021">
          <cell r="N6021">
            <v>-5</v>
          </cell>
        </row>
        <row r="6022">
          <cell r="N6022">
            <v>-17.524999999999999</v>
          </cell>
        </row>
        <row r="6023">
          <cell r="N6023">
            <v>-5</v>
          </cell>
        </row>
        <row r="6024">
          <cell r="N6024">
            <v>-14.51</v>
          </cell>
        </row>
        <row r="6025">
          <cell r="N6025">
            <v>-19.065000000000001</v>
          </cell>
        </row>
        <row r="6026">
          <cell r="N6026">
            <v>-6.2190000000000003</v>
          </cell>
        </row>
        <row r="6027">
          <cell r="N6027">
            <v>-20.670999999999999</v>
          </cell>
        </row>
        <row r="6028">
          <cell r="N6028">
            <v>-20.114000000000001</v>
          </cell>
        </row>
        <row r="6029">
          <cell r="N6029">
            <v>-241</v>
          </cell>
        </row>
        <row r="6030">
          <cell r="N6030">
            <v>-24.119</v>
          </cell>
        </row>
        <row r="6031">
          <cell r="N6031">
            <v>-24.428999999999998</v>
          </cell>
        </row>
        <row r="6032">
          <cell r="N6032">
            <v>-11.891999999999999</v>
          </cell>
        </row>
        <row r="6033">
          <cell r="N6033">
            <v>-32.823999999999998</v>
          </cell>
        </row>
        <row r="6034">
          <cell r="N6034">
            <v>-2</v>
          </cell>
        </row>
        <row r="6035">
          <cell r="N6035">
            <v>-2</v>
          </cell>
        </row>
        <row r="6036">
          <cell r="N6036">
            <v>-1117.08</v>
          </cell>
        </row>
        <row r="6037">
          <cell r="N6037">
            <v>-1078.3</v>
          </cell>
        </row>
        <row r="6038">
          <cell r="N6038">
            <v>-25.7</v>
          </cell>
        </row>
        <row r="6039">
          <cell r="N6039">
            <v>-1048.739</v>
          </cell>
        </row>
        <row r="6040">
          <cell r="N6040">
            <v>-91.528000000000006</v>
          </cell>
        </row>
        <row r="6041">
          <cell r="N6041">
            <v>-43.984000000000002</v>
          </cell>
        </row>
        <row r="6042">
          <cell r="N6042">
            <v>-44.287999999999997</v>
          </cell>
        </row>
        <row r="6043">
          <cell r="N6043">
            <v>-1.2270000000000001</v>
          </cell>
        </row>
        <row r="6044">
          <cell r="N6044">
            <v>-1226.826</v>
          </cell>
        </row>
        <row r="6045">
          <cell r="N6045">
            <v>-672.77300000000002</v>
          </cell>
        </row>
        <row r="6046">
          <cell r="N6046">
            <v>-545</v>
          </cell>
        </row>
        <row r="6047">
          <cell r="N6047">
            <v>-616.12</v>
          </cell>
        </row>
        <row r="6048">
          <cell r="N6048">
            <v>-1080.1410000000001</v>
          </cell>
        </row>
        <row r="6049">
          <cell r="N6049">
            <v>-1052.0160000000001</v>
          </cell>
        </row>
        <row r="6050">
          <cell r="N6050">
            <v>-994.32299999999998</v>
          </cell>
        </row>
        <row r="6051">
          <cell r="N6051">
            <v>-994.32299999999998</v>
          </cell>
        </row>
        <row r="6052">
          <cell r="N6052">
            <v>-994.32299999999998</v>
          </cell>
        </row>
        <row r="6053">
          <cell r="N6053">
            <v>-553.94799999999998</v>
          </cell>
        </row>
        <row r="6054">
          <cell r="N6054">
            <v>-132.01900000000001</v>
          </cell>
        </row>
        <row r="6055">
          <cell r="N6055">
            <v>-1051.748</v>
          </cell>
        </row>
        <row r="6056">
          <cell r="N6056">
            <v>-154</v>
          </cell>
        </row>
        <row r="6057">
          <cell r="N6057">
            <v>-33.563000000000002</v>
          </cell>
        </row>
        <row r="6058">
          <cell r="N6058">
            <v>-98</v>
          </cell>
        </row>
        <row r="6059">
          <cell r="N6059">
            <v>-3</v>
          </cell>
        </row>
        <row r="6060">
          <cell r="N6060">
            <v>-3</v>
          </cell>
        </row>
        <row r="6061">
          <cell r="N6061">
            <v>-2.8</v>
          </cell>
        </row>
        <row r="6062">
          <cell r="N6062">
            <v>-55.113</v>
          </cell>
        </row>
        <row r="6063">
          <cell r="N6063">
            <v>-1.052</v>
          </cell>
        </row>
        <row r="6064">
          <cell r="N6064">
            <v>-152</v>
          </cell>
        </row>
        <row r="6065">
          <cell r="N6065">
            <v>-100</v>
          </cell>
        </row>
        <row r="6066">
          <cell r="N6066">
            <v>-1081.982</v>
          </cell>
        </row>
        <row r="6067">
          <cell r="N6067">
            <v>-1081.982</v>
          </cell>
        </row>
        <row r="6068">
          <cell r="N6068">
            <v>-550</v>
          </cell>
        </row>
        <row r="6069">
          <cell r="N6069">
            <v>-150</v>
          </cell>
        </row>
        <row r="6070">
          <cell r="N6070">
            <v>-400</v>
          </cell>
        </row>
        <row r="6071">
          <cell r="N6071">
            <v>-600</v>
          </cell>
        </row>
        <row r="6072">
          <cell r="N6072">
            <v>-100</v>
          </cell>
        </row>
        <row r="6073">
          <cell r="N6073">
            <v>-400</v>
          </cell>
        </row>
        <row r="6074">
          <cell r="N6074">
            <v>-1220.4369999999999</v>
          </cell>
        </row>
        <row r="6075">
          <cell r="N6075">
            <v>-1101</v>
          </cell>
        </row>
        <row r="6076">
          <cell r="N6076">
            <v>-548</v>
          </cell>
        </row>
        <row r="6077">
          <cell r="N6077">
            <v>-660</v>
          </cell>
        </row>
        <row r="6078">
          <cell r="N6078">
            <v>-7.8230000000000004</v>
          </cell>
        </row>
        <row r="6079">
          <cell r="N6079">
            <v>-771.8</v>
          </cell>
        </row>
        <row r="6080">
          <cell r="N6080">
            <v>-318</v>
          </cell>
        </row>
        <row r="6081">
          <cell r="N6081">
            <v>-949.43</v>
          </cell>
        </row>
        <row r="6082">
          <cell r="N6082">
            <v>-278.39999999999998</v>
          </cell>
        </row>
        <row r="6083">
          <cell r="N6083">
            <v>-240</v>
          </cell>
        </row>
        <row r="6084">
          <cell r="N6084">
            <v>-548</v>
          </cell>
        </row>
        <row r="6085">
          <cell r="N6085">
            <v>-1249.7470000000001</v>
          </cell>
        </row>
        <row r="6086">
          <cell r="N6086">
            <v>-201</v>
          </cell>
        </row>
        <row r="6087">
          <cell r="N6087">
            <v>-234</v>
          </cell>
        </row>
        <row r="6088">
          <cell r="N6088">
            <v>-1846</v>
          </cell>
        </row>
        <row r="6089">
          <cell r="N6089">
            <v>-889.2</v>
          </cell>
        </row>
        <row r="6090">
          <cell r="N6090">
            <v>-85.394000000000005</v>
          </cell>
        </row>
        <row r="6091">
          <cell r="N6091">
            <v>-324.8</v>
          </cell>
        </row>
        <row r="6092">
          <cell r="N6092">
            <v>-651.97299999999996</v>
          </cell>
        </row>
        <row r="6093">
          <cell r="N6093">
            <v>-140</v>
          </cell>
        </row>
        <row r="6094">
          <cell r="N6094">
            <v>-839.93899999999996</v>
          </cell>
        </row>
        <row r="6095">
          <cell r="N6095">
            <v>-1032.1669999999999</v>
          </cell>
        </row>
        <row r="6096">
          <cell r="N6096">
            <v>-1898.86</v>
          </cell>
        </row>
        <row r="6097">
          <cell r="N6097">
            <v>-1054.3040000000001</v>
          </cell>
        </row>
        <row r="6098">
          <cell r="N6098">
            <v>-1026.1379999999999</v>
          </cell>
        </row>
        <row r="6099">
          <cell r="N6099">
            <v>-1050.923</v>
          </cell>
        </row>
        <row r="6100">
          <cell r="N6100">
            <v>-828.45</v>
          </cell>
        </row>
        <row r="6101">
          <cell r="N6101">
            <v>-252.80699999999999</v>
          </cell>
        </row>
        <row r="6102">
          <cell r="N6102">
            <v>-281.97199999999998</v>
          </cell>
        </row>
        <row r="6103">
          <cell r="N6103">
            <v>-163.86500000000001</v>
          </cell>
        </row>
        <row r="6104">
          <cell r="N6104">
            <v>-1092.4880000000001</v>
          </cell>
        </row>
        <row r="6105">
          <cell r="N6105">
            <v>-83.29</v>
          </cell>
        </row>
        <row r="6106">
          <cell r="N6106">
            <v>-102.974</v>
          </cell>
        </row>
        <row r="6107">
          <cell r="N6107">
            <v>-194.03200000000001</v>
          </cell>
        </row>
        <row r="6108">
          <cell r="N6108">
            <v>-1132.56</v>
          </cell>
        </row>
        <row r="6109">
          <cell r="N6109">
            <v>-842.16</v>
          </cell>
        </row>
        <row r="6110">
          <cell r="N6110">
            <v>-605.97400000000005</v>
          </cell>
        </row>
        <row r="6111">
          <cell r="N6111">
            <v>-703.75</v>
          </cell>
        </row>
        <row r="6112">
          <cell r="N6112">
            <v>-1031.095</v>
          </cell>
        </row>
        <row r="6113">
          <cell r="N6113">
            <v>-1053.0260000000001</v>
          </cell>
        </row>
        <row r="6114">
          <cell r="N6114">
            <v>-240</v>
          </cell>
        </row>
        <row r="6115">
          <cell r="N6115">
            <v>-1111</v>
          </cell>
        </row>
        <row r="6116">
          <cell r="N6116">
            <v>-158</v>
          </cell>
        </row>
        <row r="6117">
          <cell r="N6117">
            <v>-364.15499999999997</v>
          </cell>
        </row>
        <row r="6118">
          <cell r="N6118">
            <v>-389.911</v>
          </cell>
        </row>
        <row r="6119">
          <cell r="N6119">
            <v>-77.905000000000001</v>
          </cell>
        </row>
        <row r="6120">
          <cell r="N6120">
            <v>-780.13400000000001</v>
          </cell>
        </row>
        <row r="6121">
          <cell r="N6121">
            <v>-74.905000000000001</v>
          </cell>
        </row>
        <row r="6122">
          <cell r="N6122">
            <v>-963.25</v>
          </cell>
        </row>
        <row r="6123">
          <cell r="N6123">
            <v>-1050.923</v>
          </cell>
        </row>
        <row r="6124">
          <cell r="N6124">
            <v>-17.891999999999999</v>
          </cell>
        </row>
        <row r="6125">
          <cell r="N6125">
            <v>-227.86600000000001</v>
          </cell>
        </row>
        <row r="6126">
          <cell r="N6126">
            <v>-1053.0260000000001</v>
          </cell>
        </row>
        <row r="6127">
          <cell r="N6127">
            <v>-605</v>
          </cell>
        </row>
        <row r="6128">
          <cell r="N6128">
            <v>-1461.9680000000001</v>
          </cell>
        </row>
        <row r="6129">
          <cell r="N6129">
            <v>-1031.095</v>
          </cell>
        </row>
        <row r="6130">
          <cell r="N6130">
            <v>-505</v>
          </cell>
        </row>
        <row r="6131">
          <cell r="N6131">
            <v>-1126.71</v>
          </cell>
        </row>
        <row r="6132">
          <cell r="N6132">
            <v>-690.09</v>
          </cell>
        </row>
        <row r="6133">
          <cell r="N6133">
            <v>-1050.923</v>
          </cell>
        </row>
        <row r="6134">
          <cell r="N6134">
            <v>-1091</v>
          </cell>
        </row>
        <row r="6135">
          <cell r="N6135">
            <v>-1027</v>
          </cell>
        </row>
        <row r="6136">
          <cell r="N6136">
            <v>-104.874</v>
          </cell>
        </row>
        <row r="6137">
          <cell r="N6137">
            <v>-1050.923</v>
          </cell>
        </row>
        <row r="6138">
          <cell r="N6138">
            <v>-11.582000000000001</v>
          </cell>
        </row>
        <row r="6139">
          <cell r="N6139">
            <v>-1.0149999999999999</v>
          </cell>
        </row>
        <row r="6140">
          <cell r="N6140">
            <v>-22.516999999999999</v>
          </cell>
        </row>
        <row r="6141">
          <cell r="N6141">
            <v>-15.218999999999999</v>
          </cell>
        </row>
        <row r="6142">
          <cell r="N6142">
            <v>-0.55500000000000005</v>
          </cell>
        </row>
        <row r="6143">
          <cell r="N6143">
            <v>-7.3979999999999997</v>
          </cell>
        </row>
        <row r="6144">
          <cell r="N6144">
            <v>-2.169</v>
          </cell>
        </row>
        <row r="6145">
          <cell r="N6145">
            <v>-1.9710000000000001</v>
          </cell>
        </row>
        <row r="6146">
          <cell r="N6146">
            <v>-7.3289999999999997</v>
          </cell>
        </row>
        <row r="6147">
          <cell r="N6147">
            <v>-1.2050000000000001</v>
          </cell>
        </row>
        <row r="6148">
          <cell r="N6148">
            <v>-4.8049999999999997</v>
          </cell>
        </row>
        <row r="6149">
          <cell r="N6149">
            <v>-17.748000000000001</v>
          </cell>
        </row>
        <row r="6150">
          <cell r="N6150">
            <v>-4.5359999999999996</v>
          </cell>
        </row>
        <row r="6151">
          <cell r="N6151">
            <v>-7.33</v>
          </cell>
        </row>
        <row r="6152">
          <cell r="N6152">
            <v>-12.771000000000001</v>
          </cell>
        </row>
        <row r="6153">
          <cell r="N6153">
            <v>-0.376</v>
          </cell>
        </row>
        <row r="6154">
          <cell r="N6154">
            <v>-0.371</v>
          </cell>
        </row>
        <row r="6155">
          <cell r="N6155">
            <v>-27.082999999999998</v>
          </cell>
        </row>
        <row r="6156">
          <cell r="N6156">
            <v>-7.6820000000000004</v>
          </cell>
        </row>
        <row r="6157">
          <cell r="N6157">
            <v>-1.2350000000000001</v>
          </cell>
        </row>
        <row r="6158">
          <cell r="N6158">
            <v>-8.7140000000000004</v>
          </cell>
        </row>
        <row r="6159">
          <cell r="N6159">
            <v>-2.5</v>
          </cell>
        </row>
        <row r="6160">
          <cell r="N6160">
            <v>-6.7220000000000004</v>
          </cell>
        </row>
        <row r="6161">
          <cell r="N6161">
            <v>-7.1840000000000002</v>
          </cell>
        </row>
        <row r="6162">
          <cell r="N6162">
            <v>-21.998000000000001</v>
          </cell>
        </row>
        <row r="6163">
          <cell r="N6163">
            <v>-8.3800000000000008</v>
          </cell>
        </row>
        <row r="6164">
          <cell r="N6164">
            <v>-7.7889999999999997</v>
          </cell>
        </row>
        <row r="6165">
          <cell r="N6165">
            <v>-1.0469999999999999</v>
          </cell>
        </row>
        <row r="6166">
          <cell r="N6166">
            <v>-1.056</v>
          </cell>
        </row>
        <row r="6167">
          <cell r="N6167">
            <v>-18.643000000000001</v>
          </cell>
        </row>
        <row r="6168">
          <cell r="N6168">
            <v>-8.8849999999999998</v>
          </cell>
        </row>
        <row r="6169">
          <cell r="N6169">
            <v>-3.129</v>
          </cell>
        </row>
        <row r="6170">
          <cell r="N6170">
            <v>-4.819</v>
          </cell>
        </row>
        <row r="6171">
          <cell r="N6171">
            <v>-1.248</v>
          </cell>
        </row>
        <row r="6172">
          <cell r="N6172">
            <v>-8.2639999999999993</v>
          </cell>
        </row>
        <row r="6173">
          <cell r="N6173">
            <v>-1.758</v>
          </cell>
        </row>
        <row r="6174">
          <cell r="N6174">
            <v>-6.6749999999999998</v>
          </cell>
        </row>
        <row r="6175">
          <cell r="N6175">
            <v>-4.1269999999999998</v>
          </cell>
        </row>
        <row r="6176">
          <cell r="N6176">
            <v>-5.2889999999999997</v>
          </cell>
        </row>
        <row r="6177">
          <cell r="N6177">
            <v>-8.6129999999999995</v>
          </cell>
        </row>
        <row r="6178">
          <cell r="N6178">
            <v>-18.010000000000002</v>
          </cell>
        </row>
        <row r="6179">
          <cell r="N6179">
            <v>-3</v>
          </cell>
        </row>
        <row r="6180">
          <cell r="N6180">
            <v>-7.3979999999999997</v>
          </cell>
        </row>
        <row r="6181">
          <cell r="N6181">
            <v>-0.71699999999999997</v>
          </cell>
        </row>
        <row r="6182">
          <cell r="N6182">
            <v>-8.0500000000000007</v>
          </cell>
        </row>
        <row r="6183">
          <cell r="N6183">
            <v>-1.774</v>
          </cell>
        </row>
        <row r="6184">
          <cell r="N6184">
            <v>-15.305</v>
          </cell>
        </row>
        <row r="6185">
          <cell r="N6185">
            <v>-19.213000000000001</v>
          </cell>
        </row>
        <row r="6186">
          <cell r="N6186">
            <v>-12.409000000000001</v>
          </cell>
        </row>
        <row r="6187">
          <cell r="N6187">
            <v>-0.33600000000000002</v>
          </cell>
        </row>
        <row r="6188">
          <cell r="N6188">
            <v>-8.8460000000000001</v>
          </cell>
        </row>
        <row r="6189">
          <cell r="N6189">
            <v>-7.149</v>
          </cell>
        </row>
        <row r="6190">
          <cell r="N6190">
            <v>-3.0619999999999998</v>
          </cell>
        </row>
        <row r="6191">
          <cell r="N6191">
            <v>-8.5739999999999998</v>
          </cell>
        </row>
        <row r="6192">
          <cell r="N6192">
            <v>-4.4470000000000001</v>
          </cell>
        </row>
        <row r="6193">
          <cell r="N6193">
            <v>-1.43</v>
          </cell>
        </row>
        <row r="6194">
          <cell r="N6194">
            <v>-1.5169999999999999</v>
          </cell>
        </row>
        <row r="6195">
          <cell r="N6195">
            <v>-7.6559999999999997</v>
          </cell>
        </row>
        <row r="6196">
          <cell r="N6196">
            <v>-7.149</v>
          </cell>
        </row>
        <row r="6197">
          <cell r="N6197">
            <v>-12.099</v>
          </cell>
        </row>
        <row r="6198">
          <cell r="N6198">
            <v>-1.696</v>
          </cell>
        </row>
        <row r="6199">
          <cell r="N6199">
            <v>-0.48799999999999999</v>
          </cell>
        </row>
        <row r="6200">
          <cell r="N6200">
            <v>-1.6319999999999999</v>
          </cell>
        </row>
        <row r="6201">
          <cell r="N6201">
            <v>-105</v>
          </cell>
        </row>
        <row r="6202">
          <cell r="N6202">
            <v>-25.007999999999999</v>
          </cell>
        </row>
        <row r="6203">
          <cell r="N6203">
            <v>-3.528</v>
          </cell>
        </row>
        <row r="6204">
          <cell r="N6204">
            <v>-2.2050000000000001</v>
          </cell>
        </row>
        <row r="6205">
          <cell r="N6205">
            <v>-2.0590000000000002</v>
          </cell>
        </row>
        <row r="6206">
          <cell r="N6206">
            <v>-22.102</v>
          </cell>
        </row>
        <row r="6207">
          <cell r="N6207">
            <v>-1.264</v>
          </cell>
        </row>
        <row r="6208">
          <cell r="N6208">
            <v>-1.3380000000000001</v>
          </cell>
        </row>
        <row r="6209">
          <cell r="N6209">
            <v>-6.6749999999999998</v>
          </cell>
        </row>
        <row r="6210">
          <cell r="N6210">
            <v>-24.280999999999999</v>
          </cell>
        </row>
        <row r="6211">
          <cell r="N6211">
            <v>-12.72</v>
          </cell>
        </row>
        <row r="6212">
          <cell r="N6212">
            <v>-23.347000000000001</v>
          </cell>
        </row>
        <row r="6213">
          <cell r="N6213">
            <v>-18.725000000000001</v>
          </cell>
        </row>
        <row r="6214">
          <cell r="N6214">
            <v>-2.9249999999999998</v>
          </cell>
        </row>
        <row r="6215">
          <cell r="N6215">
            <v>-3.98</v>
          </cell>
        </row>
        <row r="6216">
          <cell r="N6216">
            <v>-6.742</v>
          </cell>
        </row>
        <row r="6217">
          <cell r="N6217">
            <v>-7.5049999999999999</v>
          </cell>
        </row>
        <row r="6218">
          <cell r="N6218">
            <v>-11.272</v>
          </cell>
        </row>
        <row r="6219">
          <cell r="N6219">
            <v>-17.213000000000001</v>
          </cell>
        </row>
        <row r="6220">
          <cell r="N6220">
            <v>-7.327</v>
          </cell>
        </row>
        <row r="6221">
          <cell r="N6221">
            <v>-0.97499999999999998</v>
          </cell>
        </row>
        <row r="6222">
          <cell r="N6222">
            <v>-16.527000000000001</v>
          </cell>
        </row>
        <row r="6223">
          <cell r="N6223">
            <v>-4.6260000000000003</v>
          </cell>
        </row>
        <row r="6224">
          <cell r="N6224">
            <v>-2.6760000000000002</v>
          </cell>
        </row>
        <row r="6225">
          <cell r="N6225">
            <v>-25.734000000000002</v>
          </cell>
        </row>
        <row r="6226">
          <cell r="N6226">
            <v>-11.789</v>
          </cell>
        </row>
        <row r="6227">
          <cell r="N6227">
            <v>-2.2610000000000001</v>
          </cell>
        </row>
        <row r="6228">
          <cell r="N6228">
            <v>-26.045000000000002</v>
          </cell>
        </row>
        <row r="6229">
          <cell r="N6229">
            <v>-3.7280000000000002</v>
          </cell>
        </row>
        <row r="6230">
          <cell r="N6230">
            <v>-2.1280000000000001</v>
          </cell>
        </row>
        <row r="6231">
          <cell r="N6231">
            <v>-4.4820000000000002</v>
          </cell>
        </row>
        <row r="6232">
          <cell r="N6232">
            <v>-1.298</v>
          </cell>
        </row>
        <row r="6233">
          <cell r="N6233">
            <v>-8.0739999999999998</v>
          </cell>
        </row>
        <row r="6234">
          <cell r="N6234">
            <v>-2.048</v>
          </cell>
        </row>
        <row r="6235">
          <cell r="N6235">
            <v>-1.4339999999999999</v>
          </cell>
        </row>
        <row r="6236">
          <cell r="N6236">
            <v>-1.056</v>
          </cell>
        </row>
        <row r="6237">
          <cell r="N6237">
            <v>-1.3740000000000001</v>
          </cell>
        </row>
        <row r="6238">
          <cell r="N6238">
            <v>-3.129</v>
          </cell>
        </row>
        <row r="6239">
          <cell r="N6239">
            <v>-17.606999999999999</v>
          </cell>
        </row>
        <row r="6240">
          <cell r="N6240">
            <v>-22.413</v>
          </cell>
        </row>
        <row r="6241">
          <cell r="N6241">
            <v>-2.8940000000000001</v>
          </cell>
        </row>
        <row r="6242">
          <cell r="N6242">
            <v>-7.54</v>
          </cell>
        </row>
        <row r="6243">
          <cell r="N6243">
            <v>-6.4779999999999998</v>
          </cell>
        </row>
        <row r="6244">
          <cell r="N6244">
            <v>-14.271000000000001</v>
          </cell>
        </row>
        <row r="6245">
          <cell r="N6245">
            <v>-0.625</v>
          </cell>
        </row>
        <row r="6246">
          <cell r="N6246">
            <v>-2.7389999999999999</v>
          </cell>
        </row>
        <row r="6247">
          <cell r="N6247">
            <v>-5.2889999999999997</v>
          </cell>
        </row>
        <row r="6248">
          <cell r="N6248">
            <v>-1.468</v>
          </cell>
        </row>
        <row r="6249">
          <cell r="N6249">
            <v>-17.748000000000001</v>
          </cell>
        </row>
        <row r="6250">
          <cell r="N6250">
            <v>-8.0310000000000006</v>
          </cell>
        </row>
        <row r="6251">
          <cell r="N6251">
            <v>-8.6519999999999992</v>
          </cell>
        </row>
        <row r="6252">
          <cell r="N6252">
            <v>-6.3079999999999998</v>
          </cell>
        </row>
        <row r="6253">
          <cell r="N6253">
            <v>-2.2410000000000001</v>
          </cell>
        </row>
        <row r="6254">
          <cell r="N6254">
            <v>-2.5209999999999999</v>
          </cell>
        </row>
        <row r="6255">
          <cell r="N6255">
            <v>-17.259</v>
          </cell>
        </row>
        <row r="6256">
          <cell r="N6256">
            <v>-31.234000000000002</v>
          </cell>
        </row>
        <row r="6257">
          <cell r="N6257">
            <v>-5.9550000000000001</v>
          </cell>
        </row>
        <row r="6258">
          <cell r="N6258">
            <v>-17.341000000000001</v>
          </cell>
        </row>
        <row r="6259">
          <cell r="N6259">
            <v>-8.3580000000000005</v>
          </cell>
        </row>
        <row r="6260">
          <cell r="N6260">
            <v>-0.51</v>
          </cell>
        </row>
        <row r="6261">
          <cell r="N6261">
            <v>-5.7539999999999996</v>
          </cell>
        </row>
        <row r="6262">
          <cell r="N6262">
            <v>-0.93500000000000005</v>
          </cell>
        </row>
        <row r="6263">
          <cell r="N6263">
            <v>-1.413</v>
          </cell>
        </row>
        <row r="6264">
          <cell r="N6264">
            <v>-0.34499999999999997</v>
          </cell>
        </row>
        <row r="6265">
          <cell r="N6265">
            <v>-8.1859999999999999</v>
          </cell>
        </row>
        <row r="6266">
          <cell r="N6266">
            <v>-16.946999999999999</v>
          </cell>
        </row>
        <row r="6267">
          <cell r="N6267">
            <v>-1.413</v>
          </cell>
        </row>
        <row r="6268">
          <cell r="N6268">
            <v>-6.891</v>
          </cell>
        </row>
        <row r="6269">
          <cell r="N6269">
            <v>-13.702</v>
          </cell>
        </row>
        <row r="6270">
          <cell r="N6270">
            <v>-8.8919999999999995</v>
          </cell>
        </row>
        <row r="6271">
          <cell r="N6271">
            <v>-9.0690000000000008</v>
          </cell>
        </row>
        <row r="6272">
          <cell r="N6272">
            <v>-15.528</v>
          </cell>
        </row>
        <row r="6273">
          <cell r="N6273">
            <v>-1.4490000000000001</v>
          </cell>
        </row>
        <row r="6274">
          <cell r="N6274">
            <v>-0.55000000000000004</v>
          </cell>
        </row>
        <row r="6275">
          <cell r="N6275">
            <v>-6.282</v>
          </cell>
        </row>
        <row r="6276">
          <cell r="N6276">
            <v>-2.3130000000000002</v>
          </cell>
        </row>
        <row r="6277">
          <cell r="N6277">
            <v>-23.762</v>
          </cell>
        </row>
        <row r="6278">
          <cell r="N6278">
            <v>-7.54</v>
          </cell>
        </row>
        <row r="6279">
          <cell r="N6279">
            <v>-1.7969999999999999</v>
          </cell>
        </row>
        <row r="6280">
          <cell r="N6280">
            <v>-8.3420000000000005</v>
          </cell>
        </row>
        <row r="6281">
          <cell r="N6281">
            <v>-5.7919999999999998</v>
          </cell>
        </row>
        <row r="6282">
          <cell r="N6282">
            <v>-1.607</v>
          </cell>
        </row>
        <row r="6283">
          <cell r="N6283">
            <v>-4.0990000000000002</v>
          </cell>
        </row>
        <row r="6284">
          <cell r="N6284">
            <v>-2.7080000000000002</v>
          </cell>
        </row>
        <row r="6285">
          <cell r="N6285">
            <v>-8.7379999999999995</v>
          </cell>
        </row>
        <row r="6286">
          <cell r="N6286">
            <v>-4.4290000000000003</v>
          </cell>
        </row>
        <row r="6287">
          <cell r="N6287">
            <v>-1.248</v>
          </cell>
        </row>
        <row r="6288">
          <cell r="N6288">
            <v>-1.3979999999999999</v>
          </cell>
        </row>
        <row r="6289">
          <cell r="N6289">
            <v>-8.9969999999999999</v>
          </cell>
        </row>
        <row r="6290">
          <cell r="N6290">
            <v>-0.46100000000000002</v>
          </cell>
        </row>
        <row r="6291">
          <cell r="N6291">
            <v>-7.9829999999999997</v>
          </cell>
        </row>
        <row r="6292">
          <cell r="N6292">
            <v>-2.0870000000000002</v>
          </cell>
        </row>
        <row r="6293">
          <cell r="N6293">
            <v>-12.461</v>
          </cell>
        </row>
        <row r="6294">
          <cell r="N6294">
            <v>-8.0380000000000003</v>
          </cell>
        </row>
        <row r="6295">
          <cell r="N6295">
            <v>-7.3330000000000002</v>
          </cell>
        </row>
        <row r="6296">
          <cell r="N6296">
            <v>-1.5069999999999999</v>
          </cell>
        </row>
        <row r="6297">
          <cell r="N6297">
            <v>-9.8239999999999998</v>
          </cell>
        </row>
        <row r="6298">
          <cell r="N6298">
            <v>-13.237</v>
          </cell>
        </row>
        <row r="6299">
          <cell r="N6299">
            <v>-0.33100000000000002</v>
          </cell>
        </row>
        <row r="6300">
          <cell r="N6300">
            <v>-1.5780000000000001</v>
          </cell>
        </row>
        <row r="6301">
          <cell r="N6301">
            <v>-3.8370000000000002</v>
          </cell>
        </row>
        <row r="6302">
          <cell r="N6302">
            <v>-4.32</v>
          </cell>
        </row>
        <row r="6303">
          <cell r="N6303">
            <v>-15.817</v>
          </cell>
        </row>
        <row r="6304">
          <cell r="N6304">
            <v>-105</v>
          </cell>
        </row>
        <row r="6305">
          <cell r="N6305">
            <v>-1.5169999999999999</v>
          </cell>
        </row>
        <row r="6306">
          <cell r="N6306">
            <v>-20.027000000000001</v>
          </cell>
        </row>
        <row r="6307">
          <cell r="N6307">
            <v>-14.898</v>
          </cell>
        </row>
        <row r="6308">
          <cell r="N6308">
            <v>-8.109</v>
          </cell>
        </row>
        <row r="6309">
          <cell r="N6309">
            <v>-21.687000000000001</v>
          </cell>
        </row>
        <row r="6310">
          <cell r="N6310">
            <v>-5.1820000000000004</v>
          </cell>
        </row>
        <row r="6311">
          <cell r="N6311">
            <v>-3.206</v>
          </cell>
        </row>
        <row r="6312">
          <cell r="N6312">
            <v>-1.9790000000000001</v>
          </cell>
        </row>
        <row r="6313">
          <cell r="N6313">
            <v>-12.72</v>
          </cell>
        </row>
        <row r="6314">
          <cell r="N6314">
            <v>-5.36</v>
          </cell>
        </row>
        <row r="6315">
          <cell r="N6315">
            <v>-20.434000000000001</v>
          </cell>
        </row>
        <row r="6316">
          <cell r="N6316">
            <v>-5.758</v>
          </cell>
        </row>
        <row r="6317">
          <cell r="N6317">
            <v>-1.4430000000000001</v>
          </cell>
        </row>
        <row r="6318">
          <cell r="N6318">
            <v>-20.109000000000002</v>
          </cell>
        </row>
        <row r="6319">
          <cell r="N6319">
            <v>-8.7490000000000006</v>
          </cell>
        </row>
        <row r="6320">
          <cell r="N6320">
            <v>-2.0619999999999998</v>
          </cell>
        </row>
        <row r="6321">
          <cell r="N6321">
            <v>-12.358000000000001</v>
          </cell>
        </row>
        <row r="6322">
          <cell r="N6322">
            <v>-7.2560000000000002</v>
          </cell>
        </row>
        <row r="6323">
          <cell r="N6323">
            <v>-0.92600000000000005</v>
          </cell>
        </row>
        <row r="6324">
          <cell r="N6324">
            <v>-2.8940000000000001</v>
          </cell>
        </row>
        <row r="6325">
          <cell r="N6325">
            <v>-4.8230000000000004</v>
          </cell>
        </row>
        <row r="6326">
          <cell r="N6326">
            <v>-4.7300000000000004</v>
          </cell>
        </row>
        <row r="6327">
          <cell r="N6327">
            <v>-8.4190000000000005</v>
          </cell>
        </row>
        <row r="6328">
          <cell r="N6328">
            <v>-1.3979999999999999</v>
          </cell>
        </row>
        <row r="6329">
          <cell r="N6329">
            <v>-4.2569999999999997</v>
          </cell>
        </row>
        <row r="6330">
          <cell r="N6330">
            <v>-2.4630000000000001</v>
          </cell>
        </row>
        <row r="6331">
          <cell r="N6331">
            <v>-8.8460000000000001</v>
          </cell>
        </row>
        <row r="6332">
          <cell r="N6332">
            <v>-20.353000000000002</v>
          </cell>
        </row>
        <row r="6333">
          <cell r="N6333">
            <v>-5.2169999999999996</v>
          </cell>
        </row>
        <row r="6334">
          <cell r="N6334">
            <v>-6.3470000000000004</v>
          </cell>
        </row>
        <row r="6335">
          <cell r="N6335">
            <v>-16.373000000000001</v>
          </cell>
        </row>
        <row r="6336">
          <cell r="N6336">
            <v>-2.2410000000000001</v>
          </cell>
        </row>
        <row r="6337">
          <cell r="N6337">
            <v>-1.43</v>
          </cell>
        </row>
        <row r="6338">
          <cell r="N6338">
            <v>-2.8620000000000001</v>
          </cell>
        </row>
        <row r="6339">
          <cell r="N6339">
            <v>-1.681</v>
          </cell>
        </row>
        <row r="6340">
          <cell r="N6340">
            <v>-77</v>
          </cell>
        </row>
        <row r="6341">
          <cell r="N6341">
            <v>-77</v>
          </cell>
        </row>
        <row r="6342">
          <cell r="N6342">
            <v>-8.8209999999999997</v>
          </cell>
        </row>
        <row r="6343">
          <cell r="N6343">
            <v>-17.748000000000001</v>
          </cell>
        </row>
        <row r="6344">
          <cell r="N6344">
            <v>-9.6609999999999996</v>
          </cell>
        </row>
        <row r="6345">
          <cell r="N6345">
            <v>-8.2149999999999999</v>
          </cell>
        </row>
        <row r="6346">
          <cell r="N6346">
            <v>-2.6139999999999999</v>
          </cell>
        </row>
        <row r="6347">
          <cell r="N6347">
            <v>-8.2509999999999994</v>
          </cell>
        </row>
        <row r="6348">
          <cell r="N6348">
            <v>-5.1639999999999997</v>
          </cell>
        </row>
        <row r="6349">
          <cell r="N6349">
            <v>-3.7050000000000001</v>
          </cell>
        </row>
        <row r="6350">
          <cell r="N6350">
            <v>-15.631</v>
          </cell>
        </row>
        <row r="6351">
          <cell r="N6351">
            <v>-7.2629999999999999</v>
          </cell>
        </row>
        <row r="6352">
          <cell r="N6352">
            <v>-27.498000000000001</v>
          </cell>
        </row>
        <row r="6353">
          <cell r="N6353">
            <v>-28.536000000000001</v>
          </cell>
        </row>
        <row r="6354">
          <cell r="N6354">
            <v>-17.087</v>
          </cell>
        </row>
        <row r="6355">
          <cell r="N6355">
            <v>-1.5620000000000001</v>
          </cell>
        </row>
        <row r="6356">
          <cell r="N6356">
            <v>-3.8940000000000001</v>
          </cell>
        </row>
        <row r="6357">
          <cell r="N6357">
            <v>-21.791</v>
          </cell>
        </row>
        <row r="6358">
          <cell r="N6358">
            <v>-14.683999999999999</v>
          </cell>
        </row>
        <row r="6359">
          <cell r="N6359">
            <v>-1.607</v>
          </cell>
        </row>
        <row r="6360">
          <cell r="N6360">
            <v>-0.33600000000000002</v>
          </cell>
        </row>
        <row r="6361">
          <cell r="N6361">
            <v>-1.524</v>
          </cell>
        </row>
        <row r="6362">
          <cell r="N6362">
            <v>-5.1459999999999999</v>
          </cell>
        </row>
        <row r="6363">
          <cell r="N6363">
            <v>-5.1100000000000003</v>
          </cell>
        </row>
        <row r="6364">
          <cell r="N6364">
            <v>-1.3089999999999999</v>
          </cell>
        </row>
        <row r="6365">
          <cell r="N6365">
            <v>-7.6820000000000004</v>
          </cell>
        </row>
        <row r="6366">
          <cell r="N6366">
            <v>-4.5350000000000001</v>
          </cell>
        </row>
        <row r="6367">
          <cell r="N6367">
            <v>-25.215</v>
          </cell>
        </row>
        <row r="6368">
          <cell r="N6368">
            <v>-6.4130000000000003</v>
          </cell>
        </row>
        <row r="6369">
          <cell r="N6369">
            <v>-1.2789999999999999</v>
          </cell>
        </row>
        <row r="6370">
          <cell r="N6370">
            <v>-4.4269999999999996</v>
          </cell>
        </row>
        <row r="6371">
          <cell r="N6371">
            <v>-2.2949999999999999</v>
          </cell>
        </row>
        <row r="6372">
          <cell r="N6372">
            <v>-2.5209999999999999</v>
          </cell>
        </row>
        <row r="6373">
          <cell r="N6373">
            <v>-1.7</v>
          </cell>
        </row>
        <row r="6374">
          <cell r="N6374">
            <v>-2.7080000000000002</v>
          </cell>
        </row>
        <row r="6375">
          <cell r="N6375">
            <v>-8.2639999999999993</v>
          </cell>
        </row>
        <row r="6376">
          <cell r="N6376">
            <v>-18.574000000000002</v>
          </cell>
        </row>
        <row r="6377">
          <cell r="N6377">
            <v>-4.4109999999999996</v>
          </cell>
        </row>
        <row r="6378">
          <cell r="N6378">
            <v>-1.698</v>
          </cell>
        </row>
        <row r="6379">
          <cell r="N6379">
            <v>-12.564</v>
          </cell>
        </row>
        <row r="6380">
          <cell r="N6380">
            <v>-4.8079999999999998</v>
          </cell>
        </row>
        <row r="6381">
          <cell r="N6381">
            <v>-5.8239999999999998</v>
          </cell>
        </row>
        <row r="6382">
          <cell r="N6382">
            <v>-22.542000000000002</v>
          </cell>
        </row>
        <row r="6383">
          <cell r="N6383">
            <v>-1.83</v>
          </cell>
        </row>
        <row r="6384">
          <cell r="N6384">
            <v>-7.22</v>
          </cell>
        </row>
        <row r="6385">
          <cell r="N6385">
            <v>-24.8</v>
          </cell>
        </row>
        <row r="6386">
          <cell r="N6386">
            <v>-9.141</v>
          </cell>
        </row>
        <row r="6387">
          <cell r="N6387">
            <v>-7.7539999999999996</v>
          </cell>
        </row>
        <row r="6388">
          <cell r="N6388">
            <v>-1.542</v>
          </cell>
        </row>
        <row r="6389">
          <cell r="N6389">
            <v>-0.34499999999999997</v>
          </cell>
        </row>
        <row r="6390">
          <cell r="N6390">
            <v>-2.6629999999999998</v>
          </cell>
        </row>
        <row r="6391">
          <cell r="N6391">
            <v>-1.3540000000000001</v>
          </cell>
        </row>
        <row r="6392">
          <cell r="N6392">
            <v>-2.427</v>
          </cell>
        </row>
        <row r="6393">
          <cell r="N6393">
            <v>-7.4489999999999998</v>
          </cell>
        </row>
        <row r="6394">
          <cell r="N6394">
            <v>-1.3240000000000001</v>
          </cell>
        </row>
        <row r="6395">
          <cell r="N6395">
            <v>-4.0880000000000001</v>
          </cell>
        </row>
        <row r="6396">
          <cell r="N6396">
            <v>-15.798</v>
          </cell>
        </row>
        <row r="6397">
          <cell r="N6397">
            <v>-4.7770000000000001</v>
          </cell>
        </row>
        <row r="6398">
          <cell r="N6398">
            <v>-2.0089999999999999</v>
          </cell>
        </row>
        <row r="6399">
          <cell r="N6399">
            <v>-12.667999999999999</v>
          </cell>
        </row>
        <row r="6400">
          <cell r="N6400">
            <v>-5.2809999999999997</v>
          </cell>
        </row>
        <row r="6401">
          <cell r="N6401">
            <v>-15.712999999999999</v>
          </cell>
        </row>
        <row r="6402">
          <cell r="N6402">
            <v>-7.4329999999999998</v>
          </cell>
        </row>
        <row r="6403">
          <cell r="N6403">
            <v>-7.9189999999999996</v>
          </cell>
        </row>
        <row r="6404">
          <cell r="N6404">
            <v>-7.5910000000000002</v>
          </cell>
        </row>
        <row r="6405">
          <cell r="N6405">
            <v>-0.54100000000000004</v>
          </cell>
        </row>
        <row r="6406">
          <cell r="N6406">
            <v>-1.9970000000000001</v>
          </cell>
        </row>
        <row r="6407">
          <cell r="N6407">
            <v>-56</v>
          </cell>
        </row>
        <row r="6408">
          <cell r="N6408">
            <v>-1.7</v>
          </cell>
        </row>
        <row r="6409">
          <cell r="N6409">
            <v>-24.021000000000001</v>
          </cell>
        </row>
        <row r="6410">
          <cell r="N6410">
            <v>-4.1879999999999997</v>
          </cell>
        </row>
        <row r="6411">
          <cell r="N6411">
            <v>-7.4610000000000003</v>
          </cell>
        </row>
        <row r="6412">
          <cell r="N6412">
            <v>-1.458</v>
          </cell>
        </row>
        <row r="6413">
          <cell r="N6413">
            <v>-7.22</v>
          </cell>
        </row>
        <row r="6414">
          <cell r="N6414">
            <v>-16.038</v>
          </cell>
        </row>
        <row r="6415">
          <cell r="N6415">
            <v>-0.42399999999999999</v>
          </cell>
        </row>
        <row r="6416">
          <cell r="N6416">
            <v>-3.4950000000000001</v>
          </cell>
        </row>
        <row r="6417">
          <cell r="N6417">
            <v>-0.48299999999999998</v>
          </cell>
        </row>
        <row r="6418">
          <cell r="N6418">
            <v>-13.391999999999999</v>
          </cell>
        </row>
        <row r="6419">
          <cell r="N6419">
            <v>-1.7969999999999999</v>
          </cell>
        </row>
        <row r="6420">
          <cell r="N6420">
            <v>-7.3940000000000001</v>
          </cell>
        </row>
        <row r="6421">
          <cell r="N6421">
            <v>-6.1890000000000001</v>
          </cell>
        </row>
        <row r="6422">
          <cell r="N6422">
            <v>-0.78800000000000003</v>
          </cell>
        </row>
        <row r="6423">
          <cell r="N6423">
            <v>-7.69</v>
          </cell>
        </row>
        <row r="6424">
          <cell r="N6424">
            <v>-2.863</v>
          </cell>
        </row>
        <row r="6425">
          <cell r="N6425">
            <v>-2.6629999999999998</v>
          </cell>
        </row>
        <row r="6426">
          <cell r="N6426">
            <v>-14.898</v>
          </cell>
        </row>
        <row r="6427">
          <cell r="N6427">
            <v>-2.8959999999999999</v>
          </cell>
        </row>
        <row r="6428">
          <cell r="N6428">
            <v>-8.0310000000000006</v>
          </cell>
        </row>
        <row r="6429">
          <cell r="N6429">
            <v>-1.4339999999999999</v>
          </cell>
        </row>
        <row r="6430">
          <cell r="N6430">
            <v>-23.036000000000001</v>
          </cell>
        </row>
        <row r="6431">
          <cell r="N6431">
            <v>-14.813000000000001</v>
          </cell>
        </row>
        <row r="6432">
          <cell r="N6432">
            <v>-6.9349999999999996</v>
          </cell>
        </row>
        <row r="6433">
          <cell r="N6433">
            <v>-4.1239999999999997</v>
          </cell>
        </row>
        <row r="6434">
          <cell r="N6434">
            <v>-0.47899999999999998</v>
          </cell>
        </row>
        <row r="6435">
          <cell r="N6435">
            <v>-1.9179999999999999</v>
          </cell>
        </row>
        <row r="6436">
          <cell r="N6436">
            <v>-5.7539999999999996</v>
          </cell>
        </row>
        <row r="6437">
          <cell r="N6437">
            <v>-3.8279999999999998</v>
          </cell>
        </row>
        <row r="6438">
          <cell r="N6438">
            <v>-1.2350000000000001</v>
          </cell>
        </row>
        <row r="6439">
          <cell r="N6439">
            <v>-7.4909999999999997</v>
          </cell>
        </row>
        <row r="6440">
          <cell r="N6440">
            <v>-4.59</v>
          </cell>
        </row>
        <row r="6441">
          <cell r="N6441">
            <v>-3.3620000000000001</v>
          </cell>
        </row>
        <row r="6442">
          <cell r="N6442">
            <v>-12.771000000000001</v>
          </cell>
        </row>
        <row r="6443">
          <cell r="N6443">
            <v>-4.4290000000000003</v>
          </cell>
        </row>
        <row r="6444">
          <cell r="N6444">
            <v>-8.4190000000000005</v>
          </cell>
        </row>
        <row r="6445">
          <cell r="N6445">
            <v>-3.8610000000000002</v>
          </cell>
        </row>
        <row r="6446">
          <cell r="N6446">
            <v>-4.0270000000000001</v>
          </cell>
        </row>
        <row r="6447">
          <cell r="N6447">
            <v>-25.940999999999999</v>
          </cell>
        </row>
        <row r="6448">
          <cell r="N6448">
            <v>-0.879</v>
          </cell>
        </row>
        <row r="6449">
          <cell r="N6449">
            <v>-6.8049999999999997</v>
          </cell>
        </row>
        <row r="6450">
          <cell r="N6450">
            <v>-1.9490000000000001</v>
          </cell>
        </row>
        <row r="6451">
          <cell r="N6451">
            <v>-8.7490000000000006</v>
          </cell>
        </row>
        <row r="6452">
          <cell r="N6452">
            <v>-0.371</v>
          </cell>
        </row>
        <row r="6453">
          <cell r="N6453">
            <v>-3.1619999999999999</v>
          </cell>
        </row>
        <row r="6454">
          <cell r="N6454">
            <v>-1.5960000000000001</v>
          </cell>
        </row>
        <row r="6455">
          <cell r="N6455">
            <v>-4.0270000000000001</v>
          </cell>
        </row>
        <row r="6456">
          <cell r="N6456">
            <v>-105</v>
          </cell>
        </row>
        <row r="6457">
          <cell r="N6457">
            <v>-1.913</v>
          </cell>
        </row>
        <row r="6458">
          <cell r="N6458">
            <v>-4.1269999999999998</v>
          </cell>
        </row>
        <row r="6459">
          <cell r="N6459">
            <v>-56</v>
          </cell>
        </row>
        <row r="6460">
          <cell r="N6460">
            <v>-6.6150000000000002</v>
          </cell>
        </row>
        <row r="6461">
          <cell r="N6461">
            <v>-3.9279999999999999</v>
          </cell>
        </row>
        <row r="6462">
          <cell r="N6462">
            <v>-15.528</v>
          </cell>
        </row>
        <row r="6463">
          <cell r="N6463">
            <v>-2.8620000000000001</v>
          </cell>
        </row>
        <row r="6464">
          <cell r="N6464">
            <v>-1.7</v>
          </cell>
        </row>
        <row r="6465">
          <cell r="N6465">
            <v>-5.758</v>
          </cell>
        </row>
        <row r="6466">
          <cell r="N6466">
            <v>-7.5049999999999999</v>
          </cell>
        </row>
        <row r="6467">
          <cell r="N6467">
            <v>-1.19</v>
          </cell>
        </row>
        <row r="6468">
          <cell r="N6468">
            <v>-8.7850000000000001</v>
          </cell>
        </row>
        <row r="6469">
          <cell r="N6469">
            <v>-1.603</v>
          </cell>
        </row>
        <row r="6470">
          <cell r="N6470">
            <v>-26.771999999999998</v>
          </cell>
        </row>
        <row r="6471">
          <cell r="N6471">
            <v>-5.5620000000000003</v>
          </cell>
        </row>
        <row r="6472">
          <cell r="N6472">
            <v>-0.746</v>
          </cell>
        </row>
        <row r="6473">
          <cell r="N6473">
            <v>-20.108000000000001</v>
          </cell>
        </row>
        <row r="6474">
          <cell r="N6474">
            <v>-4.375</v>
          </cell>
        </row>
        <row r="6475">
          <cell r="N6475">
            <v>-3.39</v>
          </cell>
        </row>
        <row r="6476">
          <cell r="N6476">
            <v>-2.996</v>
          </cell>
        </row>
        <row r="6477">
          <cell r="N6477">
            <v>-5.0739999999999998</v>
          </cell>
        </row>
        <row r="6478">
          <cell r="N6478">
            <v>-2.2949999999999999</v>
          </cell>
        </row>
        <row r="6479">
          <cell r="N6479">
            <v>-0.36699999999999999</v>
          </cell>
        </row>
        <row r="6480">
          <cell r="N6480">
            <v>-5.3</v>
          </cell>
        </row>
        <row r="6481">
          <cell r="N6481">
            <v>-10.221</v>
          </cell>
        </row>
        <row r="6482">
          <cell r="N6482">
            <v>-1.637</v>
          </cell>
        </row>
        <row r="6483">
          <cell r="N6483">
            <v>-9.0690000000000008</v>
          </cell>
        </row>
        <row r="6484">
          <cell r="N6484">
            <v>-3.7050000000000001</v>
          </cell>
        </row>
        <row r="6485">
          <cell r="N6485">
            <v>-5.3250000000000002</v>
          </cell>
        </row>
        <row r="6486">
          <cell r="N6486">
            <v>-2.6629999999999998</v>
          </cell>
        </row>
        <row r="6487">
          <cell r="N6487">
            <v>-3.05</v>
          </cell>
        </row>
        <row r="6488">
          <cell r="N6488">
            <v>-7.4909999999999997</v>
          </cell>
        </row>
        <row r="6489">
          <cell r="N6489">
            <v>-3.61</v>
          </cell>
        </row>
        <row r="6490">
          <cell r="N6490">
            <v>-3.7050000000000001</v>
          </cell>
        </row>
        <row r="6491">
          <cell r="N6491">
            <v>-3.3279999999999998</v>
          </cell>
        </row>
        <row r="6492">
          <cell r="N6492">
            <v>-5.9219999999999997</v>
          </cell>
        </row>
        <row r="6493">
          <cell r="N6493">
            <v>-4.0519999999999996</v>
          </cell>
        </row>
        <row r="6494">
          <cell r="N6494">
            <v>-10.221</v>
          </cell>
        </row>
        <row r="6495">
          <cell r="N6495">
            <v>-15.794</v>
          </cell>
        </row>
        <row r="6496">
          <cell r="N6496">
            <v>-8.2870000000000008</v>
          </cell>
        </row>
        <row r="6497">
          <cell r="N6497">
            <v>-0.32300000000000001</v>
          </cell>
        </row>
        <row r="6498">
          <cell r="N6498">
            <v>-5.8890000000000002</v>
          </cell>
        </row>
        <row r="6499">
          <cell r="N6499">
            <v>-3.8279999999999998</v>
          </cell>
        </row>
        <row r="6500">
          <cell r="N6500">
            <v>-6.02</v>
          </cell>
        </row>
        <row r="6501">
          <cell r="N6501">
            <v>-7.516</v>
          </cell>
        </row>
        <row r="6502">
          <cell r="N6502">
            <v>-2.77</v>
          </cell>
        </row>
        <row r="6503">
          <cell r="N6503">
            <v>-4.1779999999999999</v>
          </cell>
        </row>
        <row r="6504">
          <cell r="N6504">
            <v>-4.4930000000000003</v>
          </cell>
        </row>
        <row r="6505">
          <cell r="N6505">
            <v>-2.996</v>
          </cell>
        </row>
        <row r="6506">
          <cell r="N6506">
            <v>-15.55</v>
          </cell>
        </row>
        <row r="6507">
          <cell r="N6507">
            <v>-2.552</v>
          </cell>
        </row>
        <row r="6508">
          <cell r="N6508">
            <v>-23.466000000000001</v>
          </cell>
        </row>
        <row r="6509">
          <cell r="N6509">
            <v>-4.335</v>
          </cell>
        </row>
        <row r="6510">
          <cell r="N6510">
            <v>-20.417999999999999</v>
          </cell>
        </row>
        <row r="6511">
          <cell r="N6511">
            <v>-21.895</v>
          </cell>
        </row>
        <row r="6512">
          <cell r="N6512">
            <v>-1.3540000000000001</v>
          </cell>
        </row>
        <row r="6513">
          <cell r="N6513">
            <v>-1.681</v>
          </cell>
        </row>
        <row r="6514">
          <cell r="N6514">
            <v>-3.528</v>
          </cell>
        </row>
        <row r="6515">
          <cell r="N6515">
            <v>-5.6929999999999996</v>
          </cell>
        </row>
        <row r="6516">
          <cell r="N6516">
            <v>-0.47399999999999998</v>
          </cell>
        </row>
        <row r="6517">
          <cell r="N6517">
            <v>-7.149</v>
          </cell>
        </row>
        <row r="6518">
          <cell r="N6518">
            <v>-1.0269999999999999</v>
          </cell>
        </row>
        <row r="6519">
          <cell r="N6519">
            <v>-30.164000000000001</v>
          </cell>
        </row>
        <row r="6520">
          <cell r="N6520">
            <v>-1.9710000000000001</v>
          </cell>
        </row>
        <row r="6521">
          <cell r="N6521">
            <v>-3.2450000000000001</v>
          </cell>
        </row>
        <row r="6522">
          <cell r="N6522">
            <v>-2.4900000000000002</v>
          </cell>
        </row>
        <row r="6523">
          <cell r="N6523">
            <v>-16.689</v>
          </cell>
        </row>
        <row r="6524">
          <cell r="N6524">
            <v>-3.2320000000000002</v>
          </cell>
        </row>
        <row r="6525">
          <cell r="N6525">
            <v>-7.718</v>
          </cell>
        </row>
        <row r="6526">
          <cell r="N6526">
            <v>-1.2789999999999999</v>
          </cell>
        </row>
        <row r="6527">
          <cell r="N6527">
            <v>-0.313</v>
          </cell>
        </row>
        <row r="6528">
          <cell r="N6528">
            <v>-4.5149999999999997</v>
          </cell>
        </row>
        <row r="6529">
          <cell r="N6529">
            <v>-7.3979999999999997</v>
          </cell>
        </row>
        <row r="6530">
          <cell r="N6530">
            <v>-8.8209999999999997</v>
          </cell>
        </row>
        <row r="6531">
          <cell r="N6531">
            <v>-2.9620000000000002</v>
          </cell>
        </row>
        <row r="6532">
          <cell r="N6532">
            <v>-43.36</v>
          </cell>
        </row>
        <row r="6533">
          <cell r="N6533">
            <v>-21.687000000000001</v>
          </cell>
        </row>
        <row r="6534">
          <cell r="N6534">
            <v>-8.8209999999999997</v>
          </cell>
        </row>
        <row r="6535">
          <cell r="N6535">
            <v>-4.1779999999999999</v>
          </cell>
        </row>
        <row r="6536">
          <cell r="N6536">
            <v>-21.803000000000001</v>
          </cell>
        </row>
        <row r="6537">
          <cell r="N6537">
            <v>-10.919</v>
          </cell>
        </row>
        <row r="6538">
          <cell r="N6538">
            <v>-3.7610000000000001</v>
          </cell>
        </row>
        <row r="6539">
          <cell r="N6539">
            <v>-4.59</v>
          </cell>
        </row>
        <row r="6540">
          <cell r="N6540">
            <v>-2.552</v>
          </cell>
        </row>
        <row r="6541">
          <cell r="N6541">
            <v>-3.6949999999999998</v>
          </cell>
        </row>
        <row r="6542">
          <cell r="N6542">
            <v>-5.431</v>
          </cell>
        </row>
        <row r="6543">
          <cell r="N6543">
            <v>-0.39400000000000002</v>
          </cell>
        </row>
        <row r="6544">
          <cell r="N6544">
            <v>-7.3979999999999997</v>
          </cell>
        </row>
        <row r="6545">
          <cell r="N6545">
            <v>-7.4329999999999998</v>
          </cell>
        </row>
        <row r="6546">
          <cell r="N6546">
            <v>-14.247</v>
          </cell>
        </row>
        <row r="6547">
          <cell r="N6547">
            <v>-2.863</v>
          </cell>
        </row>
        <row r="6548">
          <cell r="N6548">
            <v>-4.1269999999999998</v>
          </cell>
        </row>
        <row r="6549">
          <cell r="N6549">
            <v>-1.22</v>
          </cell>
        </row>
        <row r="6550">
          <cell r="N6550">
            <v>-3.0619999999999998</v>
          </cell>
        </row>
        <row r="6551">
          <cell r="N6551">
            <v>-1.7969999999999999</v>
          </cell>
        </row>
        <row r="6552">
          <cell r="N6552">
            <v>-2.863</v>
          </cell>
        </row>
        <row r="6553">
          <cell r="N6553">
            <v>-26.771999999999998</v>
          </cell>
        </row>
        <row r="6554">
          <cell r="N6554">
            <v>-9.4960000000000004</v>
          </cell>
        </row>
        <row r="6555">
          <cell r="N6555">
            <v>-4.2569999999999997</v>
          </cell>
        </row>
        <row r="6556">
          <cell r="N6556">
            <v>-6.9359999999999999</v>
          </cell>
        </row>
        <row r="6557">
          <cell r="N6557">
            <v>-1.577</v>
          </cell>
        </row>
        <row r="6558">
          <cell r="N6558">
            <v>-5.4969999999999999</v>
          </cell>
        </row>
        <row r="6559">
          <cell r="N6559">
            <v>-5.6760000000000002</v>
          </cell>
        </row>
        <row r="6560">
          <cell r="N6560">
            <v>-10.045999999999999</v>
          </cell>
        </row>
        <row r="6561">
          <cell r="N6561">
            <v>-3.9279999999999999</v>
          </cell>
        </row>
        <row r="6562">
          <cell r="N6562">
            <v>-2.8010000000000002</v>
          </cell>
        </row>
        <row r="6563">
          <cell r="N6563">
            <v>-9.0340000000000007</v>
          </cell>
        </row>
        <row r="6564">
          <cell r="N6564">
            <v>-7.149</v>
          </cell>
        </row>
        <row r="6565">
          <cell r="N6565">
            <v>-20.038</v>
          </cell>
        </row>
        <row r="6566">
          <cell r="N6566">
            <v>-14.837999999999999</v>
          </cell>
        </row>
        <row r="6567">
          <cell r="N6567">
            <v>-2.33</v>
          </cell>
        </row>
        <row r="6568">
          <cell r="N6568">
            <v>-1.637</v>
          </cell>
        </row>
        <row r="6569">
          <cell r="N6569">
            <v>-53.162999999999997</v>
          </cell>
        </row>
        <row r="6570">
          <cell r="N6570">
            <v>-3.7650000000000001</v>
          </cell>
        </row>
        <row r="6571">
          <cell r="N6571">
            <v>-4.0990000000000002</v>
          </cell>
        </row>
        <row r="6572">
          <cell r="N6572">
            <v>-12.199</v>
          </cell>
        </row>
        <row r="6573">
          <cell r="N6573">
            <v>-15.224</v>
          </cell>
        </row>
        <row r="6574">
          <cell r="N6574">
            <v>-1.681</v>
          </cell>
        </row>
        <row r="6575">
          <cell r="N6575">
            <v>-8.2159999999999993</v>
          </cell>
        </row>
        <row r="6576">
          <cell r="N6576">
            <v>-7.1980000000000004</v>
          </cell>
        </row>
        <row r="6577">
          <cell r="N6577">
            <v>-7.3289999999999997</v>
          </cell>
        </row>
        <row r="6578">
          <cell r="N6578">
            <v>-4.0880000000000001</v>
          </cell>
        </row>
        <row r="6579">
          <cell r="N6579">
            <v>-4.0990000000000002</v>
          </cell>
        </row>
        <row r="6580">
          <cell r="N6580">
            <v>-0.92800000000000005</v>
          </cell>
        </row>
        <row r="6581">
          <cell r="N6581">
            <v>-2.7080000000000002</v>
          </cell>
        </row>
        <row r="6582">
          <cell r="N6582">
            <v>-4.1059999999999999</v>
          </cell>
        </row>
        <row r="6583">
          <cell r="N6583">
            <v>-9.6739999999999995</v>
          </cell>
        </row>
        <row r="6584">
          <cell r="N6584">
            <v>-3.8940000000000001</v>
          </cell>
        </row>
        <row r="6585">
          <cell r="N6585">
            <v>-13.49</v>
          </cell>
        </row>
        <row r="6586">
          <cell r="N6586">
            <v>-9.3179999999999996</v>
          </cell>
        </row>
        <row r="6587">
          <cell r="N6587">
            <v>-3.863</v>
          </cell>
        </row>
        <row r="6588">
          <cell r="N6588">
            <v>-23.97</v>
          </cell>
        </row>
        <row r="6589">
          <cell r="N6589">
            <v>-4.1609999999999996</v>
          </cell>
        </row>
        <row r="6590">
          <cell r="N6590">
            <v>-0.55200000000000005</v>
          </cell>
        </row>
        <row r="6591">
          <cell r="N6591">
            <v>-14.467000000000001</v>
          </cell>
        </row>
        <row r="6592">
          <cell r="N6592">
            <v>-19.62</v>
          </cell>
        </row>
        <row r="6593">
          <cell r="N6593">
            <v>-0.47299999999999998</v>
          </cell>
        </row>
        <row r="6594">
          <cell r="N6594">
            <v>-4.0000000000000001E-3</v>
          </cell>
        </row>
        <row r="6595">
          <cell r="N6595">
            <v>-1E-3</v>
          </cell>
        </row>
        <row r="6596">
          <cell r="N6596">
            <v>-2.863</v>
          </cell>
        </row>
        <row r="6597">
          <cell r="N6597">
            <v>-0.51500000000000001</v>
          </cell>
        </row>
        <row r="6598">
          <cell r="N6598">
            <v>-2.9249999999999998</v>
          </cell>
        </row>
        <row r="6599">
          <cell r="N6599">
            <v>-1E-3</v>
          </cell>
        </row>
        <row r="6600">
          <cell r="N6600">
            <v>-2E-3</v>
          </cell>
        </row>
        <row r="6601">
          <cell r="N6601">
            <v>-4.0000000000000001E-3</v>
          </cell>
        </row>
        <row r="6602">
          <cell r="N6602">
            <v>-8.7490000000000006</v>
          </cell>
        </row>
        <row r="6603">
          <cell r="N6603">
            <v>-6.58</v>
          </cell>
        </row>
        <row r="6604">
          <cell r="N6604">
            <v>-9.4960000000000004</v>
          </cell>
        </row>
        <row r="6605">
          <cell r="N6605">
            <v>-5.0919999999999996</v>
          </cell>
        </row>
        <row r="6606">
          <cell r="N6606">
            <v>-9.1760000000000002</v>
          </cell>
        </row>
        <row r="6607">
          <cell r="N6607">
            <v>-7.6820000000000004</v>
          </cell>
        </row>
        <row r="6608">
          <cell r="N6608">
            <v>-5.3070000000000004</v>
          </cell>
        </row>
        <row r="6609">
          <cell r="N6609">
            <v>-1.458</v>
          </cell>
        </row>
        <row r="6610">
          <cell r="N6610">
            <v>-14.467000000000001</v>
          </cell>
        </row>
        <row r="6611">
          <cell r="N6611">
            <v>-3.528</v>
          </cell>
        </row>
        <row r="6612">
          <cell r="N6612">
            <v>-6.9349999999999996</v>
          </cell>
        </row>
        <row r="6613">
          <cell r="N6613">
            <v>-2.8959999999999999</v>
          </cell>
        </row>
        <row r="6614">
          <cell r="N6614">
            <v>-4.1779999999999999</v>
          </cell>
        </row>
        <row r="6615">
          <cell r="N6615">
            <v>-1.2649999999999999</v>
          </cell>
        </row>
        <row r="6616">
          <cell r="N6616">
            <v>-3.0289999999999999</v>
          </cell>
        </row>
        <row r="6617">
          <cell r="N6617">
            <v>-6.6870000000000003</v>
          </cell>
        </row>
        <row r="6618">
          <cell r="N6618">
            <v>-8.9269999999999996</v>
          </cell>
        </row>
        <row r="6619">
          <cell r="N6619">
            <v>-2.7290000000000001</v>
          </cell>
        </row>
        <row r="6620">
          <cell r="N6620">
            <v>-4.5540000000000003</v>
          </cell>
        </row>
        <row r="6621">
          <cell r="N6621">
            <v>-3.1949999999999998</v>
          </cell>
        </row>
        <row r="6622">
          <cell r="N6622">
            <v>-4.5540000000000003</v>
          </cell>
        </row>
        <row r="6623">
          <cell r="N6623">
            <v>-7.2910000000000004</v>
          </cell>
        </row>
        <row r="6624">
          <cell r="N6624">
            <v>-9.4589999999999996</v>
          </cell>
        </row>
        <row r="6625">
          <cell r="N6625">
            <v>-1.339</v>
          </cell>
        </row>
        <row r="6626">
          <cell r="N6626">
            <v>-7.8E-2</v>
          </cell>
        </row>
        <row r="6627">
          <cell r="N6627">
            <v>-1.651</v>
          </cell>
        </row>
        <row r="6628">
          <cell r="N6628">
            <v>-5.62</v>
          </cell>
        </row>
        <row r="6629">
          <cell r="N6629">
            <v>-0.96599999999999997</v>
          </cell>
        </row>
        <row r="6630">
          <cell r="N6630">
            <v>-5.72</v>
          </cell>
        </row>
        <row r="6631">
          <cell r="N6631">
            <v>-3.9940000000000002</v>
          </cell>
        </row>
        <row r="6632">
          <cell r="N6632">
            <v>-6.0960000000000001</v>
          </cell>
        </row>
        <row r="6633">
          <cell r="N6633">
            <v>-0.23699999999999999</v>
          </cell>
        </row>
        <row r="6634">
          <cell r="N6634">
            <v>-4.9489999999999998</v>
          </cell>
        </row>
        <row r="6635">
          <cell r="N6635">
            <v>-2E-3</v>
          </cell>
        </row>
        <row r="6636">
          <cell r="N6636">
            <v>-1.9490000000000001</v>
          </cell>
        </row>
        <row r="6637">
          <cell r="N6637">
            <v>-4.6619999999999999</v>
          </cell>
        </row>
        <row r="6638">
          <cell r="N6638">
            <v>-1.3839999999999999</v>
          </cell>
        </row>
        <row r="6639">
          <cell r="N6639">
            <v>-16.135999999999999</v>
          </cell>
        </row>
        <row r="6640">
          <cell r="N6640">
            <v>-15.704000000000001</v>
          </cell>
        </row>
        <row r="6641">
          <cell r="N6641">
            <v>-8.3949999999999996</v>
          </cell>
        </row>
        <row r="6642">
          <cell r="N6642">
            <v>-1.101</v>
          </cell>
        </row>
        <row r="6643">
          <cell r="N6643">
            <v>-3.8610000000000002</v>
          </cell>
        </row>
        <row r="6644">
          <cell r="N6644">
            <v>-1.6220000000000001</v>
          </cell>
        </row>
        <row r="6645">
          <cell r="N6645">
            <v>-1.2350000000000001</v>
          </cell>
        </row>
        <row r="6646">
          <cell r="N6646">
            <v>-16.445</v>
          </cell>
        </row>
        <row r="6647">
          <cell r="N6647">
            <v>-7.8250000000000002</v>
          </cell>
        </row>
        <row r="6648">
          <cell r="N6648">
            <v>-5.7370000000000001</v>
          </cell>
        </row>
        <row r="6649">
          <cell r="N6649">
            <v>-7.0419999999999998</v>
          </cell>
        </row>
        <row r="6650">
          <cell r="N6650">
            <v>-5.899</v>
          </cell>
        </row>
        <row r="6651">
          <cell r="N6651">
            <v>-9.4960000000000004</v>
          </cell>
        </row>
        <row r="6652">
          <cell r="N6652">
            <v>-9.2119999999999997</v>
          </cell>
        </row>
        <row r="6653">
          <cell r="N6653">
            <v>-2.2069999999999999</v>
          </cell>
        </row>
        <row r="6654">
          <cell r="N6654">
            <v>-1.294</v>
          </cell>
        </row>
        <row r="6655">
          <cell r="N6655">
            <v>-3.129</v>
          </cell>
        </row>
        <row r="6656">
          <cell r="N6656">
            <v>-7.8959999999999999</v>
          </cell>
        </row>
        <row r="6657">
          <cell r="N6657">
            <v>-9.9939999999999998</v>
          </cell>
        </row>
        <row r="6658">
          <cell r="N6658">
            <v>-11.061</v>
          </cell>
        </row>
        <row r="6659">
          <cell r="N6659">
            <v>-11.31</v>
          </cell>
        </row>
        <row r="6660">
          <cell r="N6660">
            <v>-8.8559999999999999</v>
          </cell>
        </row>
        <row r="6661">
          <cell r="N6661">
            <v>-2.7629999999999999</v>
          </cell>
        </row>
        <row r="6662">
          <cell r="N6662">
            <v>-3.9279999999999999</v>
          </cell>
        </row>
        <row r="6663">
          <cell r="N6663">
            <v>-7.6109999999999998</v>
          </cell>
        </row>
        <row r="6664">
          <cell r="N6664">
            <v>-5.2809999999999997</v>
          </cell>
        </row>
        <row r="6665">
          <cell r="N6665">
            <v>-4.0990000000000002</v>
          </cell>
        </row>
        <row r="6666">
          <cell r="N6666">
            <v>-0.57399999999999995</v>
          </cell>
        </row>
        <row r="6667">
          <cell r="N6667">
            <v>-2E-3</v>
          </cell>
        </row>
        <row r="6668">
          <cell r="N6668">
            <v>-4.9660000000000002</v>
          </cell>
        </row>
        <row r="6669">
          <cell r="N6669">
            <v>-1.6220000000000001</v>
          </cell>
        </row>
        <row r="6670">
          <cell r="N6670">
            <v>-1.8</v>
          </cell>
        </row>
        <row r="6671">
          <cell r="N6671">
            <v>-3.891</v>
          </cell>
        </row>
        <row r="6672">
          <cell r="N6672">
            <v>-1.294</v>
          </cell>
        </row>
        <row r="6673">
          <cell r="N6673">
            <v>-1.25</v>
          </cell>
        </row>
        <row r="6674">
          <cell r="N6674">
            <v>-8.2870000000000008</v>
          </cell>
        </row>
        <row r="6675">
          <cell r="N6675">
            <v>-3.1619999999999999</v>
          </cell>
        </row>
        <row r="6676">
          <cell r="N6676">
            <v>-8.9269999999999996</v>
          </cell>
        </row>
        <row r="6677">
          <cell r="N6677">
            <v>-2.5299999999999998</v>
          </cell>
        </row>
        <row r="6678">
          <cell r="N6678">
            <v>-1.3540000000000001</v>
          </cell>
        </row>
        <row r="6679">
          <cell r="N6679">
            <v>-3.9409999999999998</v>
          </cell>
        </row>
        <row r="6680">
          <cell r="N6680">
            <v>-9.923</v>
          </cell>
        </row>
        <row r="6681">
          <cell r="N6681">
            <v>-9.9939999999999998</v>
          </cell>
        </row>
        <row r="6682">
          <cell r="N6682">
            <v>-8.0000000000000002E-3</v>
          </cell>
        </row>
        <row r="6683">
          <cell r="N6683">
            <v>-3.1019999999999999</v>
          </cell>
        </row>
        <row r="6684">
          <cell r="N6684">
            <v>-9.1050000000000004</v>
          </cell>
        </row>
        <row r="6685">
          <cell r="N6685">
            <v>-15.951000000000001</v>
          </cell>
        </row>
        <row r="6686">
          <cell r="N6686">
            <v>-4.0940000000000003</v>
          </cell>
        </row>
        <row r="6687">
          <cell r="N6687">
            <v>-4.07</v>
          </cell>
        </row>
        <row r="6688">
          <cell r="N6688">
            <v>-1.4730000000000001</v>
          </cell>
        </row>
        <row r="6689">
          <cell r="N6689">
            <v>-1.3839999999999999</v>
          </cell>
        </row>
        <row r="6690">
          <cell r="N6690">
            <v>-3.5609999999999999</v>
          </cell>
        </row>
        <row r="6691">
          <cell r="N6691">
            <v>-6.1269999999999998</v>
          </cell>
        </row>
        <row r="6692">
          <cell r="N6692">
            <v>-4.0990000000000002</v>
          </cell>
        </row>
        <row r="6693">
          <cell r="N6693">
            <v>-10.706</v>
          </cell>
        </row>
        <row r="6694">
          <cell r="N6694">
            <v>-11.516999999999999</v>
          </cell>
        </row>
        <row r="6695">
          <cell r="N6695">
            <v>-3.7749999999999999</v>
          </cell>
        </row>
        <row r="6696">
          <cell r="N6696">
            <v>-7.5759999999999996</v>
          </cell>
        </row>
        <row r="6697">
          <cell r="N6697">
            <v>-4.4290000000000003</v>
          </cell>
        </row>
        <row r="6698">
          <cell r="N6698">
            <v>-2.496</v>
          </cell>
        </row>
        <row r="6699">
          <cell r="N6699">
            <v>-10.67</v>
          </cell>
        </row>
        <row r="6700">
          <cell r="N6700">
            <v>-9.0690000000000008</v>
          </cell>
        </row>
        <row r="6701">
          <cell r="N6701">
            <v>-5.702</v>
          </cell>
        </row>
        <row r="6702">
          <cell r="N6702">
            <v>-14.157999999999999</v>
          </cell>
        </row>
        <row r="6703">
          <cell r="N6703">
            <v>-6.07</v>
          </cell>
        </row>
        <row r="6704">
          <cell r="N6704">
            <v>-1.6659999999999999</v>
          </cell>
        </row>
        <row r="6705">
          <cell r="N6705">
            <v>-1.607</v>
          </cell>
        </row>
        <row r="6706">
          <cell r="N6706">
            <v>-7.6820000000000004</v>
          </cell>
        </row>
        <row r="6707">
          <cell r="N6707">
            <v>-7.7889999999999997</v>
          </cell>
        </row>
        <row r="6708">
          <cell r="N6708">
            <v>-9.3179999999999996</v>
          </cell>
        </row>
        <row r="6709">
          <cell r="N6709">
            <v>-1.3240000000000001</v>
          </cell>
        </row>
        <row r="6710">
          <cell r="N6710">
            <v>-7.149</v>
          </cell>
        </row>
        <row r="6711">
          <cell r="N6711">
            <v>-3.1949999999999998</v>
          </cell>
        </row>
        <row r="6712">
          <cell r="N6712">
            <v>-0.80100000000000005</v>
          </cell>
        </row>
        <row r="6713">
          <cell r="N6713">
            <v>-3.5680000000000001</v>
          </cell>
        </row>
        <row r="6714">
          <cell r="N6714">
            <v>-2.9620000000000002</v>
          </cell>
        </row>
        <row r="6715">
          <cell r="N6715">
            <v>-12.303000000000001</v>
          </cell>
        </row>
        <row r="6716">
          <cell r="N6716">
            <v>-8.7140000000000004</v>
          </cell>
        </row>
        <row r="6717">
          <cell r="N6717">
            <v>-9.39</v>
          </cell>
        </row>
        <row r="6718">
          <cell r="N6718">
            <v>-8.9999999999999993E-3</v>
          </cell>
        </row>
        <row r="6719">
          <cell r="N6719">
            <v>-1.19</v>
          </cell>
        </row>
        <row r="6720">
          <cell r="N6720">
            <v>-3.4380000000000002</v>
          </cell>
        </row>
        <row r="6721">
          <cell r="N6721">
            <v>-6.6150000000000002</v>
          </cell>
        </row>
        <row r="6722">
          <cell r="N6722">
            <v>-1.3839999999999999</v>
          </cell>
        </row>
        <row r="6723">
          <cell r="N6723">
            <v>-4.617</v>
          </cell>
        </row>
        <row r="6724">
          <cell r="N6724">
            <v>-0.72399999999999998</v>
          </cell>
        </row>
        <row r="6725">
          <cell r="N6725">
            <v>-3.1280000000000001</v>
          </cell>
        </row>
        <row r="6726">
          <cell r="N6726">
            <v>-4.2270000000000003</v>
          </cell>
        </row>
        <row r="6727">
          <cell r="N6727">
            <v>-6.6440000000000001</v>
          </cell>
        </row>
        <row r="6728">
          <cell r="N6728">
            <v>-10.314</v>
          </cell>
        </row>
        <row r="6729">
          <cell r="N6729">
            <v>-0.997</v>
          </cell>
        </row>
        <row r="6730">
          <cell r="N6730">
            <v>-3.468</v>
          </cell>
        </row>
        <row r="6731">
          <cell r="N6731">
            <v>-2.3969999999999998</v>
          </cell>
        </row>
        <row r="6732">
          <cell r="N6732">
            <v>-5.5940000000000003</v>
          </cell>
        </row>
        <row r="6733">
          <cell r="N6733">
            <v>-0.98199999999999998</v>
          </cell>
        </row>
        <row r="6734">
          <cell r="N6734">
            <v>-1.012</v>
          </cell>
        </row>
        <row r="6735">
          <cell r="N6735">
            <v>-4.9790000000000001</v>
          </cell>
        </row>
        <row r="6736">
          <cell r="N6736">
            <v>-7.4329999999999998</v>
          </cell>
        </row>
        <row r="6737">
          <cell r="N6737">
            <v>-18.646000000000001</v>
          </cell>
        </row>
        <row r="6738">
          <cell r="N6738">
            <v>-0.34300000000000003</v>
          </cell>
        </row>
        <row r="6739">
          <cell r="N6739">
            <v>-84</v>
          </cell>
        </row>
        <row r="6740">
          <cell r="N6740">
            <v>-1.6759999999999999</v>
          </cell>
        </row>
        <row r="6741">
          <cell r="N6741">
            <v>-0.29699999999999999</v>
          </cell>
        </row>
        <row r="6742">
          <cell r="N6742">
            <v>-1.2649999999999999</v>
          </cell>
        </row>
        <row r="6743">
          <cell r="N6743">
            <v>-3.395</v>
          </cell>
        </row>
        <row r="6744">
          <cell r="N6744">
            <v>-7.54</v>
          </cell>
        </row>
        <row r="6745">
          <cell r="N6745">
            <v>-1.22</v>
          </cell>
        </row>
        <row r="6746">
          <cell r="N6746">
            <v>-4.7690000000000001</v>
          </cell>
        </row>
        <row r="6747">
          <cell r="N6747">
            <v>-0.30099999999999999</v>
          </cell>
        </row>
        <row r="6748">
          <cell r="N6748">
            <v>-22.783000000000001</v>
          </cell>
        </row>
        <row r="6749">
          <cell r="N6749">
            <v>-1.131</v>
          </cell>
        </row>
        <row r="6750">
          <cell r="N6750">
            <v>-1.101</v>
          </cell>
        </row>
        <row r="6751">
          <cell r="N6751">
            <v>-2.496</v>
          </cell>
        </row>
        <row r="6752">
          <cell r="N6752">
            <v>-3.6219999999999999</v>
          </cell>
        </row>
        <row r="6753">
          <cell r="N6753">
            <v>-13.787000000000001</v>
          </cell>
        </row>
        <row r="6754">
          <cell r="N6754">
            <v>-8.3230000000000004</v>
          </cell>
        </row>
        <row r="6755">
          <cell r="N6755">
            <v>-2.74</v>
          </cell>
        </row>
        <row r="6756">
          <cell r="N6756">
            <v>-2.12</v>
          </cell>
        </row>
        <row r="6757">
          <cell r="N6757">
            <v>-3.2090000000000001</v>
          </cell>
        </row>
        <row r="6758">
          <cell r="N6758">
            <v>-6.6440000000000001</v>
          </cell>
        </row>
        <row r="6759">
          <cell r="N6759">
            <v>-3.9940000000000002</v>
          </cell>
        </row>
        <row r="6760">
          <cell r="N6760">
            <v>-1.577</v>
          </cell>
        </row>
        <row r="6761">
          <cell r="N6761">
            <v>-1.339</v>
          </cell>
        </row>
        <row r="6762">
          <cell r="N6762">
            <v>-8.9629999999999992</v>
          </cell>
        </row>
        <row r="6763">
          <cell r="N6763">
            <v>-8.0020000000000007</v>
          </cell>
        </row>
        <row r="6764">
          <cell r="N6764">
            <v>-1.88</v>
          </cell>
        </row>
        <row r="6765">
          <cell r="N6765">
            <v>-0.28999999999999998</v>
          </cell>
        </row>
        <row r="6766">
          <cell r="N6766">
            <v>-22.783000000000001</v>
          </cell>
        </row>
        <row r="6767">
          <cell r="N6767">
            <v>-15.209</v>
          </cell>
        </row>
        <row r="6768">
          <cell r="N6768">
            <v>-5.3970000000000002</v>
          </cell>
        </row>
        <row r="6769">
          <cell r="N6769">
            <v>-18.372</v>
          </cell>
        </row>
        <row r="6770">
          <cell r="N6770">
            <v>-56</v>
          </cell>
        </row>
        <row r="6771">
          <cell r="N6771">
            <v>-84</v>
          </cell>
        </row>
        <row r="6772">
          <cell r="N6772">
            <v>-56</v>
          </cell>
        </row>
        <row r="6773">
          <cell r="N6773">
            <v>-12.241</v>
          </cell>
        </row>
        <row r="6774">
          <cell r="N6774">
            <v>-0.72899999999999998</v>
          </cell>
        </row>
        <row r="6775">
          <cell r="N6775">
            <v>-24.827000000000002</v>
          </cell>
        </row>
        <row r="6776">
          <cell r="N6776">
            <v>-3.2090000000000001</v>
          </cell>
        </row>
        <row r="6777">
          <cell r="N6777">
            <v>-6.15</v>
          </cell>
        </row>
        <row r="6778">
          <cell r="N6778">
            <v>-1.1599999999999999</v>
          </cell>
        </row>
        <row r="6779">
          <cell r="N6779">
            <v>-10.208</v>
          </cell>
        </row>
        <row r="6780">
          <cell r="N6780">
            <v>-1.2050000000000001</v>
          </cell>
        </row>
        <row r="6781">
          <cell r="N6781">
            <v>-9.532</v>
          </cell>
        </row>
        <row r="6782">
          <cell r="N6782">
            <v>-1.012</v>
          </cell>
        </row>
        <row r="6783">
          <cell r="N6783">
            <v>-12.673999999999999</v>
          </cell>
        </row>
        <row r="6784">
          <cell r="N6784">
            <v>-10.492000000000001</v>
          </cell>
        </row>
        <row r="6785">
          <cell r="N6785">
            <v>-0.26</v>
          </cell>
        </row>
        <row r="6786">
          <cell r="N6786">
            <v>-7.3419999999999996</v>
          </cell>
        </row>
        <row r="6787">
          <cell r="N6787">
            <v>-2.7290000000000001</v>
          </cell>
        </row>
        <row r="6788">
          <cell r="N6788">
            <v>-1.339</v>
          </cell>
        </row>
        <row r="6789">
          <cell r="N6789">
            <v>-0.36799999999999999</v>
          </cell>
        </row>
        <row r="6790">
          <cell r="N6790">
            <v>-0.75900000000000001</v>
          </cell>
        </row>
        <row r="6791">
          <cell r="N6791">
            <v>-2.0680000000000001</v>
          </cell>
        </row>
        <row r="6792">
          <cell r="N6792">
            <v>-6.2309999999999999</v>
          </cell>
        </row>
        <row r="6793">
          <cell r="N6793">
            <v>-9.8160000000000007</v>
          </cell>
        </row>
        <row r="6794">
          <cell r="N6794">
            <v>-3.7829999999999999</v>
          </cell>
        </row>
        <row r="6795">
          <cell r="N6795">
            <v>-13.436</v>
          </cell>
        </row>
        <row r="6796">
          <cell r="N6796">
            <v>-0.33100000000000002</v>
          </cell>
        </row>
        <row r="6797">
          <cell r="N6797">
            <v>-3.4950000000000001</v>
          </cell>
        </row>
        <row r="6798">
          <cell r="N6798">
            <v>-2.7629999999999999</v>
          </cell>
        </row>
        <row r="6799">
          <cell r="N6799">
            <v>-14.808</v>
          </cell>
        </row>
        <row r="6800">
          <cell r="N6800">
            <v>-1.2050000000000001</v>
          </cell>
        </row>
        <row r="6801">
          <cell r="N6801">
            <v>-1.339</v>
          </cell>
        </row>
        <row r="6802">
          <cell r="N6802">
            <v>-4.8090000000000002</v>
          </cell>
        </row>
        <row r="6803">
          <cell r="N6803">
            <v>-4.6079999999999997</v>
          </cell>
        </row>
        <row r="6804">
          <cell r="N6804">
            <v>-1.2050000000000001</v>
          </cell>
        </row>
        <row r="6805">
          <cell r="N6805">
            <v>-11.791</v>
          </cell>
        </row>
        <row r="6806">
          <cell r="N6806">
            <v>-0.30399999999999999</v>
          </cell>
        </row>
        <row r="6807">
          <cell r="N6807">
            <v>-1.056</v>
          </cell>
        </row>
        <row r="6808">
          <cell r="N6808">
            <v>-22.707000000000001</v>
          </cell>
        </row>
        <row r="6809">
          <cell r="N6809">
            <v>-3.4780000000000002</v>
          </cell>
        </row>
        <row r="6810">
          <cell r="N6810">
            <v>-13.853999999999999</v>
          </cell>
        </row>
        <row r="6811">
          <cell r="N6811">
            <v>-1.577</v>
          </cell>
        </row>
        <row r="6812">
          <cell r="N6812">
            <v>-11.595000000000001</v>
          </cell>
        </row>
        <row r="6813">
          <cell r="N6813">
            <v>-0.27</v>
          </cell>
        </row>
        <row r="6814">
          <cell r="N6814">
            <v>-4.9130000000000003</v>
          </cell>
        </row>
        <row r="6815">
          <cell r="N6815">
            <v>-1.86</v>
          </cell>
        </row>
        <row r="6816">
          <cell r="N6816">
            <v>-1.3979999999999999</v>
          </cell>
        </row>
        <row r="6817">
          <cell r="N6817">
            <v>-26.038</v>
          </cell>
        </row>
        <row r="6818">
          <cell r="N6818">
            <v>-16.452999999999999</v>
          </cell>
        </row>
        <row r="6819">
          <cell r="N6819">
            <v>-1.1459999999999999</v>
          </cell>
        </row>
        <row r="6820">
          <cell r="N6820">
            <v>-1.175</v>
          </cell>
        </row>
        <row r="6821">
          <cell r="N6821">
            <v>-9.141</v>
          </cell>
        </row>
        <row r="6822">
          <cell r="N6822">
            <v>-0.32800000000000001</v>
          </cell>
        </row>
        <row r="6823">
          <cell r="N6823">
            <v>-1.294</v>
          </cell>
        </row>
        <row r="6824">
          <cell r="N6824">
            <v>-0.371</v>
          </cell>
        </row>
        <row r="6825">
          <cell r="N6825">
            <v>-1.25</v>
          </cell>
        </row>
        <row r="6826">
          <cell r="N6826">
            <v>-5.1280000000000001</v>
          </cell>
        </row>
        <row r="6827">
          <cell r="N6827">
            <v>-0.24</v>
          </cell>
        </row>
        <row r="6828">
          <cell r="N6828">
            <v>-4.7869999999999999</v>
          </cell>
        </row>
        <row r="6829">
          <cell r="N6829">
            <v>-16.507000000000001</v>
          </cell>
        </row>
        <row r="6830">
          <cell r="N6830">
            <v>-8.0150000000000006</v>
          </cell>
        </row>
        <row r="6831">
          <cell r="N6831">
            <v>-16.178999999999998</v>
          </cell>
        </row>
        <row r="6832">
          <cell r="N6832">
            <v>-1.3240000000000001</v>
          </cell>
        </row>
        <row r="6833">
          <cell r="N6833">
            <v>-8.9629999999999992</v>
          </cell>
        </row>
        <row r="6834">
          <cell r="N6834">
            <v>-1.101</v>
          </cell>
        </row>
        <row r="6835">
          <cell r="N6835">
            <v>-0.29699999999999999</v>
          </cell>
        </row>
        <row r="6836">
          <cell r="N6836">
            <v>-1.22</v>
          </cell>
        </row>
        <row r="6837">
          <cell r="N6837">
            <v>-1.3839999999999999</v>
          </cell>
        </row>
        <row r="6838">
          <cell r="N6838">
            <v>-1.2050000000000001</v>
          </cell>
        </row>
        <row r="6839">
          <cell r="N6839">
            <v>-6.5670000000000002</v>
          </cell>
        </row>
        <row r="6840">
          <cell r="N6840">
            <v>-0.26300000000000001</v>
          </cell>
        </row>
        <row r="6841">
          <cell r="N6841">
            <v>-14.343</v>
          </cell>
        </row>
        <row r="6842">
          <cell r="N6842">
            <v>-1.875</v>
          </cell>
        </row>
        <row r="6843">
          <cell r="N6843">
            <v>-4.0609999999999999</v>
          </cell>
        </row>
        <row r="6844">
          <cell r="N6844">
            <v>-1.369</v>
          </cell>
        </row>
        <row r="6845">
          <cell r="N6845">
            <v>-100</v>
          </cell>
        </row>
        <row r="6846">
          <cell r="N6846">
            <v>-19.742999999999999</v>
          </cell>
        </row>
        <row r="6847">
          <cell r="N6847">
            <v>-0.27400000000000002</v>
          </cell>
        </row>
        <row r="6848">
          <cell r="N6848">
            <v>-1.4730000000000001</v>
          </cell>
        </row>
        <row r="6849">
          <cell r="N6849">
            <v>-1.3839999999999999</v>
          </cell>
        </row>
        <row r="6850">
          <cell r="N6850">
            <v>-1.83</v>
          </cell>
        </row>
        <row r="6851">
          <cell r="N6851">
            <v>-8.6780000000000008</v>
          </cell>
        </row>
        <row r="6852">
          <cell r="N6852">
            <v>-0.27400000000000002</v>
          </cell>
        </row>
        <row r="6853">
          <cell r="N6853">
            <v>-1.3540000000000001</v>
          </cell>
        </row>
        <row r="6854">
          <cell r="N6854">
            <v>-1.631</v>
          </cell>
        </row>
        <row r="6855">
          <cell r="N6855">
            <v>-1.294</v>
          </cell>
        </row>
        <row r="6856">
          <cell r="N6856">
            <v>-1.294</v>
          </cell>
        </row>
        <row r="6857">
          <cell r="N6857">
            <v>-0.33800000000000002</v>
          </cell>
        </row>
        <row r="6858">
          <cell r="N6858">
            <v>-1.101</v>
          </cell>
        </row>
        <row r="6859">
          <cell r="N6859">
            <v>-1.86</v>
          </cell>
        </row>
        <row r="6860">
          <cell r="N6860">
            <v>-3.395</v>
          </cell>
        </row>
        <row r="6861">
          <cell r="N6861">
            <v>-1.9790000000000001</v>
          </cell>
        </row>
        <row r="6862">
          <cell r="N6862">
            <v>-1.056</v>
          </cell>
        </row>
        <row r="6863">
          <cell r="N6863">
            <v>-10.135999999999999</v>
          </cell>
        </row>
        <row r="6864">
          <cell r="N6864">
            <v>-1.2789999999999999</v>
          </cell>
        </row>
        <row r="6865">
          <cell r="N6865">
            <v>-0.30399999999999999</v>
          </cell>
        </row>
        <row r="6866">
          <cell r="N6866">
            <v>-1.488</v>
          </cell>
        </row>
        <row r="6867">
          <cell r="N6867">
            <v>-0.29699999999999999</v>
          </cell>
        </row>
        <row r="6868">
          <cell r="N6868">
            <v>-5.72</v>
          </cell>
        </row>
        <row r="6869">
          <cell r="N6869">
            <v>-3.5950000000000002</v>
          </cell>
        </row>
        <row r="6870">
          <cell r="N6870">
            <v>-1.3089999999999999</v>
          </cell>
        </row>
        <row r="6871">
          <cell r="N6871">
            <v>-11.243</v>
          </cell>
        </row>
        <row r="6872">
          <cell r="N6872">
            <v>-24.373000000000001</v>
          </cell>
        </row>
        <row r="6873">
          <cell r="N6873">
            <v>-1.2050000000000001</v>
          </cell>
        </row>
        <row r="6874">
          <cell r="N6874">
            <v>-0.33800000000000002</v>
          </cell>
        </row>
        <row r="6875">
          <cell r="N6875">
            <v>-15.456</v>
          </cell>
        </row>
        <row r="6876">
          <cell r="N6876">
            <v>-3.927</v>
          </cell>
        </row>
        <row r="6877">
          <cell r="N6877">
            <v>-1.22</v>
          </cell>
        </row>
        <row r="6878">
          <cell r="N6878">
            <v>-2.496</v>
          </cell>
        </row>
        <row r="6879">
          <cell r="N6879">
            <v>-6.7480000000000002</v>
          </cell>
        </row>
        <row r="6880">
          <cell r="N6880">
            <v>-4.16</v>
          </cell>
        </row>
        <row r="6881">
          <cell r="N6881">
            <v>-0.314</v>
          </cell>
        </row>
        <row r="6882">
          <cell r="N6882">
            <v>-0.39200000000000002</v>
          </cell>
        </row>
        <row r="6883">
          <cell r="N6883">
            <v>-3.5680000000000001</v>
          </cell>
        </row>
        <row r="6884">
          <cell r="N6884">
            <v>-0.223</v>
          </cell>
        </row>
        <row r="6885">
          <cell r="N6885">
            <v>-5.8810000000000002</v>
          </cell>
        </row>
        <row r="6886">
          <cell r="N6886">
            <v>-0.25</v>
          </cell>
        </row>
        <row r="6887">
          <cell r="N6887">
            <v>-1.7110000000000001</v>
          </cell>
        </row>
        <row r="6888">
          <cell r="N6888">
            <v>-0.32400000000000001</v>
          </cell>
        </row>
        <row r="6889">
          <cell r="N6889">
            <v>-16.507000000000001</v>
          </cell>
        </row>
        <row r="6890">
          <cell r="N6890">
            <v>-0.25700000000000001</v>
          </cell>
        </row>
        <row r="6891">
          <cell r="N6891">
            <v>-1.131</v>
          </cell>
        </row>
        <row r="6892">
          <cell r="N6892">
            <v>-4.1269999999999998</v>
          </cell>
        </row>
        <row r="6893">
          <cell r="N6893">
            <v>-1.22</v>
          </cell>
        </row>
        <row r="6894">
          <cell r="N6894">
            <v>-0.26</v>
          </cell>
        </row>
        <row r="6895">
          <cell r="N6895">
            <v>-3.3279999999999998</v>
          </cell>
        </row>
        <row r="6896">
          <cell r="N6896">
            <v>-0.32800000000000001</v>
          </cell>
        </row>
        <row r="6897">
          <cell r="N6897">
            <v>-1.3089999999999999</v>
          </cell>
        </row>
        <row r="6898">
          <cell r="N6898">
            <v>-23.01</v>
          </cell>
        </row>
        <row r="6899">
          <cell r="N6899">
            <v>-3.6949999999999998</v>
          </cell>
        </row>
        <row r="6900">
          <cell r="N6900">
            <v>-1.845</v>
          </cell>
        </row>
        <row r="6901">
          <cell r="N6901">
            <v>-1.651</v>
          </cell>
        </row>
        <row r="6902">
          <cell r="N6902">
            <v>-1.6220000000000001</v>
          </cell>
        </row>
        <row r="6903">
          <cell r="N6903">
            <v>-1.756</v>
          </cell>
        </row>
        <row r="6904">
          <cell r="N6904">
            <v>-6.6440000000000001</v>
          </cell>
        </row>
        <row r="6905">
          <cell r="N6905">
            <v>-5.0739999999999998</v>
          </cell>
        </row>
        <row r="6906">
          <cell r="N6906">
            <v>-1.607</v>
          </cell>
        </row>
        <row r="6907">
          <cell r="N6907">
            <v>-16.452999999999999</v>
          </cell>
        </row>
        <row r="6908">
          <cell r="N6908">
            <v>-1.5920000000000001</v>
          </cell>
        </row>
        <row r="6909">
          <cell r="N6909">
            <v>-15.58</v>
          </cell>
        </row>
        <row r="6910">
          <cell r="N6910">
            <v>-4.3940000000000001</v>
          </cell>
        </row>
        <row r="6911">
          <cell r="N6911">
            <v>-15.356</v>
          </cell>
        </row>
        <row r="6912">
          <cell r="N6912">
            <v>-1.77</v>
          </cell>
        </row>
        <row r="6913">
          <cell r="N6913">
            <v>-1.131</v>
          </cell>
        </row>
        <row r="6914">
          <cell r="N6914">
            <v>-6.1529999999999996</v>
          </cell>
        </row>
        <row r="6915">
          <cell r="N6915">
            <v>-1.5029999999999999</v>
          </cell>
        </row>
        <row r="6916">
          <cell r="N6916">
            <v>-1.19</v>
          </cell>
        </row>
        <row r="6917">
          <cell r="N6917">
            <v>-0.35099999999999998</v>
          </cell>
        </row>
        <row r="6918">
          <cell r="N6918">
            <v>-3.64</v>
          </cell>
        </row>
        <row r="6919">
          <cell r="N6919">
            <v>-20.890999999999998</v>
          </cell>
        </row>
        <row r="6920">
          <cell r="N6920">
            <v>-1.3540000000000001</v>
          </cell>
        </row>
        <row r="6921">
          <cell r="N6921">
            <v>-1.294</v>
          </cell>
        </row>
        <row r="6922">
          <cell r="N6922">
            <v>-17.434999999999999</v>
          </cell>
        </row>
        <row r="6923">
          <cell r="N6923">
            <v>-8.9979999999999993</v>
          </cell>
        </row>
        <row r="6924">
          <cell r="N6924">
            <v>-0.498</v>
          </cell>
        </row>
        <row r="6925">
          <cell r="N6925">
            <v>-2.5960000000000001</v>
          </cell>
        </row>
        <row r="6926">
          <cell r="N6926">
            <v>-6.6180000000000003</v>
          </cell>
        </row>
        <row r="6927">
          <cell r="N6927">
            <v>-1.175</v>
          </cell>
        </row>
        <row r="6928">
          <cell r="N6928">
            <v>-0.28699999999999998</v>
          </cell>
        </row>
        <row r="6929">
          <cell r="N6929">
            <v>-19.195</v>
          </cell>
        </row>
        <row r="6930">
          <cell r="N6930">
            <v>-5.7910000000000004</v>
          </cell>
        </row>
        <row r="6931">
          <cell r="N6931">
            <v>-0.33100000000000002</v>
          </cell>
        </row>
        <row r="6932">
          <cell r="N6932">
            <v>-0.16900000000000001</v>
          </cell>
        </row>
        <row r="6933">
          <cell r="N6933">
            <v>-22.405000000000001</v>
          </cell>
        </row>
        <row r="6934">
          <cell r="N6934">
            <v>-1.5029999999999999</v>
          </cell>
        </row>
        <row r="6935">
          <cell r="N6935">
            <v>-1.577</v>
          </cell>
        </row>
        <row r="6936">
          <cell r="N6936">
            <v>-3.0619999999999998</v>
          </cell>
        </row>
        <row r="6937">
          <cell r="N6937">
            <v>-4.0609999999999999</v>
          </cell>
        </row>
        <row r="6938">
          <cell r="N6938">
            <v>-1.369</v>
          </cell>
        </row>
        <row r="6939">
          <cell r="N6939">
            <v>-5.4859999999999998</v>
          </cell>
        </row>
        <row r="6940">
          <cell r="N6940">
            <v>-6.7990000000000004</v>
          </cell>
        </row>
        <row r="6941">
          <cell r="N6941">
            <v>-20.21</v>
          </cell>
        </row>
        <row r="6942">
          <cell r="N6942">
            <v>-8.0020000000000007</v>
          </cell>
        </row>
        <row r="6943">
          <cell r="N6943">
            <v>-8.8209999999999997</v>
          </cell>
        </row>
        <row r="6944">
          <cell r="N6944">
            <v>-9.2829999999999995</v>
          </cell>
        </row>
        <row r="6945">
          <cell r="N6945">
            <v>-3.0289999999999999</v>
          </cell>
        </row>
        <row r="6946">
          <cell r="N6946">
            <v>-0.127</v>
          </cell>
        </row>
        <row r="6947">
          <cell r="N6947">
            <v>-13.711</v>
          </cell>
        </row>
        <row r="6948">
          <cell r="N6948">
            <v>-3.6949999999999998</v>
          </cell>
        </row>
        <row r="6949">
          <cell r="N6949">
            <v>-20.018000000000001</v>
          </cell>
        </row>
        <row r="6950">
          <cell r="N6950">
            <v>-1.22</v>
          </cell>
        </row>
        <row r="6951">
          <cell r="N6951">
            <v>-1.25</v>
          </cell>
        </row>
        <row r="6952">
          <cell r="N6952">
            <v>-4.1059999999999999</v>
          </cell>
        </row>
        <row r="6953">
          <cell r="N6953">
            <v>-1.369</v>
          </cell>
        </row>
        <row r="6954">
          <cell r="N6954">
            <v>-1.3540000000000001</v>
          </cell>
        </row>
        <row r="6955">
          <cell r="N6955">
            <v>-1.175</v>
          </cell>
        </row>
        <row r="6956">
          <cell r="N6956">
            <v>-4.1260000000000003</v>
          </cell>
        </row>
        <row r="6957">
          <cell r="N6957">
            <v>-3.3620000000000001</v>
          </cell>
        </row>
        <row r="6958">
          <cell r="N6958">
            <v>-1.875</v>
          </cell>
        </row>
        <row r="6959">
          <cell r="N6959">
            <v>-4.5720000000000001</v>
          </cell>
        </row>
        <row r="6960">
          <cell r="N6960">
            <v>-15.271000000000001</v>
          </cell>
        </row>
        <row r="6961">
          <cell r="N6961">
            <v>-1.6659999999999999</v>
          </cell>
        </row>
        <row r="6962">
          <cell r="N6962">
            <v>-2.0640000000000001</v>
          </cell>
        </row>
        <row r="6963">
          <cell r="N6963">
            <v>-10.279</v>
          </cell>
        </row>
        <row r="6964">
          <cell r="N6964">
            <v>-2.7959999999999998</v>
          </cell>
        </row>
        <row r="6965">
          <cell r="N6965">
            <v>-2.0379999999999998</v>
          </cell>
        </row>
        <row r="6966">
          <cell r="N6966">
            <v>-1.4430000000000001</v>
          </cell>
        </row>
        <row r="6967">
          <cell r="N6967">
            <v>-5.7140000000000004</v>
          </cell>
        </row>
        <row r="6968">
          <cell r="N6968">
            <v>-162</v>
          </cell>
        </row>
        <row r="6969">
          <cell r="N6969">
            <v>-4.9130000000000003</v>
          </cell>
        </row>
        <row r="6970">
          <cell r="N6970">
            <v>-5.6660000000000004</v>
          </cell>
        </row>
        <row r="6971">
          <cell r="N6971">
            <v>-1.2649999999999999</v>
          </cell>
        </row>
        <row r="6972">
          <cell r="N6972">
            <v>-15.085000000000001</v>
          </cell>
        </row>
        <row r="6973">
          <cell r="N6973">
            <v>-19.527999999999999</v>
          </cell>
        </row>
        <row r="6974">
          <cell r="N6974">
            <v>-1.2649999999999999</v>
          </cell>
        </row>
        <row r="6975">
          <cell r="N6975">
            <v>-1.696</v>
          </cell>
        </row>
        <row r="6976">
          <cell r="N6976">
            <v>-21.648</v>
          </cell>
        </row>
        <row r="6977">
          <cell r="N6977">
            <v>-1.2350000000000001</v>
          </cell>
        </row>
        <row r="6978">
          <cell r="N6978">
            <v>-5.5069999999999997</v>
          </cell>
        </row>
        <row r="6979">
          <cell r="N6979">
            <v>-1.0860000000000001</v>
          </cell>
        </row>
        <row r="6980">
          <cell r="N6980">
            <v>-5.9039999999999999</v>
          </cell>
        </row>
        <row r="6981">
          <cell r="N6981">
            <v>-8.3580000000000005</v>
          </cell>
        </row>
        <row r="6982">
          <cell r="N6982">
            <v>-1.5169999999999999</v>
          </cell>
        </row>
        <row r="6983">
          <cell r="N6983">
            <v>-8.3580000000000005</v>
          </cell>
        </row>
        <row r="6984">
          <cell r="N6984">
            <v>-1.3240000000000001</v>
          </cell>
        </row>
        <row r="6985">
          <cell r="N6985">
            <v>-3.0950000000000002</v>
          </cell>
        </row>
        <row r="6986">
          <cell r="N6986">
            <v>-5.2169999999999996</v>
          </cell>
        </row>
        <row r="6987">
          <cell r="N6987">
            <v>-4.3929999999999998</v>
          </cell>
        </row>
        <row r="6988">
          <cell r="N6988">
            <v>-1.845</v>
          </cell>
        </row>
        <row r="6989">
          <cell r="N6989">
            <v>-1.4279999999999999</v>
          </cell>
        </row>
        <row r="6990">
          <cell r="N6990">
            <v>-15.456</v>
          </cell>
        </row>
        <row r="6991">
          <cell r="N6991">
            <v>-2.2410000000000001</v>
          </cell>
        </row>
        <row r="6992">
          <cell r="N6992">
            <v>-3.2949999999999999</v>
          </cell>
        </row>
        <row r="6993">
          <cell r="N6993">
            <v>-1.1160000000000001</v>
          </cell>
        </row>
        <row r="6994">
          <cell r="N6994">
            <v>-9.4250000000000007</v>
          </cell>
        </row>
        <row r="6995">
          <cell r="N6995">
            <v>-13.602</v>
          </cell>
        </row>
        <row r="6996">
          <cell r="N6996">
            <v>-11.488</v>
          </cell>
        </row>
        <row r="6997">
          <cell r="N6997">
            <v>-1.4730000000000001</v>
          </cell>
        </row>
        <row r="6998">
          <cell r="N6998">
            <v>-1.19</v>
          </cell>
        </row>
        <row r="6999">
          <cell r="N6999">
            <v>-9.6739999999999995</v>
          </cell>
        </row>
        <row r="7000">
          <cell r="N7000">
            <v>-8.7490000000000006</v>
          </cell>
        </row>
        <row r="7001">
          <cell r="N7001">
            <v>-23.236999999999998</v>
          </cell>
        </row>
        <row r="7002">
          <cell r="N7002">
            <v>-1.5289999999999999</v>
          </cell>
        </row>
        <row r="7003">
          <cell r="N7003">
            <v>-5.2</v>
          </cell>
        </row>
        <row r="7004">
          <cell r="N7004">
            <v>-5.2640000000000002</v>
          </cell>
        </row>
        <row r="7005">
          <cell r="N7005">
            <v>-1.488</v>
          </cell>
        </row>
        <row r="7006">
          <cell r="N7006">
            <v>-1.294</v>
          </cell>
        </row>
        <row r="7007">
          <cell r="N7007">
            <v>-5.1639999999999997</v>
          </cell>
        </row>
        <row r="7008">
          <cell r="N7008">
            <v>-1.0860000000000001</v>
          </cell>
        </row>
        <row r="7009">
          <cell r="N7009">
            <v>-8.6069999999999993</v>
          </cell>
        </row>
        <row r="7010">
          <cell r="N7010">
            <v>-5.8810000000000002</v>
          </cell>
        </row>
        <row r="7011">
          <cell r="N7011">
            <v>-14.467000000000001</v>
          </cell>
        </row>
        <row r="7012">
          <cell r="N7012">
            <v>-1.5620000000000001</v>
          </cell>
        </row>
        <row r="7013">
          <cell r="N7013">
            <v>-1.19</v>
          </cell>
        </row>
        <row r="7014">
          <cell r="N7014">
            <v>-1.889</v>
          </cell>
        </row>
        <row r="7015">
          <cell r="N7015">
            <v>-1.25</v>
          </cell>
        </row>
        <row r="7016">
          <cell r="N7016">
            <v>-1.25</v>
          </cell>
        </row>
        <row r="7017">
          <cell r="N7017">
            <v>-2.3130000000000002</v>
          </cell>
        </row>
        <row r="7018">
          <cell r="N7018">
            <v>-5.6120000000000001</v>
          </cell>
        </row>
        <row r="7019">
          <cell r="N7019">
            <v>-8.6069999999999993</v>
          </cell>
        </row>
        <row r="7020">
          <cell r="N7020">
            <v>-1.19</v>
          </cell>
        </row>
        <row r="7021">
          <cell r="N7021">
            <v>-5.2169999999999996</v>
          </cell>
        </row>
        <row r="7022">
          <cell r="N7022">
            <v>-1.577</v>
          </cell>
        </row>
        <row r="7023">
          <cell r="N7023">
            <v>-23.388999999999999</v>
          </cell>
        </row>
        <row r="7024">
          <cell r="N7024">
            <v>-1.294</v>
          </cell>
        </row>
        <row r="7025">
          <cell r="N7025">
            <v>-5.2350000000000003</v>
          </cell>
        </row>
        <row r="7026">
          <cell r="N7026">
            <v>-0.33900000000000002</v>
          </cell>
        </row>
        <row r="7027">
          <cell r="N7027">
            <v>-0.17</v>
          </cell>
        </row>
        <row r="7028">
          <cell r="N7028">
            <v>-4.1779999999999999</v>
          </cell>
        </row>
        <row r="7029">
          <cell r="N7029">
            <v>-1.526</v>
          </cell>
        </row>
        <row r="7030">
          <cell r="N7030">
            <v>-15.765000000000001</v>
          </cell>
        </row>
        <row r="7031">
          <cell r="N7031">
            <v>-11.452</v>
          </cell>
        </row>
        <row r="7032">
          <cell r="N7032">
            <v>-1.2050000000000001</v>
          </cell>
        </row>
        <row r="7033">
          <cell r="N7033">
            <v>-1.131</v>
          </cell>
        </row>
        <row r="7034">
          <cell r="N7034">
            <v>-9.4250000000000007</v>
          </cell>
        </row>
        <row r="7035">
          <cell r="N7035">
            <v>-1.6659999999999999</v>
          </cell>
        </row>
        <row r="7036">
          <cell r="N7036">
            <v>-1.2649999999999999</v>
          </cell>
        </row>
        <row r="7037">
          <cell r="N7037">
            <v>-5.2</v>
          </cell>
        </row>
        <row r="7038">
          <cell r="N7038">
            <v>-1.3240000000000001</v>
          </cell>
        </row>
        <row r="7039">
          <cell r="N7039">
            <v>-1.25</v>
          </cell>
        </row>
        <row r="7040">
          <cell r="N7040">
            <v>-324</v>
          </cell>
        </row>
        <row r="7041">
          <cell r="N7041">
            <v>-0.69899999999999995</v>
          </cell>
        </row>
        <row r="7042">
          <cell r="N7042">
            <v>-8.5359999999999996</v>
          </cell>
        </row>
        <row r="7043">
          <cell r="N7043">
            <v>-1.4730000000000001</v>
          </cell>
        </row>
        <row r="7044">
          <cell r="N7044">
            <v>-4.54</v>
          </cell>
        </row>
        <row r="7045">
          <cell r="N7045">
            <v>-126.8</v>
          </cell>
        </row>
        <row r="7046">
          <cell r="N7046">
            <v>-20.105</v>
          </cell>
        </row>
        <row r="7047">
          <cell r="N7047">
            <v>-18.369</v>
          </cell>
        </row>
        <row r="7048">
          <cell r="N7048">
            <v>-8.0419999999999998</v>
          </cell>
        </row>
        <row r="7049">
          <cell r="N7049">
            <v>-523.15800000000002</v>
          </cell>
        </row>
        <row r="7050">
          <cell r="N7050">
            <v>-19.853000000000002</v>
          </cell>
        </row>
        <row r="7051">
          <cell r="N7051">
            <v>-21.326000000000001</v>
          </cell>
        </row>
        <row r="7052">
          <cell r="N7052">
            <v>-21.254000000000001</v>
          </cell>
        </row>
        <row r="7053">
          <cell r="N7053">
            <v>-19.962</v>
          </cell>
        </row>
        <row r="7054">
          <cell r="N7054">
            <v>-183.9</v>
          </cell>
        </row>
        <row r="7055">
          <cell r="N7055">
            <v>-16.425000000000001</v>
          </cell>
        </row>
        <row r="7056">
          <cell r="N7056">
            <v>-400</v>
          </cell>
        </row>
        <row r="7057">
          <cell r="N7057">
            <v>-21.398</v>
          </cell>
        </row>
        <row r="7058">
          <cell r="N7058">
            <v>-18.812999999999999</v>
          </cell>
        </row>
        <row r="7059">
          <cell r="N7059">
            <v>-20.248999999999999</v>
          </cell>
        </row>
        <row r="7060">
          <cell r="N7060">
            <v>-15.853999999999999</v>
          </cell>
        </row>
        <row r="7061">
          <cell r="N7061">
            <v>-18.812999999999999</v>
          </cell>
        </row>
        <row r="7062">
          <cell r="N7062">
            <v>-19.962</v>
          </cell>
        </row>
        <row r="7063">
          <cell r="N7063">
            <v>-22.486000000000001</v>
          </cell>
        </row>
        <row r="7064">
          <cell r="N7064">
            <v>-20.033999999999999</v>
          </cell>
        </row>
        <row r="7065">
          <cell r="N7065">
            <v>-20.321000000000002</v>
          </cell>
        </row>
        <row r="7066">
          <cell r="N7066">
            <v>-20.966999999999999</v>
          </cell>
        </row>
        <row r="7067">
          <cell r="N7067">
            <v>-20.177</v>
          </cell>
        </row>
        <row r="7068">
          <cell r="N7068">
            <v>-22.064</v>
          </cell>
        </row>
        <row r="7069">
          <cell r="N7069">
            <v>-19.745999999999999</v>
          </cell>
        </row>
        <row r="7070">
          <cell r="N7070">
            <v>-18.353999999999999</v>
          </cell>
        </row>
        <row r="7071">
          <cell r="N7071">
            <v>-21.853000000000002</v>
          </cell>
        </row>
        <row r="7072">
          <cell r="N7072">
            <v>-21.254000000000001</v>
          </cell>
        </row>
        <row r="7073">
          <cell r="N7073">
            <v>-18.885000000000002</v>
          </cell>
        </row>
        <row r="7074">
          <cell r="N7074">
            <v>-20.895</v>
          </cell>
        </row>
        <row r="7075">
          <cell r="N7075">
            <v>-19.387</v>
          </cell>
        </row>
        <row r="7076">
          <cell r="N7076">
            <v>-22.908999999999999</v>
          </cell>
        </row>
        <row r="7077">
          <cell r="N7077">
            <v>-16.515000000000001</v>
          </cell>
        </row>
        <row r="7078">
          <cell r="N7078">
            <v>-17.233000000000001</v>
          </cell>
        </row>
        <row r="7079">
          <cell r="N7079">
            <v>-19.282</v>
          </cell>
        </row>
        <row r="7080">
          <cell r="N7080">
            <v>-21.183</v>
          </cell>
        </row>
        <row r="7081">
          <cell r="N7081">
            <v>-19.952999999999999</v>
          </cell>
        </row>
        <row r="7082">
          <cell r="N7082">
            <v>-18.239000000000001</v>
          </cell>
        </row>
        <row r="7083">
          <cell r="N7083">
            <v>-26.815000000000001</v>
          </cell>
        </row>
        <row r="7084">
          <cell r="N7084">
            <v>-21.22</v>
          </cell>
        </row>
        <row r="7085">
          <cell r="N7085">
            <v>-16.587</v>
          </cell>
        </row>
        <row r="7086">
          <cell r="N7086">
            <v>-21.684999999999999</v>
          </cell>
        </row>
        <row r="7087">
          <cell r="N7087">
            <v>-22.853000000000002</v>
          </cell>
        </row>
        <row r="7088">
          <cell r="N7088">
            <v>-51.173000000000002</v>
          </cell>
        </row>
        <row r="7089">
          <cell r="N7089">
            <v>-5.5949999999999998</v>
          </cell>
        </row>
        <row r="7090">
          <cell r="N7090">
            <v>-15.223000000000001</v>
          </cell>
        </row>
        <row r="7091">
          <cell r="N7091">
            <v>-1301.751</v>
          </cell>
        </row>
        <row r="7092">
          <cell r="N7092">
            <v>-123.158</v>
          </cell>
        </row>
        <row r="7093">
          <cell r="N7093">
            <v>-14.505000000000001</v>
          </cell>
        </row>
        <row r="7094">
          <cell r="N7094">
            <v>-20.751999999999999</v>
          </cell>
        </row>
        <row r="7095">
          <cell r="N7095">
            <v>-17.997</v>
          </cell>
        </row>
        <row r="7096">
          <cell r="N7096">
            <v>-21.254000000000001</v>
          </cell>
        </row>
        <row r="7097">
          <cell r="N7097">
            <v>-19.925000000000001</v>
          </cell>
        </row>
        <row r="7098">
          <cell r="N7098">
            <v>-21.183</v>
          </cell>
        </row>
        <row r="7099">
          <cell r="N7099">
            <v>-21.183</v>
          </cell>
        </row>
        <row r="7100">
          <cell r="N7100">
            <v>-31.46</v>
          </cell>
        </row>
        <row r="7101">
          <cell r="N7101">
            <v>-20.895</v>
          </cell>
        </row>
        <row r="7102">
          <cell r="N7102">
            <v>-17.568000000000001</v>
          </cell>
        </row>
        <row r="7103">
          <cell r="N7103">
            <v>-19.952999999999999</v>
          </cell>
        </row>
        <row r="7104">
          <cell r="N7104">
            <v>-22.067</v>
          </cell>
        </row>
        <row r="7105">
          <cell r="N7105">
            <v>-1011</v>
          </cell>
        </row>
        <row r="7106">
          <cell r="N7106">
            <v>-19.315999999999999</v>
          </cell>
        </row>
        <row r="7107">
          <cell r="N7107">
            <v>-20.995999999999999</v>
          </cell>
        </row>
        <row r="7108">
          <cell r="N7108">
            <v>-12.894</v>
          </cell>
        </row>
        <row r="7109">
          <cell r="N7109">
            <v>-22.905999999999999</v>
          </cell>
        </row>
        <row r="7110">
          <cell r="N7110">
            <v>-21.398</v>
          </cell>
        </row>
        <row r="7111">
          <cell r="N7111">
            <v>-22.71</v>
          </cell>
        </row>
        <row r="7112">
          <cell r="N7112">
            <v>-17.068000000000001</v>
          </cell>
        </row>
        <row r="7113">
          <cell r="N7113">
            <v>-19.387</v>
          </cell>
        </row>
        <row r="7114">
          <cell r="N7114">
            <v>-22.331</v>
          </cell>
        </row>
        <row r="7115">
          <cell r="N7115">
            <v>-23.753</v>
          </cell>
        </row>
        <row r="7116">
          <cell r="N7116">
            <v>-20.321000000000002</v>
          </cell>
        </row>
        <row r="7117">
          <cell r="N7117">
            <v>-21.782</v>
          </cell>
        </row>
        <row r="7118">
          <cell r="N7118">
            <v>-18.475000000000001</v>
          </cell>
        </row>
        <row r="7119">
          <cell r="N7119">
            <v>-1011</v>
          </cell>
        </row>
        <row r="7120">
          <cell r="N7120">
            <v>-18.239000000000001</v>
          </cell>
        </row>
        <row r="7121">
          <cell r="N7121">
            <v>-24.387</v>
          </cell>
        </row>
        <row r="7122">
          <cell r="N7122">
            <v>-23.331</v>
          </cell>
        </row>
        <row r="7123">
          <cell r="N7123">
            <v>-19.89</v>
          </cell>
        </row>
        <row r="7124">
          <cell r="N7124">
            <v>-20.425000000000001</v>
          </cell>
        </row>
        <row r="7125">
          <cell r="N7125">
            <v>-21.536000000000001</v>
          </cell>
        </row>
        <row r="7126">
          <cell r="N7126">
            <v>-19.231999999999999</v>
          </cell>
        </row>
        <row r="7127">
          <cell r="N7127">
            <v>-24.07</v>
          </cell>
        </row>
        <row r="7128">
          <cell r="N7128">
            <v>-18.812999999999999</v>
          </cell>
        </row>
        <row r="7129">
          <cell r="N7129">
            <v>-22.187999999999999</v>
          </cell>
        </row>
        <row r="7130">
          <cell r="N7130">
            <v>-19.782</v>
          </cell>
        </row>
        <row r="7131">
          <cell r="N7131">
            <v>-23.274999999999999</v>
          </cell>
        </row>
        <row r="7132">
          <cell r="N7132">
            <v>-21.495999999999999</v>
          </cell>
        </row>
        <row r="7133">
          <cell r="N7133">
            <v>-20.321000000000002</v>
          </cell>
        </row>
        <row r="7134">
          <cell r="N7134">
            <v>-16.155999999999999</v>
          </cell>
        </row>
        <row r="7135">
          <cell r="N7135">
            <v>-20.248999999999999</v>
          </cell>
        </row>
        <row r="7136">
          <cell r="N7136">
            <v>-21.995999999999999</v>
          </cell>
        </row>
        <row r="7137">
          <cell r="N7137">
            <v>-22.946999999999999</v>
          </cell>
        </row>
        <row r="7138">
          <cell r="N7138">
            <v>-6.3559999999999999</v>
          </cell>
        </row>
        <row r="7139">
          <cell r="N7139">
            <v>-18.597999999999999</v>
          </cell>
        </row>
        <row r="7140">
          <cell r="N7140">
            <v>-21.007999999999999</v>
          </cell>
        </row>
        <row r="7141">
          <cell r="N7141">
            <v>-19.89</v>
          </cell>
        </row>
        <row r="7142">
          <cell r="N7142">
            <v>-28.821000000000002</v>
          </cell>
        </row>
        <row r="7143">
          <cell r="N7143">
            <v>-15.997</v>
          </cell>
        </row>
        <row r="7144">
          <cell r="N7144">
            <v>-21.853000000000002</v>
          </cell>
        </row>
        <row r="7145">
          <cell r="N7145">
            <v>-16.425000000000001</v>
          </cell>
        </row>
        <row r="7146">
          <cell r="N7146">
            <v>-14.864000000000001</v>
          </cell>
        </row>
        <row r="7147">
          <cell r="N7147">
            <v>-15.151</v>
          </cell>
        </row>
        <row r="7148">
          <cell r="N7148">
            <v>-16.710999999999999</v>
          </cell>
        </row>
        <row r="7149">
          <cell r="N7149">
            <v>-19.89</v>
          </cell>
        </row>
        <row r="7150">
          <cell r="N7150">
            <v>-16.802</v>
          </cell>
        </row>
        <row r="7151">
          <cell r="N7151">
            <v>-19.995999999999999</v>
          </cell>
        </row>
        <row r="7152">
          <cell r="N7152">
            <v>-23.384</v>
          </cell>
        </row>
        <row r="7153">
          <cell r="N7153">
            <v>-23.331</v>
          </cell>
        </row>
        <row r="7154">
          <cell r="N7154">
            <v>-16.587</v>
          </cell>
        </row>
        <row r="7155">
          <cell r="N7155">
            <v>-19.387</v>
          </cell>
        </row>
        <row r="7156">
          <cell r="N7156">
            <v>-18.094999999999999</v>
          </cell>
        </row>
        <row r="7157">
          <cell r="N7157">
            <v>-18.885000000000002</v>
          </cell>
        </row>
        <row r="7158">
          <cell r="N7158">
            <v>-17.018000000000001</v>
          </cell>
        </row>
        <row r="7159">
          <cell r="N7159">
            <v>-28.504000000000001</v>
          </cell>
        </row>
        <row r="7160">
          <cell r="N7160">
            <v>-26.815000000000001</v>
          </cell>
        </row>
        <row r="7161">
          <cell r="N7161">
            <v>-20.966999999999999</v>
          </cell>
        </row>
        <row r="7162">
          <cell r="N7162">
            <v>-14.648</v>
          </cell>
        </row>
        <row r="7163">
          <cell r="N7163">
            <v>-18.568000000000001</v>
          </cell>
        </row>
        <row r="7164">
          <cell r="N7164">
            <v>-20.823</v>
          </cell>
        </row>
        <row r="7165">
          <cell r="N7165">
            <v>-19.172000000000001</v>
          </cell>
        </row>
        <row r="7166">
          <cell r="N7166">
            <v>-18.568000000000001</v>
          </cell>
        </row>
        <row r="7167">
          <cell r="N7167">
            <v>-18.579999999999998</v>
          </cell>
        </row>
        <row r="7168">
          <cell r="N7168">
            <v>-20.782</v>
          </cell>
        </row>
        <row r="7169">
          <cell r="N7169">
            <v>-3.1070000000000002</v>
          </cell>
        </row>
        <row r="7170">
          <cell r="N7170">
            <v>-2.4E-2</v>
          </cell>
        </row>
        <row r="7171">
          <cell r="N7171">
            <v>-7.0000000000000001E-3</v>
          </cell>
        </row>
        <row r="7172">
          <cell r="N7172">
            <v>-17.853999999999999</v>
          </cell>
        </row>
        <row r="7173">
          <cell r="N7173">
            <v>-1.7000000000000001E-2</v>
          </cell>
        </row>
        <row r="7174">
          <cell r="N7174">
            <v>-18.925000000000001</v>
          </cell>
        </row>
        <row r="7175">
          <cell r="N7175">
            <v>-24.914000000000001</v>
          </cell>
        </row>
        <row r="7176">
          <cell r="N7176">
            <v>-2.4E-2</v>
          </cell>
        </row>
        <row r="7177">
          <cell r="N7177">
            <v>-18.741</v>
          </cell>
        </row>
        <row r="7178">
          <cell r="N7178">
            <v>-16.710999999999999</v>
          </cell>
        </row>
        <row r="7179">
          <cell r="N7179">
            <v>-17.018000000000001</v>
          </cell>
        </row>
        <row r="7180">
          <cell r="N7180">
            <v>-16.658999999999999</v>
          </cell>
        </row>
        <row r="7181">
          <cell r="N7181">
            <v>-22.274999999999999</v>
          </cell>
        </row>
        <row r="7182">
          <cell r="N7182">
            <v>-16.372</v>
          </cell>
        </row>
        <row r="7183">
          <cell r="N7183">
            <v>-10.271000000000001</v>
          </cell>
        </row>
        <row r="7184">
          <cell r="N7184">
            <v>-20.033999999999999</v>
          </cell>
        </row>
        <row r="7185">
          <cell r="N7185">
            <v>-16.210999999999999</v>
          </cell>
        </row>
        <row r="7186">
          <cell r="N7186">
            <v>-19.745999999999999</v>
          </cell>
        </row>
        <row r="7187">
          <cell r="N7187">
            <v>-16.802</v>
          </cell>
        </row>
        <row r="7188">
          <cell r="N7188">
            <v>-19.925000000000001</v>
          </cell>
        </row>
        <row r="7189">
          <cell r="N7189">
            <v>-17.782</v>
          </cell>
        </row>
        <row r="7190">
          <cell r="N7190">
            <v>-25.231000000000002</v>
          </cell>
        </row>
        <row r="7191">
          <cell r="N7191">
            <v>-16.658999999999999</v>
          </cell>
        </row>
        <row r="7192">
          <cell r="N7192">
            <v>-18.568000000000001</v>
          </cell>
        </row>
        <row r="7193">
          <cell r="N7193">
            <v>-18.579999999999998</v>
          </cell>
        </row>
        <row r="7194">
          <cell r="N7194">
            <v>-29.239000000000001</v>
          </cell>
        </row>
        <row r="7195">
          <cell r="N7195">
            <v>-17.664000000000001</v>
          </cell>
        </row>
        <row r="7196">
          <cell r="N7196">
            <v>-15.64</v>
          </cell>
        </row>
        <row r="7197">
          <cell r="N7197">
            <v>-20.393000000000001</v>
          </cell>
        </row>
        <row r="7198">
          <cell r="N7198">
            <v>-20.68</v>
          </cell>
        </row>
        <row r="7199">
          <cell r="N7199">
            <v>-22.923999999999999</v>
          </cell>
        </row>
        <row r="7200">
          <cell r="N7200">
            <v>-19.210999999999999</v>
          </cell>
        </row>
        <row r="7201">
          <cell r="N7201">
            <v>-27.658999999999999</v>
          </cell>
        </row>
        <row r="7202">
          <cell r="N7202">
            <v>-22.547000000000001</v>
          </cell>
        </row>
        <row r="7203">
          <cell r="N7203">
            <v>-29.137</v>
          </cell>
        </row>
        <row r="7204">
          <cell r="N7204">
            <v>-19.603000000000002</v>
          </cell>
        </row>
        <row r="7205">
          <cell r="N7205">
            <v>-4.4160000000000004</v>
          </cell>
        </row>
        <row r="7206">
          <cell r="N7206">
            <v>-20.033999999999999</v>
          </cell>
        </row>
        <row r="7207">
          <cell r="N7207">
            <v>-17.568000000000001</v>
          </cell>
        </row>
        <row r="7208">
          <cell r="N7208">
            <v>-26.553000000000001</v>
          </cell>
        </row>
        <row r="7209">
          <cell r="N7209">
            <v>-18.454000000000001</v>
          </cell>
        </row>
        <row r="7210">
          <cell r="N7210">
            <v>-2.4279999999999999</v>
          </cell>
        </row>
        <row r="7211">
          <cell r="N7211">
            <v>-19.635999999999999</v>
          </cell>
        </row>
        <row r="7212">
          <cell r="N7212">
            <v>-22.71</v>
          </cell>
        </row>
        <row r="7213">
          <cell r="N7213">
            <v>-29.242999999999999</v>
          </cell>
        </row>
        <row r="7214">
          <cell r="N7214">
            <v>-19.207999999999998</v>
          </cell>
        </row>
        <row r="7215">
          <cell r="N7215">
            <v>-19.244</v>
          </cell>
        </row>
        <row r="7216">
          <cell r="N7216">
            <v>-16.210999999999999</v>
          </cell>
        </row>
        <row r="7217">
          <cell r="N7217">
            <v>-18.669</v>
          </cell>
        </row>
        <row r="7218">
          <cell r="N7218">
            <v>-20.853000000000002</v>
          </cell>
        </row>
        <row r="7219">
          <cell r="N7219">
            <v>-21.526</v>
          </cell>
        </row>
        <row r="7220">
          <cell r="N7220">
            <v>-25.398</v>
          </cell>
        </row>
        <row r="7221">
          <cell r="N7221">
            <v>-20.925000000000001</v>
          </cell>
        </row>
        <row r="7222">
          <cell r="N7222">
            <v>-20.638999999999999</v>
          </cell>
        </row>
        <row r="7223">
          <cell r="N7223">
            <v>-19.887</v>
          </cell>
        </row>
        <row r="7224">
          <cell r="N7224">
            <v>-24.414000000000001</v>
          </cell>
        </row>
        <row r="7225">
          <cell r="N7225">
            <v>-18.068000000000001</v>
          </cell>
        </row>
        <row r="7226">
          <cell r="N7226">
            <v>-8.3290000000000006</v>
          </cell>
        </row>
        <row r="7227">
          <cell r="N7227">
            <v>-18.812999999999999</v>
          </cell>
        </row>
        <row r="7228">
          <cell r="N7228">
            <v>-28.082000000000001</v>
          </cell>
        </row>
        <row r="7229">
          <cell r="N7229">
            <v>-20.71</v>
          </cell>
        </row>
        <row r="7230">
          <cell r="N7230">
            <v>-21.398</v>
          </cell>
        </row>
        <row r="7231">
          <cell r="N7231">
            <v>-19.244</v>
          </cell>
        </row>
        <row r="7232">
          <cell r="N7232">
            <v>-19.745999999999999</v>
          </cell>
        </row>
        <row r="7233">
          <cell r="N7233">
            <v>-18.167000000000002</v>
          </cell>
        </row>
        <row r="7234">
          <cell r="N7234">
            <v>-23.056000000000001</v>
          </cell>
        </row>
        <row r="7235">
          <cell r="N7235">
            <v>-17.664000000000001</v>
          </cell>
        </row>
        <row r="7236">
          <cell r="N7236">
            <v>-17.449000000000002</v>
          </cell>
        </row>
        <row r="7237">
          <cell r="N7237">
            <v>-20.068000000000001</v>
          </cell>
        </row>
        <row r="7238">
          <cell r="N7238">
            <v>-12.64</v>
          </cell>
        </row>
        <row r="7239">
          <cell r="N7239">
            <v>-31.777000000000001</v>
          </cell>
        </row>
        <row r="7240">
          <cell r="N7240">
            <v>-17.808</v>
          </cell>
        </row>
        <row r="7241">
          <cell r="N7241">
            <v>-22.73</v>
          </cell>
        </row>
        <row r="7242">
          <cell r="N7242">
            <v>-19.853000000000002</v>
          </cell>
        </row>
        <row r="7243">
          <cell r="N7243">
            <v>-20.21</v>
          </cell>
        </row>
        <row r="7244">
          <cell r="N7244">
            <v>-20.282</v>
          </cell>
        </row>
        <row r="7245">
          <cell r="N7245">
            <v>-19.459</v>
          </cell>
        </row>
        <row r="7246">
          <cell r="N7246">
            <v>-18.094999999999999</v>
          </cell>
        </row>
        <row r="7247">
          <cell r="N7247">
            <v>-16.710999999999999</v>
          </cell>
        </row>
        <row r="7248">
          <cell r="N7248">
            <v>-15.568</v>
          </cell>
        </row>
        <row r="7249">
          <cell r="N7249">
            <v>-29.771000000000001</v>
          </cell>
        </row>
        <row r="7250">
          <cell r="N7250">
            <v>-18.239000000000001</v>
          </cell>
        </row>
        <row r="7251">
          <cell r="N7251">
            <v>-17.233000000000001</v>
          </cell>
        </row>
        <row r="7252">
          <cell r="N7252">
            <v>-17.664000000000001</v>
          </cell>
        </row>
        <row r="7253">
          <cell r="N7253">
            <v>-13.715</v>
          </cell>
        </row>
        <row r="7254">
          <cell r="N7254">
            <v>-27.026</v>
          </cell>
        </row>
        <row r="7255">
          <cell r="N7255">
            <v>-19.353000000000002</v>
          </cell>
        </row>
        <row r="7256">
          <cell r="N7256">
            <v>-19.777999999999999</v>
          </cell>
        </row>
        <row r="7257">
          <cell r="N7257">
            <v>-17.879000000000001</v>
          </cell>
        </row>
        <row r="7258">
          <cell r="N7258">
            <v>-17.233000000000001</v>
          </cell>
        </row>
        <row r="7259">
          <cell r="N7259">
            <v>-16.853999999999999</v>
          </cell>
        </row>
        <row r="7260">
          <cell r="N7260">
            <v>-19.459</v>
          </cell>
        </row>
        <row r="7261">
          <cell r="N7261">
            <v>-18.167000000000002</v>
          </cell>
        </row>
        <row r="7262">
          <cell r="N7262">
            <v>-19.207999999999998</v>
          </cell>
        </row>
        <row r="7263">
          <cell r="N7263">
            <v>-15.725</v>
          </cell>
        </row>
        <row r="7264">
          <cell r="N7264">
            <v>-16.228000000000002</v>
          </cell>
        </row>
        <row r="7265">
          <cell r="N7265">
            <v>-30.087</v>
          </cell>
        </row>
        <row r="7266">
          <cell r="N7266">
            <v>-27.236999999999998</v>
          </cell>
        </row>
        <row r="7267">
          <cell r="N7267">
            <v>-19.568000000000001</v>
          </cell>
        </row>
        <row r="7268">
          <cell r="N7268">
            <v>-19.568000000000001</v>
          </cell>
        </row>
        <row r="7269">
          <cell r="N7269">
            <v>-16.925000000000001</v>
          </cell>
        </row>
        <row r="7270">
          <cell r="N7270">
            <v>-18.282</v>
          </cell>
        </row>
        <row r="7271">
          <cell r="N7271">
            <v>-17.497</v>
          </cell>
        </row>
        <row r="7272">
          <cell r="N7272">
            <v>-17.925000000000001</v>
          </cell>
        </row>
        <row r="7273">
          <cell r="N7273">
            <v>-0.02</v>
          </cell>
        </row>
        <row r="7274">
          <cell r="N7274">
            <v>-19.669</v>
          </cell>
        </row>
        <row r="7275">
          <cell r="N7275">
            <v>-20.568000000000001</v>
          </cell>
        </row>
        <row r="7276">
          <cell r="N7276">
            <v>-11.364000000000001</v>
          </cell>
        </row>
        <row r="7277">
          <cell r="N7277">
            <v>-5.5949999999999998</v>
          </cell>
        </row>
        <row r="7278">
          <cell r="N7278">
            <v>-24.971</v>
          </cell>
        </row>
        <row r="7279">
          <cell r="N7279">
            <v>-29.032</v>
          </cell>
        </row>
        <row r="7280">
          <cell r="N7280">
            <v>-22.138999999999999</v>
          </cell>
        </row>
        <row r="7281">
          <cell r="N7281">
            <v>-1.4999999999999999E-2</v>
          </cell>
        </row>
        <row r="7282">
          <cell r="N7282">
            <v>-25.184000000000001</v>
          </cell>
        </row>
        <row r="7283">
          <cell r="N7283">
            <v>-20.068000000000001</v>
          </cell>
        </row>
        <row r="7284">
          <cell r="N7284">
            <v>-26.06</v>
          </cell>
        </row>
        <row r="7285">
          <cell r="N7285">
            <v>-26.722000000000001</v>
          </cell>
        </row>
        <row r="7286">
          <cell r="N7286">
            <v>-18.568000000000001</v>
          </cell>
        </row>
        <row r="7287">
          <cell r="N7287">
            <v>-16.068000000000001</v>
          </cell>
        </row>
        <row r="7288">
          <cell r="N7288">
            <v>-16.353999999999999</v>
          </cell>
        </row>
        <row r="7289">
          <cell r="N7289">
            <v>-21.495999999999999</v>
          </cell>
        </row>
        <row r="7290">
          <cell r="N7290">
            <v>-19.495999999999999</v>
          </cell>
        </row>
        <row r="7291">
          <cell r="N7291">
            <v>-20.425000000000001</v>
          </cell>
        </row>
        <row r="7292">
          <cell r="N7292">
            <v>-20.425000000000001</v>
          </cell>
        </row>
        <row r="7293">
          <cell r="N7293">
            <v>-22.21</v>
          </cell>
        </row>
        <row r="7294">
          <cell r="N7294">
            <v>-18.138999999999999</v>
          </cell>
        </row>
        <row r="7295">
          <cell r="N7295">
            <v>-17.64</v>
          </cell>
        </row>
        <row r="7296">
          <cell r="N7296">
            <v>-29.704000000000001</v>
          </cell>
        </row>
        <row r="7297">
          <cell r="N7297">
            <v>-24.803999999999998</v>
          </cell>
        </row>
        <row r="7298">
          <cell r="N7298">
            <v>-17.568000000000001</v>
          </cell>
        </row>
        <row r="7299">
          <cell r="N7299">
            <v>-20.995999999999999</v>
          </cell>
        </row>
        <row r="7300">
          <cell r="N7300">
            <v>-23.384</v>
          </cell>
        </row>
        <row r="7301">
          <cell r="N7301">
            <v>-30.946999999999999</v>
          </cell>
        </row>
        <row r="7302">
          <cell r="N7302">
            <v>-18.995999999999999</v>
          </cell>
        </row>
        <row r="7303">
          <cell r="N7303">
            <v>-4.1619999999999999</v>
          </cell>
        </row>
        <row r="7304">
          <cell r="N7304">
            <v>-22.780999999999999</v>
          </cell>
        </row>
        <row r="7305">
          <cell r="N7305">
            <v>-15.853999999999999</v>
          </cell>
        </row>
        <row r="7306">
          <cell r="N7306">
            <v>-20.425000000000001</v>
          </cell>
        </row>
        <row r="7307">
          <cell r="N7307">
            <v>-18.353999999999999</v>
          </cell>
        </row>
        <row r="7308">
          <cell r="N7308">
            <v>-21.236000000000001</v>
          </cell>
        </row>
        <row r="7309">
          <cell r="N7309">
            <v>-19.638999999999999</v>
          </cell>
        </row>
        <row r="7310">
          <cell r="N7310">
            <v>-17.282</v>
          </cell>
        </row>
        <row r="7311">
          <cell r="N7311">
            <v>-21.282</v>
          </cell>
        </row>
        <row r="7312">
          <cell r="N7312">
            <v>-18.853999999999999</v>
          </cell>
        </row>
        <row r="7313">
          <cell r="N7313">
            <v>-19.710999999999999</v>
          </cell>
        </row>
        <row r="7314">
          <cell r="N7314">
            <v>-28.300999999999998</v>
          </cell>
        </row>
        <row r="7315">
          <cell r="N7315">
            <v>-19.353000000000002</v>
          </cell>
        </row>
        <row r="7316">
          <cell r="N7316">
            <v>-18.995999999999999</v>
          </cell>
        </row>
        <row r="7317">
          <cell r="N7317">
            <v>-16.853999999999999</v>
          </cell>
        </row>
        <row r="7318">
          <cell r="N7318">
            <v>-28.192</v>
          </cell>
        </row>
        <row r="7319">
          <cell r="N7319">
            <v>-19.710999999999999</v>
          </cell>
        </row>
        <row r="7320">
          <cell r="N7320">
            <v>-21.449000000000002</v>
          </cell>
        </row>
        <row r="7321">
          <cell r="N7321">
            <v>-19.995999999999999</v>
          </cell>
        </row>
        <row r="7322">
          <cell r="N7322">
            <v>-21.876000000000001</v>
          </cell>
        </row>
        <row r="7323">
          <cell r="N7323">
            <v>-20.169</v>
          </cell>
        </row>
        <row r="7324">
          <cell r="N7324">
            <v>-17.568000000000001</v>
          </cell>
        </row>
        <row r="7325">
          <cell r="N7325">
            <v>-20.105</v>
          </cell>
        </row>
        <row r="7326">
          <cell r="N7326">
            <v>-16.497</v>
          </cell>
        </row>
        <row r="7327">
          <cell r="N7327">
            <v>-18.741</v>
          </cell>
        </row>
        <row r="7328">
          <cell r="N7328">
            <v>-16.853999999999999</v>
          </cell>
        </row>
        <row r="7329">
          <cell r="N7329">
            <v>-22.073</v>
          </cell>
        </row>
        <row r="7330">
          <cell r="N7330">
            <v>-20.068000000000001</v>
          </cell>
        </row>
        <row r="7331">
          <cell r="N7331">
            <v>-6.0000000000000001E-3</v>
          </cell>
        </row>
        <row r="7332">
          <cell r="N7332">
            <v>-21.308</v>
          </cell>
        </row>
        <row r="7333">
          <cell r="N7333">
            <v>-1.0999999999999999E-2</v>
          </cell>
        </row>
        <row r="7334">
          <cell r="N7334">
            <v>-24.01</v>
          </cell>
        </row>
        <row r="7335">
          <cell r="N7335">
            <v>-23.904</v>
          </cell>
        </row>
        <row r="7336">
          <cell r="N7336">
            <v>-14.497</v>
          </cell>
        </row>
        <row r="7337">
          <cell r="N7337">
            <v>-18.210999999999999</v>
          </cell>
        </row>
        <row r="7338">
          <cell r="N7338">
            <v>-15.366</v>
          </cell>
        </row>
        <row r="7339">
          <cell r="N7339">
            <v>-16.64</v>
          </cell>
        </row>
        <row r="7340">
          <cell r="N7340">
            <v>-9.8369999999999997</v>
          </cell>
        </row>
        <row r="7341">
          <cell r="N7341">
            <v>-19.530999999999999</v>
          </cell>
        </row>
        <row r="7342">
          <cell r="N7342">
            <v>-1.7000000000000001E-2</v>
          </cell>
        </row>
        <row r="7343">
          <cell r="N7343">
            <v>-27.536000000000001</v>
          </cell>
        </row>
        <row r="7344">
          <cell r="N7344">
            <v>-16.731000000000002</v>
          </cell>
        </row>
        <row r="7345">
          <cell r="N7345">
            <v>-17.233000000000001</v>
          </cell>
        </row>
        <row r="7346">
          <cell r="N7346">
            <v>-22.837</v>
          </cell>
        </row>
        <row r="7347">
          <cell r="N7347">
            <v>-18.795000000000002</v>
          </cell>
        </row>
        <row r="7348">
          <cell r="N7348">
            <v>-12.622999999999999</v>
          </cell>
        </row>
        <row r="7349">
          <cell r="N7349">
            <v>-19.013000000000002</v>
          </cell>
        </row>
        <row r="7350">
          <cell r="N7350">
            <v>-19.315999999999999</v>
          </cell>
        </row>
        <row r="7351">
          <cell r="N7351">
            <v>-30.923999999999999</v>
          </cell>
        </row>
        <row r="7352">
          <cell r="N7352">
            <v>-9.1910000000000007</v>
          </cell>
        </row>
        <row r="7353">
          <cell r="N7353">
            <v>-19.027999999999999</v>
          </cell>
        </row>
        <row r="7354">
          <cell r="N7354">
            <v>-18.454000000000001</v>
          </cell>
        </row>
        <row r="7355">
          <cell r="N7355">
            <v>-8.1999999999999993</v>
          </cell>
        </row>
        <row r="7356">
          <cell r="N7356">
            <v>-23.036000000000001</v>
          </cell>
        </row>
        <row r="7357">
          <cell r="N7357">
            <v>-5.9640000000000004</v>
          </cell>
        </row>
        <row r="7358">
          <cell r="N7358">
            <v>-119.64400000000001</v>
          </cell>
        </row>
        <row r="7359">
          <cell r="N7359">
            <v>-291.42099999999999</v>
          </cell>
        </row>
        <row r="7360">
          <cell r="N7360">
            <v>-8</v>
          </cell>
        </row>
        <row r="7361">
          <cell r="N7361">
            <v>-1011.039</v>
          </cell>
        </row>
        <row r="7362">
          <cell r="N7362">
            <v>-1011.039</v>
          </cell>
        </row>
        <row r="7363">
          <cell r="N7363">
            <v>-215</v>
          </cell>
        </row>
        <row r="7364">
          <cell r="N7364">
            <v>-445.96100000000001</v>
          </cell>
        </row>
        <row r="7365">
          <cell r="N7365">
            <v>-91.960999999999999</v>
          </cell>
        </row>
        <row r="7366">
          <cell r="N7366">
            <v>-1011.039</v>
          </cell>
        </row>
        <row r="7367">
          <cell r="N7367">
            <v>-1343.078</v>
          </cell>
        </row>
        <row r="7368">
          <cell r="N7368">
            <v>-3.36</v>
          </cell>
        </row>
        <row r="7369">
          <cell r="N7369">
            <v>-1013.4640000000001</v>
          </cell>
        </row>
        <row r="7370">
          <cell r="N7370">
            <v>-1011.039</v>
          </cell>
        </row>
        <row r="7371">
          <cell r="N7371">
            <v>-1678.847</v>
          </cell>
        </row>
        <row r="7372">
          <cell r="N7372">
            <v>-360.34300000000002</v>
          </cell>
        </row>
        <row r="7373">
          <cell r="N7373">
            <v>-411.77800000000002</v>
          </cell>
        </row>
        <row r="7374">
          <cell r="N7374">
            <v>-501.51900000000001</v>
          </cell>
        </row>
        <row r="7375">
          <cell r="N7375">
            <v>-359.92</v>
          </cell>
        </row>
        <row r="7376">
          <cell r="N7376">
            <v>-975.649</v>
          </cell>
        </row>
        <row r="7377">
          <cell r="N7377">
            <v>-46.033000000000001</v>
          </cell>
        </row>
        <row r="7378">
          <cell r="N7378">
            <v>-1013.837</v>
          </cell>
        </row>
        <row r="7379">
          <cell r="N7379">
            <v>-252</v>
          </cell>
        </row>
        <row r="7380">
          <cell r="N7380">
            <v>-974</v>
          </cell>
        </row>
        <row r="7381">
          <cell r="N7381">
            <v>-247</v>
          </cell>
        </row>
        <row r="7382">
          <cell r="N7382">
            <v>-107.351</v>
          </cell>
        </row>
        <row r="7383">
          <cell r="N7383">
            <v>-260</v>
          </cell>
        </row>
        <row r="7384">
          <cell r="N7384">
            <v>-1184.52</v>
          </cell>
        </row>
        <row r="7385">
          <cell r="N7385">
            <v>-301</v>
          </cell>
        </row>
        <row r="7386">
          <cell r="N7386">
            <v>-36.418999999999997</v>
          </cell>
        </row>
        <row r="7387">
          <cell r="N7387">
            <v>-133.46700000000001</v>
          </cell>
        </row>
        <row r="7388">
          <cell r="N7388">
            <v>-31.613</v>
          </cell>
        </row>
        <row r="7389">
          <cell r="N7389">
            <v>-254.71899999999999</v>
          </cell>
        </row>
        <row r="7390">
          <cell r="N7390">
            <v>-66.069000000000003</v>
          </cell>
        </row>
        <row r="7391">
          <cell r="N7391">
            <v>-334.565</v>
          </cell>
        </row>
        <row r="7392">
          <cell r="N7392">
            <v>-1193.847</v>
          </cell>
        </row>
        <row r="7393">
          <cell r="N7393">
            <v>-483.43099999999998</v>
          </cell>
        </row>
        <row r="7394">
          <cell r="N7394">
            <v>-1013.837</v>
          </cell>
        </row>
        <row r="7395">
          <cell r="N7395">
            <v>-339.029</v>
          </cell>
        </row>
        <row r="7396">
          <cell r="N7396">
            <v>-1026.2460000000001</v>
          </cell>
        </row>
        <row r="7397">
          <cell r="N7397">
            <v>-1688.174</v>
          </cell>
        </row>
        <row r="7398">
          <cell r="N7398">
            <v>-1112.538</v>
          </cell>
        </row>
        <row r="7399">
          <cell r="N7399">
            <v>-1088</v>
          </cell>
        </row>
        <row r="7400">
          <cell r="N7400">
            <v>-1125.76</v>
          </cell>
        </row>
        <row r="7401">
          <cell r="N7401">
            <v>-1688.174</v>
          </cell>
        </row>
        <row r="7402">
          <cell r="N7402">
            <v>-1501.636</v>
          </cell>
        </row>
        <row r="7403">
          <cell r="N7403">
            <v>-1501.636</v>
          </cell>
        </row>
        <row r="7404">
          <cell r="N7404">
            <v>-1501.636</v>
          </cell>
        </row>
        <row r="7405">
          <cell r="N7405">
            <v>-1125.76</v>
          </cell>
        </row>
        <row r="7406">
          <cell r="N7406">
            <v>-1125.76</v>
          </cell>
        </row>
        <row r="7407">
          <cell r="N7407">
            <v>-1023.164</v>
          </cell>
        </row>
        <row r="7408">
          <cell r="N7408">
            <v>-1772.117</v>
          </cell>
        </row>
        <row r="7409">
          <cell r="N7409">
            <v>-1031.7339999999999</v>
          </cell>
        </row>
        <row r="7410">
          <cell r="N7410">
            <v>-1492.309</v>
          </cell>
        </row>
        <row r="7411">
          <cell r="N7411">
            <v>-317.11599999999999</v>
          </cell>
        </row>
        <row r="7412">
          <cell r="N7412">
            <v>-1604.232</v>
          </cell>
        </row>
        <row r="7413">
          <cell r="N7413">
            <v>-985.85199999999998</v>
          </cell>
        </row>
        <row r="7414">
          <cell r="N7414">
            <v>-839.42399999999998</v>
          </cell>
        </row>
        <row r="7415">
          <cell r="N7415">
            <v>-643.55799999999999</v>
          </cell>
        </row>
        <row r="7416">
          <cell r="N7416">
            <v>-678.971</v>
          </cell>
        </row>
        <row r="7417">
          <cell r="N7417">
            <v>-1044.616</v>
          </cell>
        </row>
        <row r="7418">
          <cell r="N7418">
            <v>-160.435</v>
          </cell>
        </row>
        <row r="7419">
          <cell r="N7419">
            <v>-1669.52</v>
          </cell>
        </row>
        <row r="7420">
          <cell r="N7420">
            <v>-23.251999999999999</v>
          </cell>
        </row>
        <row r="7421">
          <cell r="N7421">
            <v>-43.939</v>
          </cell>
        </row>
        <row r="7422">
          <cell r="N7422">
            <v>-0.09</v>
          </cell>
        </row>
        <row r="7423">
          <cell r="N7423">
            <v>-10.749000000000001</v>
          </cell>
        </row>
        <row r="7424">
          <cell r="N7424">
            <v>-81.11</v>
          </cell>
        </row>
        <row r="7425">
          <cell r="N7425">
            <v>-1383.5809999999999</v>
          </cell>
        </row>
        <row r="7426">
          <cell r="N7426">
            <v>-1124.828</v>
          </cell>
        </row>
        <row r="7427">
          <cell r="N7427">
            <v>-1492.309</v>
          </cell>
        </row>
        <row r="7428">
          <cell r="N7428">
            <v>-1096</v>
          </cell>
        </row>
        <row r="7429">
          <cell r="N7429">
            <v>-1349.452</v>
          </cell>
        </row>
        <row r="7430">
          <cell r="N7430">
            <v>-1022.232</v>
          </cell>
        </row>
        <row r="7431">
          <cell r="N7431">
            <v>-1688.174</v>
          </cell>
        </row>
        <row r="7432">
          <cell r="N7432">
            <v>-988.53700000000003</v>
          </cell>
        </row>
        <row r="7433">
          <cell r="N7433">
            <v>-126.03700000000001</v>
          </cell>
        </row>
        <row r="7434">
          <cell r="N7434">
            <v>-1492.309</v>
          </cell>
        </row>
        <row r="7435">
          <cell r="N7435">
            <v>-17</v>
          </cell>
        </row>
        <row r="7436">
          <cell r="N7436">
            <v>-839.42399999999998</v>
          </cell>
        </row>
        <row r="7437">
          <cell r="N7437">
            <v>-1160.3630000000001</v>
          </cell>
        </row>
        <row r="7438">
          <cell r="N7438">
            <v>-848.75099999999998</v>
          </cell>
        </row>
        <row r="7439">
          <cell r="N7439">
            <v>-877.69799999999998</v>
          </cell>
        </row>
        <row r="7440">
          <cell r="N7440">
            <v>-1000</v>
          </cell>
        </row>
        <row r="7441">
          <cell r="N7441">
            <v>-285.404</v>
          </cell>
        </row>
        <row r="7442">
          <cell r="N7442">
            <v>-1688</v>
          </cell>
        </row>
        <row r="7443">
          <cell r="N7443">
            <v>-1753.463</v>
          </cell>
        </row>
        <row r="7444">
          <cell r="N7444">
            <v>-1112</v>
          </cell>
        </row>
        <row r="7445">
          <cell r="N7445">
            <v>-373.077</v>
          </cell>
        </row>
        <row r="7446">
          <cell r="N7446">
            <v>-1399.04</v>
          </cell>
        </row>
        <row r="7447">
          <cell r="N7447">
            <v>-289.13499999999999</v>
          </cell>
        </row>
        <row r="7448">
          <cell r="N7448">
            <v>-1335.616</v>
          </cell>
        </row>
        <row r="7449">
          <cell r="N7449">
            <v>-1112.3989999999999</v>
          </cell>
        </row>
        <row r="7450">
          <cell r="N7450">
            <v>-547.49099999999999</v>
          </cell>
        </row>
        <row r="7451">
          <cell r="N7451">
            <v>-1529.617</v>
          </cell>
        </row>
        <row r="7452">
          <cell r="N7452">
            <v>-547.49099999999999</v>
          </cell>
        </row>
        <row r="7453">
          <cell r="N7453">
            <v>-1492.309</v>
          </cell>
        </row>
        <row r="7454">
          <cell r="N7454">
            <v>-1445.076</v>
          </cell>
        </row>
        <row r="7455">
          <cell r="N7455">
            <v>-1529.617</v>
          </cell>
        </row>
        <row r="7456">
          <cell r="N7456">
            <v>-1529.617</v>
          </cell>
        </row>
        <row r="7457">
          <cell r="N7457">
            <v>-1019.433</v>
          </cell>
        </row>
        <row r="7458">
          <cell r="N7458">
            <v>-1210.172</v>
          </cell>
        </row>
        <row r="7459">
          <cell r="N7459">
            <v>-1019.433</v>
          </cell>
        </row>
        <row r="7460">
          <cell r="N7460">
            <v>-1108.039</v>
          </cell>
        </row>
        <row r="7461">
          <cell r="N7461">
            <v>-1028.441</v>
          </cell>
        </row>
        <row r="7462">
          <cell r="N7462">
            <v>-510.18299999999999</v>
          </cell>
        </row>
        <row r="7463">
          <cell r="N7463">
            <v>-510.18299999999999</v>
          </cell>
        </row>
        <row r="7464">
          <cell r="N7464">
            <v>-1718.953</v>
          </cell>
        </row>
        <row r="7465">
          <cell r="N7465">
            <v>-132</v>
          </cell>
        </row>
        <row r="7466">
          <cell r="N7466">
            <v>-223.65199999999999</v>
          </cell>
        </row>
        <row r="7467">
          <cell r="N7467">
            <v>-434.63499999999999</v>
          </cell>
        </row>
        <row r="7468">
          <cell r="N7468">
            <v>-1604.232</v>
          </cell>
        </row>
        <row r="7469">
          <cell r="N7469">
            <v>-1080.991</v>
          </cell>
        </row>
        <row r="7470">
          <cell r="N7470">
            <v>-1576.251</v>
          </cell>
        </row>
        <row r="7471">
          <cell r="N7471">
            <v>-514.76900000000001</v>
          </cell>
        </row>
        <row r="7472">
          <cell r="N7472">
            <v>-514.76900000000001</v>
          </cell>
        </row>
        <row r="7473">
          <cell r="N7473">
            <v>-977.46199999999999</v>
          </cell>
        </row>
        <row r="7474">
          <cell r="N7474">
            <v>-977.46199999999999</v>
          </cell>
        </row>
        <row r="7475">
          <cell r="N7475">
            <v>-1019.433</v>
          </cell>
        </row>
        <row r="7476">
          <cell r="N7476">
            <v>-2</v>
          </cell>
        </row>
        <row r="7477">
          <cell r="N7477">
            <v>-26.677</v>
          </cell>
        </row>
        <row r="7478">
          <cell r="N7478">
            <v>-111.923</v>
          </cell>
        </row>
        <row r="7479">
          <cell r="N7479">
            <v>-8</v>
          </cell>
        </row>
        <row r="7480">
          <cell r="N7480">
            <v>-600</v>
          </cell>
        </row>
        <row r="7481">
          <cell r="N7481">
            <v>-4.6639999999999997</v>
          </cell>
        </row>
        <row r="7482">
          <cell r="N7482">
            <v>-1011</v>
          </cell>
        </row>
        <row r="7483">
          <cell r="N7483">
            <v>-224</v>
          </cell>
        </row>
        <row r="7484">
          <cell r="N7484">
            <v>-1011</v>
          </cell>
        </row>
        <row r="7485">
          <cell r="N7485">
            <v>-1011</v>
          </cell>
        </row>
        <row r="7486">
          <cell r="N7486">
            <v>-16</v>
          </cell>
        </row>
        <row r="7487">
          <cell r="N7487">
            <v>-18</v>
          </cell>
        </row>
        <row r="7488">
          <cell r="N7488">
            <v>-18</v>
          </cell>
        </row>
        <row r="7489">
          <cell r="N7489">
            <v>-18</v>
          </cell>
        </row>
        <row r="7490">
          <cell r="N7490">
            <v>-19</v>
          </cell>
        </row>
        <row r="7491">
          <cell r="N7491">
            <v>-1011</v>
          </cell>
        </row>
        <row r="7492">
          <cell r="N7492">
            <v>-18</v>
          </cell>
        </row>
        <row r="7493">
          <cell r="N7493">
            <v>-20</v>
          </cell>
        </row>
        <row r="7494">
          <cell r="N7494">
            <v>-470</v>
          </cell>
        </row>
        <row r="7495">
          <cell r="N7495">
            <v>-20</v>
          </cell>
        </row>
        <row r="7496">
          <cell r="N7496">
            <v>-63</v>
          </cell>
        </row>
        <row r="7497">
          <cell r="N7497">
            <v>-1004</v>
          </cell>
        </row>
        <row r="7498">
          <cell r="N7498">
            <v>-235</v>
          </cell>
        </row>
        <row r="7499">
          <cell r="N7499">
            <v>-277</v>
          </cell>
        </row>
        <row r="7500">
          <cell r="N7500">
            <v>-277</v>
          </cell>
        </row>
        <row r="7501">
          <cell r="N7501">
            <v>-302</v>
          </cell>
        </row>
        <row r="7502">
          <cell r="N7502">
            <v>-1011</v>
          </cell>
        </row>
        <row r="7503">
          <cell r="N7503">
            <v>-277</v>
          </cell>
        </row>
        <row r="7504">
          <cell r="N7504">
            <v>-684</v>
          </cell>
        </row>
        <row r="7505">
          <cell r="N7505">
            <v>-1011</v>
          </cell>
        </row>
        <row r="7506">
          <cell r="N7506">
            <v>-684</v>
          </cell>
        </row>
        <row r="7507">
          <cell r="N7507">
            <v>-684</v>
          </cell>
        </row>
        <row r="7508">
          <cell r="N7508">
            <v>-1011</v>
          </cell>
        </row>
        <row r="7509">
          <cell r="N7509">
            <v>-1011</v>
          </cell>
        </row>
        <row r="7510">
          <cell r="N7510">
            <v>-1011</v>
          </cell>
        </row>
        <row r="7511">
          <cell r="N7511">
            <v>-1011</v>
          </cell>
        </row>
        <row r="7512">
          <cell r="N7512">
            <v>-1011</v>
          </cell>
        </row>
        <row r="7513">
          <cell r="N7513">
            <v>-1011</v>
          </cell>
        </row>
        <row r="7514">
          <cell r="N7514">
            <v>-1011</v>
          </cell>
        </row>
        <row r="7515">
          <cell r="N7515">
            <v>-684</v>
          </cell>
        </row>
        <row r="7516">
          <cell r="N7516">
            <v>-35</v>
          </cell>
        </row>
        <row r="7517">
          <cell r="N7517">
            <v>-1011</v>
          </cell>
        </row>
        <row r="7518">
          <cell r="N7518">
            <v>-187</v>
          </cell>
        </row>
        <row r="7519">
          <cell r="N7519">
            <v>-797</v>
          </cell>
        </row>
        <row r="7520">
          <cell r="N7520">
            <v>-322.71199999999999</v>
          </cell>
        </row>
        <row r="7521">
          <cell r="N7521">
            <v>-38.384999999999998</v>
          </cell>
        </row>
        <row r="7522">
          <cell r="N7522">
            <v>-10.308</v>
          </cell>
        </row>
        <row r="7523">
          <cell r="N7523">
            <v>-85.653999999999996</v>
          </cell>
        </row>
        <row r="7524">
          <cell r="N7524">
            <v>-129.16900000000001</v>
          </cell>
        </row>
        <row r="7525">
          <cell r="N7525">
            <v>-93.269000000000005</v>
          </cell>
        </row>
        <row r="7526">
          <cell r="N7526">
            <v>-93.269000000000005</v>
          </cell>
        </row>
        <row r="7527">
          <cell r="N7527">
            <v>-0.38500000000000001</v>
          </cell>
        </row>
        <row r="7528">
          <cell r="N7528">
            <v>-0.01</v>
          </cell>
        </row>
        <row r="7529">
          <cell r="N7529">
            <v>-987.83100000000002</v>
          </cell>
        </row>
        <row r="7530">
          <cell r="N7530">
            <v>-8.9999999999999993E-3</v>
          </cell>
        </row>
        <row r="7531">
          <cell r="N7531">
            <v>-466.346</v>
          </cell>
        </row>
        <row r="7532">
          <cell r="N7532">
            <v>-746.154</v>
          </cell>
        </row>
        <row r="7533">
          <cell r="N7533">
            <v>-373.077</v>
          </cell>
        </row>
        <row r="7534">
          <cell r="N7534">
            <v>-1492.309</v>
          </cell>
        </row>
        <row r="7535">
          <cell r="N7535">
            <v>-746.154</v>
          </cell>
        </row>
        <row r="7536">
          <cell r="N7536">
            <v>-1692.838</v>
          </cell>
        </row>
        <row r="7537">
          <cell r="N7537">
            <v>-214.55</v>
          </cell>
        </row>
        <row r="7538">
          <cell r="N7538">
            <v>-295.2</v>
          </cell>
        </row>
        <row r="7539">
          <cell r="N7539">
            <v>-319.19200000000001</v>
          </cell>
        </row>
        <row r="7540">
          <cell r="N7540">
            <v>-24.826000000000001</v>
          </cell>
        </row>
        <row r="7541">
          <cell r="N7541">
            <v>-35.057000000000002</v>
          </cell>
        </row>
        <row r="7542">
          <cell r="N7542">
            <v>-56.654000000000003</v>
          </cell>
        </row>
        <row r="7543">
          <cell r="N7543">
            <v>-148.88</v>
          </cell>
        </row>
        <row r="7544">
          <cell r="N7544">
            <v>-256.947</v>
          </cell>
        </row>
        <row r="7545">
          <cell r="N7545">
            <v>-174.88900000000001</v>
          </cell>
        </row>
        <row r="7546">
          <cell r="N7546">
            <v>-1119.232</v>
          </cell>
        </row>
        <row r="7547">
          <cell r="N7547">
            <v>-800</v>
          </cell>
        </row>
        <row r="7548">
          <cell r="N7548">
            <v>-300</v>
          </cell>
        </row>
        <row r="7549">
          <cell r="N7549">
            <v>-500</v>
          </cell>
        </row>
        <row r="7550">
          <cell r="N7550">
            <v>-380</v>
          </cell>
        </row>
        <row r="7551">
          <cell r="N7551">
            <v>-279.80799999999999</v>
          </cell>
        </row>
        <row r="7552">
          <cell r="N7552">
            <v>-1762.79</v>
          </cell>
        </row>
        <row r="7553">
          <cell r="N7553">
            <v>-1759.059</v>
          </cell>
        </row>
        <row r="7554">
          <cell r="N7554">
            <v>-141</v>
          </cell>
        </row>
        <row r="7555">
          <cell r="N7555">
            <v>-462.61599999999999</v>
          </cell>
        </row>
        <row r="7556">
          <cell r="N7556">
            <v>-830.82600000000002</v>
          </cell>
        </row>
        <row r="7557">
          <cell r="N7557">
            <v>-241.61500000000001</v>
          </cell>
        </row>
        <row r="7558">
          <cell r="N7558">
            <v>-1529.617</v>
          </cell>
        </row>
        <row r="7559">
          <cell r="N7559">
            <v>-1529.617</v>
          </cell>
        </row>
        <row r="7560">
          <cell r="N7560">
            <v>-616</v>
          </cell>
        </row>
        <row r="7561">
          <cell r="N7561">
            <v>-1688.174</v>
          </cell>
        </row>
        <row r="7562">
          <cell r="N7562">
            <v>-1008.169</v>
          </cell>
        </row>
        <row r="7563">
          <cell r="N7563">
            <v>-661.87800000000004</v>
          </cell>
        </row>
        <row r="7564">
          <cell r="N7564">
            <v>-0.38300000000000001</v>
          </cell>
        </row>
        <row r="7565">
          <cell r="N7565">
            <v>-1688.174</v>
          </cell>
        </row>
        <row r="7566">
          <cell r="N7566">
            <v>-1688.174</v>
          </cell>
        </row>
        <row r="7567">
          <cell r="N7567">
            <v>-1512.7149999999999</v>
          </cell>
        </row>
        <row r="7568">
          <cell r="N7568">
            <v>-1512.7149999999999</v>
          </cell>
        </row>
        <row r="7569">
          <cell r="N7569">
            <v>-1008.169</v>
          </cell>
        </row>
        <row r="7570">
          <cell r="N7570">
            <v>-1210.172</v>
          </cell>
        </row>
        <row r="7571">
          <cell r="N7571">
            <v>-1688.174</v>
          </cell>
        </row>
        <row r="7572">
          <cell r="N7572">
            <v>-343.077</v>
          </cell>
        </row>
        <row r="7573">
          <cell r="N7573">
            <v>-734.96199999999999</v>
          </cell>
        </row>
        <row r="7574">
          <cell r="N7574">
            <v>-764.80799999999999</v>
          </cell>
        </row>
        <row r="7575">
          <cell r="N7575">
            <v>-270.25900000000001</v>
          </cell>
        </row>
        <row r="7576">
          <cell r="N7576">
            <v>-746.154</v>
          </cell>
        </row>
        <row r="7577">
          <cell r="N7577">
            <v>-254.625</v>
          </cell>
        </row>
        <row r="7578">
          <cell r="N7578">
            <v>-1688.174</v>
          </cell>
        </row>
        <row r="7579">
          <cell r="N7579">
            <v>-1688.174</v>
          </cell>
        </row>
        <row r="7580">
          <cell r="N7580">
            <v>-1128.559</v>
          </cell>
        </row>
        <row r="7581">
          <cell r="N7581">
            <v>-1008.169</v>
          </cell>
        </row>
        <row r="7582">
          <cell r="N7582">
            <v>-968.74300000000005</v>
          </cell>
        </row>
        <row r="7583">
          <cell r="N7583">
            <v>-1162.847</v>
          </cell>
        </row>
        <row r="7584">
          <cell r="N7584">
            <v>-980.44100000000003</v>
          </cell>
        </row>
        <row r="7585">
          <cell r="N7585">
            <v>-1352.405</v>
          </cell>
        </row>
        <row r="7586">
          <cell r="N7586">
            <v>-1695.636</v>
          </cell>
        </row>
        <row r="7587">
          <cell r="N7587">
            <v>-369</v>
          </cell>
        </row>
        <row r="7588">
          <cell r="N7588">
            <v>-57.634</v>
          </cell>
        </row>
        <row r="7589">
          <cell r="N7589">
            <v>-502</v>
          </cell>
        </row>
        <row r="7590">
          <cell r="N7590">
            <v>-632.11199999999997</v>
          </cell>
        </row>
        <row r="7591">
          <cell r="N7591">
            <v>-716.64800000000002</v>
          </cell>
        </row>
        <row r="7592">
          <cell r="N7592">
            <v>-828</v>
          </cell>
        </row>
        <row r="7593">
          <cell r="N7593">
            <v>-1117.933</v>
          </cell>
        </row>
        <row r="7594">
          <cell r="N7594">
            <v>-1019.433</v>
          </cell>
        </row>
        <row r="7595">
          <cell r="N7595">
            <v>-1008.169</v>
          </cell>
        </row>
        <row r="7596">
          <cell r="N7596">
            <v>-1117.933</v>
          </cell>
        </row>
        <row r="7597">
          <cell r="N7597">
            <v>-1019.433</v>
          </cell>
        </row>
        <row r="7598">
          <cell r="N7598">
            <v>-1289.914</v>
          </cell>
        </row>
        <row r="7599">
          <cell r="N7599">
            <v>-1128.559</v>
          </cell>
        </row>
        <row r="7600">
          <cell r="N7600">
            <v>-127.782</v>
          </cell>
        </row>
        <row r="7601">
          <cell r="N7601">
            <v>-1529.617</v>
          </cell>
        </row>
        <row r="7602">
          <cell r="N7602">
            <v>-1529.617</v>
          </cell>
        </row>
        <row r="7603">
          <cell r="N7603">
            <v>-87</v>
          </cell>
        </row>
        <row r="7604">
          <cell r="N7604">
            <v>-934.71699999999998</v>
          </cell>
        </row>
        <row r="7605">
          <cell r="N7605">
            <v>-649.41200000000003</v>
          </cell>
        </row>
        <row r="7606">
          <cell r="N7606">
            <v>-186.53899999999999</v>
          </cell>
        </row>
        <row r="7607">
          <cell r="N7607">
            <v>-730.18799999999999</v>
          </cell>
        </row>
        <row r="7608">
          <cell r="N7608">
            <v>-22</v>
          </cell>
        </row>
        <row r="7609">
          <cell r="N7609">
            <v>-840.12199999999996</v>
          </cell>
        </row>
        <row r="7610">
          <cell r="N7610">
            <v>-1108.039</v>
          </cell>
        </row>
        <row r="7611">
          <cell r="N7611">
            <v>-1100.578</v>
          </cell>
        </row>
        <row r="7612">
          <cell r="N7612">
            <v>-1311.635</v>
          </cell>
        </row>
        <row r="7613">
          <cell r="N7613">
            <v>-1095.914</v>
          </cell>
        </row>
        <row r="7614">
          <cell r="N7614">
            <v>-1116.0889999999999</v>
          </cell>
        </row>
        <row r="7615">
          <cell r="N7615">
            <v>-13.544</v>
          </cell>
        </row>
        <row r="7616">
          <cell r="N7616">
            <v>-13.544</v>
          </cell>
        </row>
        <row r="7617">
          <cell r="N7617">
            <v>-20</v>
          </cell>
        </row>
        <row r="7618">
          <cell r="N7618">
            <v>-40</v>
          </cell>
        </row>
        <row r="7619">
          <cell r="N7619">
            <v>-74</v>
          </cell>
        </row>
        <row r="7620">
          <cell r="N7620">
            <v>-20</v>
          </cell>
        </row>
        <row r="7621">
          <cell r="N7621">
            <v>-18</v>
          </cell>
        </row>
        <row r="7622">
          <cell r="N7622">
            <v>-20</v>
          </cell>
        </row>
        <row r="7623">
          <cell r="N7623">
            <v>-20</v>
          </cell>
        </row>
        <row r="7624">
          <cell r="N7624">
            <v>-26.538</v>
          </cell>
        </row>
        <row r="7625">
          <cell r="N7625">
            <v>-111.923</v>
          </cell>
        </row>
        <row r="7626">
          <cell r="N7626">
            <v>-2.8000000000000001E-2</v>
          </cell>
        </row>
        <row r="7627">
          <cell r="N7627">
            <v>-563.66600000000005</v>
          </cell>
        </row>
        <row r="7628">
          <cell r="N7628">
            <v>-0.504</v>
          </cell>
        </row>
        <row r="7629">
          <cell r="N7629">
            <v>-1.0999999999999999E-2</v>
          </cell>
        </row>
        <row r="7630">
          <cell r="N7630">
            <v>-0.83</v>
          </cell>
        </row>
        <row r="7631">
          <cell r="N7631">
            <v>-116.974</v>
          </cell>
        </row>
        <row r="7632">
          <cell r="N7632">
            <v>-0.29599999999999999</v>
          </cell>
        </row>
        <row r="7633">
          <cell r="N7633">
            <v>-14</v>
          </cell>
        </row>
        <row r="7634">
          <cell r="N7634">
            <v>-563.66600000000005</v>
          </cell>
        </row>
        <row r="7635">
          <cell r="N7635">
            <v>-8.4920000000000009</v>
          </cell>
        </row>
        <row r="7636">
          <cell r="N7636">
            <v>-431.40899999999999</v>
          </cell>
        </row>
        <row r="7637">
          <cell r="N7637">
            <v>-17.748999999999999</v>
          </cell>
        </row>
        <row r="7638">
          <cell r="N7638">
            <v>-465.62599999999998</v>
          </cell>
        </row>
        <row r="7639">
          <cell r="N7639">
            <v>-4.875</v>
          </cell>
        </row>
        <row r="7640">
          <cell r="N7640">
            <v>-4.4109999999999996</v>
          </cell>
        </row>
        <row r="7641">
          <cell r="N7641">
            <v>-969.9</v>
          </cell>
        </row>
        <row r="7642">
          <cell r="N7642">
            <v>-674.11599999999999</v>
          </cell>
        </row>
        <row r="7643">
          <cell r="N7643">
            <v>-4.2560000000000002</v>
          </cell>
        </row>
        <row r="7644">
          <cell r="N7644">
            <v>-1.0999999999999999E-2</v>
          </cell>
        </row>
        <row r="7645">
          <cell r="N7645">
            <v>-4.9930000000000003</v>
          </cell>
        </row>
        <row r="7646">
          <cell r="N7646">
            <v>-0.66400000000000003</v>
          </cell>
        </row>
        <row r="7647">
          <cell r="N7647">
            <v>-350</v>
          </cell>
        </row>
        <row r="7648">
          <cell r="N7648">
            <v>-1.052</v>
          </cell>
        </row>
        <row r="7649">
          <cell r="N7649">
            <v>-780</v>
          </cell>
        </row>
        <row r="7650">
          <cell r="N7650">
            <v>-177.26300000000001</v>
          </cell>
        </row>
        <row r="7651">
          <cell r="N7651">
            <v>-95</v>
          </cell>
        </row>
        <row r="7652">
          <cell r="N7652">
            <v>-249.46700000000001</v>
          </cell>
        </row>
        <row r="7653">
          <cell r="N7653">
            <v>-300</v>
          </cell>
        </row>
        <row r="7654">
          <cell r="N7654">
            <v>-391.37</v>
          </cell>
        </row>
        <row r="7655">
          <cell r="N7655">
            <v>-134.09</v>
          </cell>
        </row>
        <row r="7656">
          <cell r="N7656">
            <v>-30.722000000000001</v>
          </cell>
        </row>
        <row r="7657">
          <cell r="N7657">
            <v>-5.3170000000000002</v>
          </cell>
        </row>
        <row r="7658">
          <cell r="N7658">
            <v>-525.19399999999996</v>
          </cell>
        </row>
        <row r="7659">
          <cell r="N7659">
            <v>-5.7629999999999999</v>
          </cell>
        </row>
        <row r="7660">
          <cell r="N7660">
            <v>-4.585</v>
          </cell>
        </row>
        <row r="7661">
          <cell r="N7661">
            <v>-970.96</v>
          </cell>
        </row>
        <row r="7662">
          <cell r="N7662">
            <v>-37.514000000000003</v>
          </cell>
        </row>
        <row r="7663">
          <cell r="N7663">
            <v>-622.40499999999997</v>
          </cell>
        </row>
        <row r="7664">
          <cell r="N7664">
            <v>-80.799000000000007</v>
          </cell>
        </row>
        <row r="7665">
          <cell r="N7665">
            <v>-690.14099999999996</v>
          </cell>
        </row>
        <row r="7666">
          <cell r="N7666">
            <v>-350.91899999999998</v>
          </cell>
        </row>
        <row r="7667">
          <cell r="N7667">
            <v>-411.86900000000003</v>
          </cell>
        </row>
        <row r="7668">
          <cell r="N7668">
            <v>-0.127</v>
          </cell>
        </row>
        <row r="7669">
          <cell r="N7669">
            <v>-411.86900000000003</v>
          </cell>
        </row>
        <row r="7670">
          <cell r="N7670">
            <v>-0.23599999999999999</v>
          </cell>
        </row>
        <row r="7671">
          <cell r="N7671">
            <v>-387.58300000000003</v>
          </cell>
        </row>
        <row r="7672">
          <cell r="N7672">
            <v>-2.3199999999999998</v>
          </cell>
        </row>
        <row r="7673">
          <cell r="N7673">
            <v>-4.8000000000000001E-2</v>
          </cell>
        </row>
        <row r="7674">
          <cell r="N7674">
            <v>-4.8000000000000001E-2</v>
          </cell>
        </row>
        <row r="7675">
          <cell r="N7675">
            <v>-4.8000000000000001E-2</v>
          </cell>
        </row>
        <row r="7676">
          <cell r="N7676">
            <v>-4.8000000000000001E-2</v>
          </cell>
        </row>
        <row r="7677">
          <cell r="N7677">
            <v>-4.8000000000000001E-2</v>
          </cell>
        </row>
        <row r="7678">
          <cell r="N7678">
            <v>-621.14300000000003</v>
          </cell>
        </row>
        <row r="7679">
          <cell r="N7679">
            <v>-62.042000000000002</v>
          </cell>
        </row>
        <row r="7680">
          <cell r="N7680">
            <v>-0.88800000000000001</v>
          </cell>
        </row>
        <row r="7681">
          <cell r="N7681">
            <v>-4.8000000000000001E-2</v>
          </cell>
        </row>
        <row r="7682">
          <cell r="N7682">
            <v>-4.8000000000000001E-2</v>
          </cell>
        </row>
        <row r="7683">
          <cell r="N7683">
            <v>-4.8000000000000001E-2</v>
          </cell>
        </row>
        <row r="7684">
          <cell r="N7684">
            <v>-4.8000000000000001E-2</v>
          </cell>
        </row>
        <row r="7685">
          <cell r="N7685">
            <v>-0.13</v>
          </cell>
        </row>
        <row r="7686">
          <cell r="N7686">
            <v>-2.5139999999999998</v>
          </cell>
        </row>
        <row r="7687">
          <cell r="N7687">
            <v>-0.13</v>
          </cell>
        </row>
        <row r="7688">
          <cell r="N7688">
            <v>-0.155</v>
          </cell>
        </row>
        <row r="7689">
          <cell r="N7689">
            <v>-8.24</v>
          </cell>
        </row>
        <row r="7690">
          <cell r="N7690">
            <v>-0.13</v>
          </cell>
        </row>
        <row r="7691">
          <cell r="N7691">
            <v>-0.155</v>
          </cell>
        </row>
        <row r="7692">
          <cell r="N7692">
            <v>-8.3989999999999991</v>
          </cell>
        </row>
        <row r="7693">
          <cell r="N7693">
            <v>-0.16400000000000001</v>
          </cell>
        </row>
        <row r="7694">
          <cell r="N7694">
            <v>-0.28100000000000003</v>
          </cell>
        </row>
        <row r="7695">
          <cell r="N7695">
            <v>-0.16400000000000001</v>
          </cell>
        </row>
        <row r="7696">
          <cell r="N7696">
            <v>-0.16400000000000001</v>
          </cell>
        </row>
        <row r="7697">
          <cell r="N7697">
            <v>-0.19600000000000001</v>
          </cell>
        </row>
        <row r="7698">
          <cell r="N7698">
            <v>-11.435</v>
          </cell>
        </row>
        <row r="7699">
          <cell r="N7699">
            <v>-0.13</v>
          </cell>
        </row>
        <row r="7700">
          <cell r="N7700">
            <v>-13.522</v>
          </cell>
        </row>
        <row r="7701">
          <cell r="N7701">
            <v>-12.952999999999999</v>
          </cell>
        </row>
        <row r="7702">
          <cell r="N7702">
            <v>-1108.105</v>
          </cell>
        </row>
        <row r="7703">
          <cell r="N7703">
            <v>-1143.9659999999999</v>
          </cell>
        </row>
        <row r="7704">
          <cell r="N7704">
            <v>-50.499000000000002</v>
          </cell>
        </row>
        <row r="7705">
          <cell r="N7705">
            <v>-1089.68</v>
          </cell>
        </row>
        <row r="7706">
          <cell r="N7706">
            <v>-12.144</v>
          </cell>
        </row>
        <row r="7707">
          <cell r="N7707">
            <v>-2.4239999999999999</v>
          </cell>
        </row>
        <row r="7708">
          <cell r="N7708">
            <v>-555.49300000000005</v>
          </cell>
        </row>
        <row r="7709">
          <cell r="N7709">
            <v>-539.62199999999996</v>
          </cell>
        </row>
        <row r="7710">
          <cell r="N7710">
            <v>-434.15100000000001</v>
          </cell>
        </row>
        <row r="7711">
          <cell r="N7711">
            <v>-57.198</v>
          </cell>
        </row>
        <row r="7712">
          <cell r="N7712">
            <v>-530.24400000000003</v>
          </cell>
        </row>
        <row r="7713">
          <cell r="N7713">
            <v>-10.119999999999999</v>
          </cell>
        </row>
        <row r="7714">
          <cell r="N7714">
            <v>-8.9999999999999993E-3</v>
          </cell>
        </row>
        <row r="7715">
          <cell r="N7715">
            <v>-587.44200000000001</v>
          </cell>
        </row>
        <row r="7716">
          <cell r="N7716">
            <v>-4.8730000000000002</v>
          </cell>
        </row>
        <row r="7717">
          <cell r="N7717">
            <v>-355.29899999999998</v>
          </cell>
        </row>
        <row r="7718">
          <cell r="N7718">
            <v>-7.97</v>
          </cell>
        </row>
        <row r="7719">
          <cell r="N7719">
            <v>-4.6520000000000001</v>
          </cell>
        </row>
        <row r="7720">
          <cell r="N7720">
            <v>-12.144</v>
          </cell>
        </row>
        <row r="7721">
          <cell r="N7721">
            <v>-11.077999999999999</v>
          </cell>
        </row>
        <row r="7722">
          <cell r="N7722">
            <v>-0.96099999999999997</v>
          </cell>
        </row>
        <row r="7723">
          <cell r="N7723">
            <v>-2.153</v>
          </cell>
        </row>
        <row r="7724">
          <cell r="N7724">
            <v>-339.5</v>
          </cell>
        </row>
        <row r="7725">
          <cell r="N7725">
            <v>-11.182</v>
          </cell>
        </row>
        <row r="7726">
          <cell r="N7726">
            <v>-14.769</v>
          </cell>
        </row>
        <row r="7727">
          <cell r="N7727">
            <v>-5.0110000000000001</v>
          </cell>
        </row>
        <row r="7728">
          <cell r="N7728">
            <v>-9.9390000000000001</v>
          </cell>
        </row>
        <row r="7729">
          <cell r="N7729">
            <v>-5.6829999999999998</v>
          </cell>
        </row>
        <row r="7730">
          <cell r="N7730">
            <v>-241.71299999999999</v>
          </cell>
        </row>
        <row r="7731">
          <cell r="N7731">
            <v>-122.628</v>
          </cell>
        </row>
        <row r="7732">
          <cell r="N7732">
            <v>-484.43400000000003</v>
          </cell>
        </row>
        <row r="7733">
          <cell r="N7733">
            <v>-766.10500000000002</v>
          </cell>
        </row>
        <row r="7734">
          <cell r="N7734">
            <v>-5.7309999999999999</v>
          </cell>
        </row>
        <row r="7735">
          <cell r="N7735">
            <v>-698.43799999999999</v>
          </cell>
        </row>
        <row r="7736">
          <cell r="N7736">
            <v>-3.0209999999999999</v>
          </cell>
        </row>
        <row r="7737">
          <cell r="N7737">
            <v>-2.46</v>
          </cell>
        </row>
        <row r="7738">
          <cell r="N7738">
            <v>-552.39300000000003</v>
          </cell>
        </row>
        <row r="7739">
          <cell r="N7739">
            <v>-21.343</v>
          </cell>
        </row>
        <row r="7740">
          <cell r="N7740">
            <v>-100.999</v>
          </cell>
        </row>
        <row r="7741">
          <cell r="N7741">
            <v>-5.1070000000000002</v>
          </cell>
        </row>
        <row r="7742">
          <cell r="N7742">
            <v>-3.4510000000000001</v>
          </cell>
        </row>
        <row r="7743">
          <cell r="N7743">
            <v>-252.49700000000001</v>
          </cell>
        </row>
        <row r="7744">
          <cell r="N7744">
            <v>-688.05499999999995</v>
          </cell>
        </row>
        <row r="7745">
          <cell r="N7745">
            <v>-11.79</v>
          </cell>
        </row>
        <row r="7746">
          <cell r="N7746">
            <v>-252.49700000000001</v>
          </cell>
        </row>
        <row r="7747">
          <cell r="N7747">
            <v>-40.085999999999999</v>
          </cell>
        </row>
        <row r="7748">
          <cell r="N7748">
            <v>-1027.096</v>
          </cell>
        </row>
        <row r="7749">
          <cell r="N7749">
            <v>-1027.096</v>
          </cell>
        </row>
        <row r="7750">
          <cell r="N7750">
            <v>-10.021000000000001</v>
          </cell>
        </row>
        <row r="7751">
          <cell r="N7751">
            <v>-12.446999999999999</v>
          </cell>
        </row>
        <row r="7752">
          <cell r="N7752">
            <v>-63.124000000000002</v>
          </cell>
        </row>
        <row r="7753">
          <cell r="N7753">
            <v>-5.6829999999999998</v>
          </cell>
        </row>
        <row r="7754">
          <cell r="N7754">
            <v>-2.0609999999999999</v>
          </cell>
        </row>
        <row r="7755">
          <cell r="N7755">
            <v>-21.824999999999999</v>
          </cell>
        </row>
        <row r="7756">
          <cell r="N7756">
            <v>-0.83899999999999997</v>
          </cell>
        </row>
        <row r="7757">
          <cell r="N7757">
            <v>-6.5460000000000003</v>
          </cell>
        </row>
        <row r="7758">
          <cell r="N7758">
            <v>-42.000999999999998</v>
          </cell>
        </row>
        <row r="7759">
          <cell r="N7759">
            <v>-5.7140000000000004</v>
          </cell>
        </row>
        <row r="7760">
          <cell r="N7760">
            <v>-10.111000000000001</v>
          </cell>
        </row>
        <row r="7761">
          <cell r="N7761">
            <v>-5.577</v>
          </cell>
        </row>
        <row r="7762">
          <cell r="N7762">
            <v>-6.7619999999999996</v>
          </cell>
        </row>
        <row r="7763">
          <cell r="N7763">
            <v>-11.688000000000001</v>
          </cell>
        </row>
        <row r="7764">
          <cell r="N7764">
            <v>-9.4619999999999997</v>
          </cell>
        </row>
        <row r="7765">
          <cell r="N7765">
            <v>-6.9290000000000003</v>
          </cell>
        </row>
        <row r="7766">
          <cell r="N7766">
            <v>-6.282</v>
          </cell>
        </row>
        <row r="7767">
          <cell r="N7767">
            <v>-46.926000000000002</v>
          </cell>
        </row>
        <row r="7768">
          <cell r="N7768">
            <v>-14.69</v>
          </cell>
        </row>
        <row r="7769">
          <cell r="N7769">
            <v>-9.7110000000000003</v>
          </cell>
        </row>
        <row r="7770">
          <cell r="N7770">
            <v>-4.7539999999999996</v>
          </cell>
        </row>
        <row r="7771">
          <cell r="N7771">
            <v>-6.8339999999999996</v>
          </cell>
        </row>
        <row r="7772">
          <cell r="N7772">
            <v>-6.57</v>
          </cell>
        </row>
        <row r="7773">
          <cell r="N7773">
            <v>-128</v>
          </cell>
        </row>
        <row r="7774">
          <cell r="N7774">
            <v>-432</v>
          </cell>
        </row>
        <row r="7775">
          <cell r="N7775">
            <v>-553.28300000000002</v>
          </cell>
        </row>
        <row r="7776">
          <cell r="N7776">
            <v>-582.71699999999998</v>
          </cell>
        </row>
        <row r="7777">
          <cell r="N7777">
            <v>-6.6660000000000004</v>
          </cell>
        </row>
        <row r="7778">
          <cell r="N7778">
            <v>-6.6050000000000004</v>
          </cell>
        </row>
        <row r="7779">
          <cell r="N7779">
            <v>-6.1479999999999997</v>
          </cell>
        </row>
        <row r="7780">
          <cell r="N7780">
            <v>-87.695999999999998</v>
          </cell>
        </row>
        <row r="7781">
          <cell r="N7781">
            <v>-36.802</v>
          </cell>
        </row>
        <row r="7782">
          <cell r="N7782">
            <v>-111.877</v>
          </cell>
        </row>
        <row r="7783">
          <cell r="N7783">
            <v>-129.30000000000001</v>
          </cell>
        </row>
        <row r="7784">
          <cell r="N7784">
            <v>-57.546999999999997</v>
          </cell>
        </row>
        <row r="7785">
          <cell r="N7785">
            <v>-13.712</v>
          </cell>
        </row>
        <row r="7786">
          <cell r="N7786">
            <v>-5.4669999999999996</v>
          </cell>
        </row>
        <row r="7787">
          <cell r="N7787">
            <v>-16.172000000000001</v>
          </cell>
        </row>
        <row r="7788">
          <cell r="N7788">
            <v>-3.3940000000000001</v>
          </cell>
        </row>
        <row r="7789">
          <cell r="N7789">
            <v>-13.766</v>
          </cell>
        </row>
        <row r="7790">
          <cell r="N7790">
            <v>-507.7</v>
          </cell>
        </row>
        <row r="7791">
          <cell r="N7791">
            <v>-2.0910000000000002</v>
          </cell>
        </row>
        <row r="7792">
          <cell r="N7792">
            <v>-7.2939999999999996</v>
          </cell>
        </row>
        <row r="7793">
          <cell r="N7793">
            <v>-37.213000000000001</v>
          </cell>
        </row>
        <row r="7794">
          <cell r="N7794">
            <v>-4.6040000000000001</v>
          </cell>
        </row>
        <row r="7795">
          <cell r="N7795">
            <v>-507.7</v>
          </cell>
        </row>
        <row r="7796">
          <cell r="N7796">
            <v>-304.48200000000003</v>
          </cell>
        </row>
        <row r="7797">
          <cell r="N7797">
            <v>-506.01799999999997</v>
          </cell>
        </row>
        <row r="7798">
          <cell r="N7798">
            <v>-2.5960000000000001</v>
          </cell>
        </row>
        <row r="7799">
          <cell r="N7799">
            <v>-5.76</v>
          </cell>
        </row>
        <row r="7800">
          <cell r="N7800">
            <v>-203.93299999999999</v>
          </cell>
        </row>
        <row r="7801">
          <cell r="N7801">
            <v>-10.717000000000001</v>
          </cell>
        </row>
        <row r="7802">
          <cell r="N7802">
            <v>-12.747</v>
          </cell>
        </row>
        <row r="7803">
          <cell r="N7803">
            <v>-1.7330000000000001</v>
          </cell>
        </row>
        <row r="7804">
          <cell r="N7804">
            <v>-14.999000000000001</v>
          </cell>
        </row>
        <row r="7805">
          <cell r="N7805">
            <v>-5.8049999999999997</v>
          </cell>
        </row>
        <row r="7806">
          <cell r="N7806">
            <v>-0.40100000000000002</v>
          </cell>
        </row>
        <row r="7807">
          <cell r="N7807">
            <v>-12.577999999999999</v>
          </cell>
        </row>
        <row r="7808">
          <cell r="N7808">
            <v>-7.9539999999999997</v>
          </cell>
        </row>
        <row r="7809">
          <cell r="N7809">
            <v>-3.68</v>
          </cell>
        </row>
        <row r="7810">
          <cell r="N7810">
            <v>-13.701000000000001</v>
          </cell>
        </row>
        <row r="7811">
          <cell r="N7811">
            <v>-14.038</v>
          </cell>
        </row>
        <row r="7812">
          <cell r="N7812">
            <v>-12.914999999999999</v>
          </cell>
        </row>
        <row r="7813">
          <cell r="N7813">
            <v>-14.824</v>
          </cell>
        </row>
        <row r="7814">
          <cell r="N7814">
            <v>-3.2370000000000001</v>
          </cell>
        </row>
        <row r="7815">
          <cell r="N7815">
            <v>-12.465999999999999</v>
          </cell>
        </row>
        <row r="7816">
          <cell r="N7816">
            <v>-10.613</v>
          </cell>
        </row>
        <row r="7817">
          <cell r="N7817">
            <v>-11.398999999999999</v>
          </cell>
        </row>
        <row r="7818">
          <cell r="N7818">
            <v>-12.11</v>
          </cell>
        </row>
        <row r="7819">
          <cell r="N7819">
            <v>-3.2370000000000001</v>
          </cell>
        </row>
        <row r="7820">
          <cell r="N7820">
            <v>-0.44400000000000001</v>
          </cell>
        </row>
        <row r="7821">
          <cell r="N7821">
            <v>-11.118</v>
          </cell>
        </row>
        <row r="7822">
          <cell r="N7822">
            <v>-8.76</v>
          </cell>
        </row>
        <row r="7823">
          <cell r="N7823">
            <v>-1.905</v>
          </cell>
        </row>
        <row r="7824">
          <cell r="N7824">
            <v>-15.554</v>
          </cell>
        </row>
        <row r="7825">
          <cell r="N7825">
            <v>-16.228000000000002</v>
          </cell>
        </row>
        <row r="7826">
          <cell r="N7826">
            <v>-13.701000000000001</v>
          </cell>
        </row>
        <row r="7827">
          <cell r="N7827">
            <v>-8.3670000000000009</v>
          </cell>
        </row>
        <row r="7828">
          <cell r="N7828">
            <v>-13.757</v>
          </cell>
        </row>
        <row r="7829">
          <cell r="N7829">
            <v>-6.0350000000000001</v>
          </cell>
        </row>
        <row r="7830">
          <cell r="N7830">
            <v>-14.936</v>
          </cell>
        </row>
        <row r="7831">
          <cell r="N7831">
            <v>-1.518</v>
          </cell>
        </row>
        <row r="7832">
          <cell r="N7832">
            <v>-6.2169999999999996</v>
          </cell>
        </row>
        <row r="7833">
          <cell r="N7833">
            <v>-5.38</v>
          </cell>
        </row>
        <row r="7834">
          <cell r="N7834">
            <v>-13.981999999999999</v>
          </cell>
        </row>
        <row r="7835">
          <cell r="N7835">
            <v>-31.745999999999999</v>
          </cell>
        </row>
        <row r="7836">
          <cell r="N7836">
            <v>-12.577999999999999</v>
          </cell>
        </row>
        <row r="7837">
          <cell r="N7837">
            <v>-13.701000000000001</v>
          </cell>
        </row>
        <row r="7838">
          <cell r="N7838">
            <v>-1.1739999999999999</v>
          </cell>
        </row>
        <row r="7839">
          <cell r="N7839">
            <v>-63.692</v>
          </cell>
        </row>
        <row r="7840">
          <cell r="N7840">
            <v>-24.303999999999998</v>
          </cell>
        </row>
        <row r="7841">
          <cell r="N7841">
            <v>-11.006</v>
          </cell>
        </row>
        <row r="7842">
          <cell r="N7842">
            <v>-3.68</v>
          </cell>
        </row>
        <row r="7843">
          <cell r="N7843">
            <v>-13.083</v>
          </cell>
        </row>
        <row r="7844">
          <cell r="N7844">
            <v>-14.036</v>
          </cell>
        </row>
        <row r="7845">
          <cell r="N7845">
            <v>-15.891</v>
          </cell>
        </row>
        <row r="7846">
          <cell r="N7846">
            <v>-11.622999999999999</v>
          </cell>
        </row>
        <row r="7847">
          <cell r="N7847">
            <v>-12.971</v>
          </cell>
        </row>
        <row r="7848">
          <cell r="N7848">
            <v>-11.848000000000001</v>
          </cell>
        </row>
        <row r="7849">
          <cell r="N7849">
            <v>-1.6279999999999999</v>
          </cell>
        </row>
        <row r="7850">
          <cell r="N7850">
            <v>-6.1139999999999999</v>
          </cell>
        </row>
        <row r="7851">
          <cell r="N7851">
            <v>-13.308</v>
          </cell>
        </row>
        <row r="7852">
          <cell r="N7852">
            <v>-8.1430000000000007</v>
          </cell>
        </row>
        <row r="7853">
          <cell r="N7853">
            <v>-2.6629999999999998</v>
          </cell>
        </row>
        <row r="7854">
          <cell r="N7854">
            <v>-571.98299999999995</v>
          </cell>
        </row>
        <row r="7855">
          <cell r="N7855">
            <v>-315.02300000000002</v>
          </cell>
        </row>
        <row r="7856">
          <cell r="N7856">
            <v>-240.75399999999999</v>
          </cell>
        </row>
        <row r="7857">
          <cell r="N7857">
            <v>-2.4049999999999998</v>
          </cell>
        </row>
        <row r="7858">
          <cell r="N7858">
            <v>-5.851</v>
          </cell>
        </row>
        <row r="7859">
          <cell r="N7859">
            <v>-12.297000000000001</v>
          </cell>
        </row>
        <row r="7860">
          <cell r="N7860">
            <v>-15.385999999999999</v>
          </cell>
        </row>
        <row r="7861">
          <cell r="N7861">
            <v>-13.14</v>
          </cell>
        </row>
        <row r="7862">
          <cell r="N7862">
            <v>-13.813000000000001</v>
          </cell>
        </row>
        <row r="7863">
          <cell r="N7863">
            <v>-12.428000000000001</v>
          </cell>
        </row>
        <row r="7864">
          <cell r="N7864">
            <v>-11.23</v>
          </cell>
        </row>
        <row r="7865">
          <cell r="N7865">
            <v>-12.613</v>
          </cell>
        </row>
        <row r="7866">
          <cell r="N7866">
            <v>-15.161</v>
          </cell>
        </row>
        <row r="7867">
          <cell r="N7867">
            <v>-17.239000000000001</v>
          </cell>
        </row>
        <row r="7868">
          <cell r="N7868">
            <v>-17.024000000000001</v>
          </cell>
        </row>
        <row r="7869">
          <cell r="N7869">
            <v>-13.476000000000001</v>
          </cell>
        </row>
        <row r="7870">
          <cell r="N7870">
            <v>-4.0670000000000002</v>
          </cell>
        </row>
        <row r="7871">
          <cell r="N7871">
            <v>-24.585999999999999</v>
          </cell>
        </row>
        <row r="7872">
          <cell r="N7872">
            <v>-14.15</v>
          </cell>
        </row>
        <row r="7873">
          <cell r="N7873">
            <v>-14.6</v>
          </cell>
        </row>
        <row r="7874">
          <cell r="N7874">
            <v>-3.4510000000000001</v>
          </cell>
        </row>
        <row r="7875">
          <cell r="N7875">
            <v>-13.252000000000001</v>
          </cell>
        </row>
        <row r="7876">
          <cell r="N7876">
            <v>-11.532</v>
          </cell>
        </row>
        <row r="7877">
          <cell r="N7877">
            <v>-14.375</v>
          </cell>
        </row>
        <row r="7878">
          <cell r="N7878">
            <v>-6.3540000000000001</v>
          </cell>
        </row>
        <row r="7879">
          <cell r="N7879">
            <v>-2.641</v>
          </cell>
        </row>
        <row r="7880">
          <cell r="N7880">
            <v>-16.509</v>
          </cell>
        </row>
        <row r="7881">
          <cell r="N7881">
            <v>-6.742</v>
          </cell>
        </row>
        <row r="7882">
          <cell r="N7882">
            <v>-5.508</v>
          </cell>
        </row>
        <row r="7883">
          <cell r="N7883">
            <v>-13.589</v>
          </cell>
        </row>
        <row r="7884">
          <cell r="N7884">
            <v>-6.09</v>
          </cell>
        </row>
        <row r="7885">
          <cell r="N7885">
            <v>-23.172999999999998</v>
          </cell>
        </row>
        <row r="7886">
          <cell r="N7886">
            <v>-13.532999999999999</v>
          </cell>
        </row>
        <row r="7887">
          <cell r="N7887">
            <v>-13.87</v>
          </cell>
        </row>
        <row r="7888">
          <cell r="N7888">
            <v>-16.116</v>
          </cell>
        </row>
        <row r="7889">
          <cell r="N7889">
            <v>-13.645</v>
          </cell>
        </row>
        <row r="7890">
          <cell r="N7890">
            <v>-17.866</v>
          </cell>
        </row>
        <row r="7891">
          <cell r="N7891">
            <v>-12.803000000000001</v>
          </cell>
        </row>
        <row r="7892">
          <cell r="N7892">
            <v>-3.04</v>
          </cell>
        </row>
        <row r="7893">
          <cell r="N7893">
            <v>-13.87</v>
          </cell>
        </row>
        <row r="7894">
          <cell r="N7894">
            <v>-14.88</v>
          </cell>
        </row>
        <row r="7895">
          <cell r="N7895">
            <v>-14.993</v>
          </cell>
        </row>
        <row r="7896">
          <cell r="N7896">
            <v>-12.41</v>
          </cell>
        </row>
        <row r="7897">
          <cell r="N7897">
            <v>-5.9459999999999997</v>
          </cell>
        </row>
        <row r="7898">
          <cell r="N7898">
            <v>-7.6340000000000003</v>
          </cell>
        </row>
        <row r="7899">
          <cell r="N7899">
            <v>-1001.917</v>
          </cell>
        </row>
        <row r="7900">
          <cell r="N7900">
            <v>-108.21299999999999</v>
          </cell>
        </row>
        <row r="7901">
          <cell r="N7901">
            <v>-16.846</v>
          </cell>
        </row>
        <row r="7902">
          <cell r="N7902">
            <v>-81.343000000000004</v>
          </cell>
        </row>
        <row r="7903">
          <cell r="N7903">
            <v>-26.847000000000001</v>
          </cell>
        </row>
        <row r="7904">
          <cell r="N7904">
            <v>-2.843</v>
          </cell>
        </row>
        <row r="7905">
          <cell r="N7905">
            <v>-15.217000000000001</v>
          </cell>
        </row>
        <row r="7906">
          <cell r="N7906">
            <v>-2.8540000000000001</v>
          </cell>
        </row>
        <row r="7907">
          <cell r="N7907">
            <v>-8.5350000000000001</v>
          </cell>
        </row>
        <row r="7908">
          <cell r="N7908">
            <v>-6.4909999999999997</v>
          </cell>
        </row>
        <row r="7909">
          <cell r="N7909">
            <v>-12.185</v>
          </cell>
        </row>
        <row r="7910">
          <cell r="N7910">
            <v>-12.859</v>
          </cell>
        </row>
        <row r="7911">
          <cell r="N7911">
            <v>-14.430999999999999</v>
          </cell>
        </row>
        <row r="7912">
          <cell r="N7912">
            <v>-12.859</v>
          </cell>
        </row>
        <row r="7913">
          <cell r="N7913">
            <v>-27.884</v>
          </cell>
        </row>
        <row r="7914">
          <cell r="N7914">
            <v>-5.6000000000000001E-2</v>
          </cell>
        </row>
        <row r="7915">
          <cell r="N7915">
            <v>-3.0000000000000001E-3</v>
          </cell>
        </row>
        <row r="7916">
          <cell r="N7916">
            <v>-3.637</v>
          </cell>
        </row>
        <row r="7917">
          <cell r="N7917">
            <v>-6.56</v>
          </cell>
        </row>
        <row r="7918">
          <cell r="N7918">
            <v>-5.6000000000000001E-2</v>
          </cell>
        </row>
        <row r="7919">
          <cell r="N7919">
            <v>-25.905000000000001</v>
          </cell>
        </row>
        <row r="7920">
          <cell r="N7920">
            <v>-12.465999999999999</v>
          </cell>
        </row>
        <row r="7921">
          <cell r="N7921">
            <v>-14.824</v>
          </cell>
        </row>
        <row r="7922">
          <cell r="N7922">
            <v>-5.6000000000000001E-2</v>
          </cell>
        </row>
        <row r="7923">
          <cell r="N7923">
            <v>-7.8E-2</v>
          </cell>
        </row>
        <row r="7924">
          <cell r="N7924">
            <v>-5.6000000000000001E-2</v>
          </cell>
        </row>
        <row r="7925">
          <cell r="N7925">
            <v>-5.6000000000000001E-2</v>
          </cell>
        </row>
        <row r="7926">
          <cell r="N7926">
            <v>-15.33</v>
          </cell>
        </row>
        <row r="7927">
          <cell r="N7927">
            <v>-21.814</v>
          </cell>
        </row>
        <row r="7928">
          <cell r="N7928">
            <v>-5.6000000000000001E-2</v>
          </cell>
        </row>
        <row r="7929">
          <cell r="N7929">
            <v>-13.757</v>
          </cell>
        </row>
        <row r="7930">
          <cell r="N7930">
            <v>-11.414</v>
          </cell>
        </row>
        <row r="7931">
          <cell r="N7931">
            <v>-18.699000000000002</v>
          </cell>
        </row>
        <row r="7932">
          <cell r="N7932">
            <v>-2.8650000000000002</v>
          </cell>
        </row>
        <row r="7933">
          <cell r="N7933">
            <v>-5.6000000000000001E-2</v>
          </cell>
        </row>
        <row r="7934">
          <cell r="N7934">
            <v>-6.4000000000000001E-2</v>
          </cell>
        </row>
        <row r="7935">
          <cell r="N7935">
            <v>-6.2E-2</v>
          </cell>
        </row>
        <row r="7936">
          <cell r="N7936">
            <v>-7.8E-2</v>
          </cell>
        </row>
        <row r="7937">
          <cell r="N7937">
            <v>-6.0419999999999998</v>
          </cell>
        </row>
        <row r="7938">
          <cell r="N7938">
            <v>-475.488</v>
          </cell>
        </row>
        <row r="7939">
          <cell r="N7939">
            <v>-532</v>
          </cell>
        </row>
        <row r="7940">
          <cell r="N7940">
            <v>-13.87</v>
          </cell>
        </row>
        <row r="7941">
          <cell r="N7941">
            <v>-629.63</v>
          </cell>
        </row>
        <row r="7942">
          <cell r="N7942">
            <v>-4.4390000000000001</v>
          </cell>
        </row>
        <row r="7943">
          <cell r="N7943">
            <v>-15.442</v>
          </cell>
        </row>
        <row r="7944">
          <cell r="N7944">
            <v>-13.196</v>
          </cell>
        </row>
        <row r="7945">
          <cell r="N7945">
            <v>-13.083</v>
          </cell>
        </row>
        <row r="7946">
          <cell r="N7946">
            <v>-5.8970000000000002</v>
          </cell>
        </row>
        <row r="7947">
          <cell r="N7947">
            <v>-6.2E-2</v>
          </cell>
        </row>
        <row r="7948">
          <cell r="N7948">
            <v>-6.2E-2</v>
          </cell>
        </row>
        <row r="7949">
          <cell r="N7949">
            <v>-6.2E-2</v>
          </cell>
        </row>
        <row r="7950">
          <cell r="N7950">
            <v>-5.4669999999999996</v>
          </cell>
        </row>
        <row r="7951">
          <cell r="N7951">
            <v>-15.61</v>
          </cell>
        </row>
        <row r="7952">
          <cell r="N7952">
            <v>-6.2E-2</v>
          </cell>
        </row>
        <row r="7953">
          <cell r="N7953">
            <v>-532</v>
          </cell>
        </row>
        <row r="7954">
          <cell r="N7954">
            <v>-5.3019999999999996</v>
          </cell>
        </row>
        <row r="7955">
          <cell r="N7955">
            <v>-0.02</v>
          </cell>
        </row>
        <row r="7956">
          <cell r="N7956">
            <v>-6.2E-2</v>
          </cell>
        </row>
        <row r="7957">
          <cell r="N7957">
            <v>-11.96</v>
          </cell>
        </row>
        <row r="7958">
          <cell r="N7958">
            <v>-16.846</v>
          </cell>
        </row>
        <row r="7959">
          <cell r="N7959">
            <v>-14.6</v>
          </cell>
        </row>
        <row r="7960">
          <cell r="N7960">
            <v>-3.738</v>
          </cell>
        </row>
        <row r="7961">
          <cell r="N7961">
            <v>-4.0000000000000001E-3</v>
          </cell>
        </row>
        <row r="7962">
          <cell r="N7962">
            <v>-12.465999999999999</v>
          </cell>
        </row>
        <row r="7963">
          <cell r="N7963">
            <v>-7.0000000000000001E-3</v>
          </cell>
        </row>
        <row r="7964">
          <cell r="N7964">
            <v>-0.56200000000000006</v>
          </cell>
        </row>
        <row r="7965">
          <cell r="N7965">
            <v>-18.53</v>
          </cell>
        </row>
        <row r="7966">
          <cell r="N7966">
            <v>-14.88</v>
          </cell>
        </row>
        <row r="7967">
          <cell r="N7967">
            <v>-0.36699999999999999</v>
          </cell>
        </row>
        <row r="7968">
          <cell r="N7968">
            <v>-5.9480000000000004</v>
          </cell>
        </row>
        <row r="7969">
          <cell r="N7969">
            <v>-14.430999999999999</v>
          </cell>
        </row>
        <row r="7970">
          <cell r="N7970">
            <v>-3.2360000000000002</v>
          </cell>
        </row>
        <row r="7971">
          <cell r="N7971">
            <v>-26.187999999999999</v>
          </cell>
        </row>
        <row r="7972">
          <cell r="N7972">
            <v>-11.287000000000001</v>
          </cell>
        </row>
        <row r="7973">
          <cell r="N7973">
            <v>-12.914999999999999</v>
          </cell>
        </row>
        <row r="7974">
          <cell r="N7974">
            <v>-16.846</v>
          </cell>
        </row>
        <row r="7975">
          <cell r="N7975">
            <v>-0.153</v>
          </cell>
        </row>
        <row r="7976">
          <cell r="N7976">
            <v>-20.067</v>
          </cell>
        </row>
        <row r="7977">
          <cell r="N7977">
            <v>-88.632000000000005</v>
          </cell>
        </row>
        <row r="7978">
          <cell r="N7978">
            <v>-4.9139999999999997</v>
          </cell>
        </row>
        <row r="7979">
          <cell r="N7979">
            <v>-25.623000000000001</v>
          </cell>
        </row>
        <row r="7980">
          <cell r="N7980">
            <v>-12.185</v>
          </cell>
        </row>
        <row r="7981">
          <cell r="N7981">
            <v>-14.430999999999999</v>
          </cell>
        </row>
        <row r="7982">
          <cell r="N7982">
            <v>-2.7080000000000002</v>
          </cell>
        </row>
        <row r="7983">
          <cell r="N7983">
            <v>-1.0449999999999999</v>
          </cell>
        </row>
        <row r="7984">
          <cell r="N7984">
            <v>-26.094000000000001</v>
          </cell>
        </row>
        <row r="7985">
          <cell r="N7985">
            <v>-12.241</v>
          </cell>
        </row>
        <row r="7986">
          <cell r="N7986">
            <v>-0.71599999999999997</v>
          </cell>
        </row>
        <row r="7987">
          <cell r="N7987">
            <v>-13.364000000000001</v>
          </cell>
        </row>
        <row r="7988">
          <cell r="N7988">
            <v>-7.23</v>
          </cell>
        </row>
        <row r="7989">
          <cell r="N7989">
            <v>-10.988</v>
          </cell>
        </row>
        <row r="7990">
          <cell r="N7990">
            <v>-470.51100000000002</v>
          </cell>
        </row>
        <row r="7991">
          <cell r="N7991">
            <v>-1.976</v>
          </cell>
        </row>
        <row r="7992">
          <cell r="N7992">
            <v>-10.087999999999999</v>
          </cell>
        </row>
        <row r="7993">
          <cell r="N7993">
            <v>-905.452</v>
          </cell>
        </row>
        <row r="7994">
          <cell r="N7994">
            <v>-6.649</v>
          </cell>
        </row>
        <row r="7995">
          <cell r="N7995">
            <v>-8.9999999999999993E-3</v>
          </cell>
        </row>
        <row r="7996">
          <cell r="N7996">
            <v>-12.914999999999999</v>
          </cell>
        </row>
        <row r="7997">
          <cell r="N7997">
            <v>-7.4809999999999999</v>
          </cell>
        </row>
        <row r="7998">
          <cell r="N7998">
            <v>-2.427</v>
          </cell>
        </row>
        <row r="7999">
          <cell r="N7999">
            <v>-57.198</v>
          </cell>
        </row>
        <row r="8000">
          <cell r="N8000">
            <v>-24.869</v>
          </cell>
        </row>
        <row r="8001">
          <cell r="N8001">
            <v>-15.779</v>
          </cell>
        </row>
        <row r="8002">
          <cell r="N8002">
            <v>-11.792</v>
          </cell>
        </row>
        <row r="8003">
          <cell r="N8003">
            <v>-17.576000000000001</v>
          </cell>
        </row>
        <row r="8004">
          <cell r="N8004">
            <v>-23.927</v>
          </cell>
        </row>
        <row r="8005">
          <cell r="N8005">
            <v>-15.15</v>
          </cell>
        </row>
        <row r="8006">
          <cell r="N8006">
            <v>-10.051</v>
          </cell>
        </row>
        <row r="8007">
          <cell r="N8007">
            <v>-12.185</v>
          </cell>
        </row>
        <row r="8008">
          <cell r="N8008">
            <v>-15.15</v>
          </cell>
        </row>
        <row r="8009">
          <cell r="N8009">
            <v>-15.15</v>
          </cell>
        </row>
        <row r="8010">
          <cell r="N8010">
            <v>-3.68</v>
          </cell>
        </row>
        <row r="8011">
          <cell r="N8011">
            <v>-657.62300000000005</v>
          </cell>
        </row>
        <row r="8012">
          <cell r="N8012">
            <v>-3.6659999999999999</v>
          </cell>
        </row>
        <row r="8013">
          <cell r="N8013">
            <v>-15.105</v>
          </cell>
        </row>
        <row r="8014">
          <cell r="N8014">
            <v>-8.1059999999999999</v>
          </cell>
        </row>
        <row r="8015">
          <cell r="N8015">
            <v>-14.6</v>
          </cell>
        </row>
        <row r="8016">
          <cell r="N8016">
            <v>-18.626999999999999</v>
          </cell>
        </row>
        <row r="8017">
          <cell r="N8017">
            <v>-14.093999999999999</v>
          </cell>
        </row>
        <row r="8018">
          <cell r="N8018">
            <v>-13.42</v>
          </cell>
        </row>
        <row r="8019">
          <cell r="N8019">
            <v>-4.8840000000000003</v>
          </cell>
        </row>
        <row r="8020">
          <cell r="N8020">
            <v>-9.1530000000000005</v>
          </cell>
        </row>
        <row r="8021">
          <cell r="N8021">
            <v>-16.003</v>
          </cell>
        </row>
        <row r="8022">
          <cell r="N8022">
            <v>-16.34</v>
          </cell>
        </row>
        <row r="8023">
          <cell r="N8023">
            <v>-8.5139999999999993</v>
          </cell>
        </row>
        <row r="8024">
          <cell r="N8024">
            <v>-11.853999999999999</v>
          </cell>
        </row>
        <row r="8025">
          <cell r="N8025">
            <v>-3.4079999999999999</v>
          </cell>
        </row>
        <row r="8026">
          <cell r="N8026">
            <v>-29.108000000000001</v>
          </cell>
        </row>
        <row r="8027">
          <cell r="N8027">
            <v>-2.7749999999999999</v>
          </cell>
        </row>
        <row r="8028">
          <cell r="N8028">
            <v>-14.375</v>
          </cell>
        </row>
        <row r="8029">
          <cell r="N8029">
            <v>-13.083</v>
          </cell>
        </row>
        <row r="8030">
          <cell r="N8030">
            <v>-8.718</v>
          </cell>
        </row>
        <row r="8031">
          <cell r="N8031">
            <v>-18.585999999999999</v>
          </cell>
        </row>
        <row r="8032">
          <cell r="N8032">
            <v>-13.813000000000001</v>
          </cell>
        </row>
        <row r="8033">
          <cell r="N8033">
            <v>-13.981999999999999</v>
          </cell>
        </row>
        <row r="8034">
          <cell r="N8034">
            <v>-411.51100000000002</v>
          </cell>
        </row>
        <row r="8035">
          <cell r="N8035">
            <v>-24.303999999999998</v>
          </cell>
        </row>
        <row r="8036">
          <cell r="N8036">
            <v>-12.41</v>
          </cell>
        </row>
        <row r="8037">
          <cell r="N8037">
            <v>-14.88</v>
          </cell>
        </row>
        <row r="8038">
          <cell r="N8038">
            <v>-2.82</v>
          </cell>
        </row>
        <row r="8039">
          <cell r="N8039">
            <v>-14.093999999999999</v>
          </cell>
        </row>
        <row r="8040">
          <cell r="N8040">
            <v>-7.8440000000000003</v>
          </cell>
        </row>
        <row r="8041">
          <cell r="N8041">
            <v>-12.859</v>
          </cell>
        </row>
        <row r="8042">
          <cell r="N8042">
            <v>-24.869</v>
          </cell>
        </row>
        <row r="8043">
          <cell r="N8043">
            <v>-11.173999999999999</v>
          </cell>
        </row>
        <row r="8044">
          <cell r="N8044">
            <v>-13.364000000000001</v>
          </cell>
        </row>
        <row r="8045">
          <cell r="N8045">
            <v>-6.9560000000000004</v>
          </cell>
        </row>
        <row r="8046">
          <cell r="N8046">
            <v>-13.196</v>
          </cell>
        </row>
        <row r="8047">
          <cell r="N8047">
            <v>-533.851</v>
          </cell>
        </row>
        <row r="8048">
          <cell r="N8048">
            <v>-13.252000000000001</v>
          </cell>
        </row>
        <row r="8049">
          <cell r="N8049">
            <v>-533.851</v>
          </cell>
        </row>
        <row r="8050">
          <cell r="N8050">
            <v>-0.129</v>
          </cell>
        </row>
        <row r="8051">
          <cell r="N8051">
            <v>-3.766</v>
          </cell>
        </row>
        <row r="8052">
          <cell r="N8052">
            <v>-3.165</v>
          </cell>
        </row>
        <row r="8053">
          <cell r="N8053">
            <v>-2.6070000000000002</v>
          </cell>
        </row>
        <row r="8054">
          <cell r="N8054">
            <v>-11.061999999999999</v>
          </cell>
        </row>
        <row r="8055">
          <cell r="N8055">
            <v>-12.073</v>
          </cell>
        </row>
        <row r="8056">
          <cell r="N8056">
            <v>-26.094000000000001</v>
          </cell>
        </row>
        <row r="8057">
          <cell r="N8057">
            <v>-7.09</v>
          </cell>
        </row>
        <row r="8058">
          <cell r="N8058">
            <v>-13.757</v>
          </cell>
        </row>
        <row r="8059">
          <cell r="N8059">
            <v>-14.375</v>
          </cell>
        </row>
        <row r="8060">
          <cell r="N8060">
            <v>-18.024999999999999</v>
          </cell>
        </row>
        <row r="8061">
          <cell r="N8061">
            <v>-0.10199999999999999</v>
          </cell>
        </row>
        <row r="8062">
          <cell r="N8062">
            <v>-4.0000000000000001E-3</v>
          </cell>
        </row>
        <row r="8063">
          <cell r="N8063">
            <v>-15.723000000000001</v>
          </cell>
        </row>
        <row r="8064">
          <cell r="N8064">
            <v>-1.349</v>
          </cell>
        </row>
        <row r="8065">
          <cell r="N8065">
            <v>-15.497999999999999</v>
          </cell>
        </row>
        <row r="8066">
          <cell r="N8066">
            <v>-0.01</v>
          </cell>
        </row>
        <row r="8067">
          <cell r="N8067">
            <v>-1E-3</v>
          </cell>
        </row>
        <row r="8068">
          <cell r="N8068">
            <v>-7.0030000000000001</v>
          </cell>
        </row>
        <row r="8069">
          <cell r="N8069">
            <v>-8.9999999999999993E-3</v>
          </cell>
        </row>
        <row r="8070">
          <cell r="N8070">
            <v>-10.164</v>
          </cell>
        </row>
        <row r="8071">
          <cell r="N8071">
            <v>-8.7999999999999995E-2</v>
          </cell>
        </row>
        <row r="8072">
          <cell r="N8072">
            <v>-9.5000000000000001E-2</v>
          </cell>
        </row>
        <row r="8073">
          <cell r="N8073">
            <v>-9.5000000000000001E-2</v>
          </cell>
        </row>
        <row r="8074">
          <cell r="N8074">
            <v>-6.0000000000000001E-3</v>
          </cell>
        </row>
        <row r="8075">
          <cell r="N8075">
            <v>-432.85199999999998</v>
          </cell>
        </row>
        <row r="8076">
          <cell r="N8076">
            <v>-7.5369999999999999</v>
          </cell>
        </row>
        <row r="8077">
          <cell r="N8077">
            <v>-23.832999999999998</v>
          </cell>
        </row>
        <row r="8078">
          <cell r="N8078">
            <v>-15.105</v>
          </cell>
        </row>
        <row r="8079">
          <cell r="N8079">
            <v>-8.7999999999999995E-2</v>
          </cell>
        </row>
        <row r="8080">
          <cell r="N8080">
            <v>-13.252000000000001</v>
          </cell>
        </row>
        <row r="8081">
          <cell r="N8081">
            <v>-12.634</v>
          </cell>
        </row>
        <row r="8082">
          <cell r="N8082">
            <v>-450.166</v>
          </cell>
        </row>
        <row r="8083">
          <cell r="N8083">
            <v>-588.67899999999997</v>
          </cell>
        </row>
        <row r="8084">
          <cell r="N8084">
            <v>-3.05</v>
          </cell>
        </row>
        <row r="8085">
          <cell r="N8085">
            <v>-13.026999999999999</v>
          </cell>
        </row>
        <row r="8086">
          <cell r="N8086">
            <v>-3.8519999999999999</v>
          </cell>
        </row>
        <row r="8087">
          <cell r="N8087">
            <v>-5.0000000000000001E-3</v>
          </cell>
        </row>
        <row r="8088">
          <cell r="N8088">
            <v>-17.239000000000001</v>
          </cell>
        </row>
        <row r="8089">
          <cell r="N8089">
            <v>-8.7999999999999995E-2</v>
          </cell>
        </row>
        <row r="8090">
          <cell r="N8090">
            <v>-14.88</v>
          </cell>
        </row>
        <row r="8091">
          <cell r="N8091">
            <v>-8.9999999999999993E-3</v>
          </cell>
        </row>
        <row r="8092">
          <cell r="N8092">
            <v>-11.061999999999999</v>
          </cell>
        </row>
        <row r="8093">
          <cell r="N8093">
            <v>-4.0000000000000001E-3</v>
          </cell>
        </row>
        <row r="8094">
          <cell r="N8094">
            <v>-2.641</v>
          </cell>
        </row>
        <row r="8095">
          <cell r="N8095">
            <v>-11.96</v>
          </cell>
        </row>
        <row r="8096">
          <cell r="N8096">
            <v>-15.779</v>
          </cell>
        </row>
        <row r="8097">
          <cell r="N8097">
            <v>-2.8319999999999999</v>
          </cell>
        </row>
        <row r="8098">
          <cell r="N8098">
            <v>-2.9249999999999998</v>
          </cell>
        </row>
        <row r="8099">
          <cell r="N8099">
            <v>-16.509</v>
          </cell>
        </row>
        <row r="8100">
          <cell r="N8100">
            <v>-13.026999999999999</v>
          </cell>
        </row>
        <row r="8101">
          <cell r="N8101">
            <v>-2.629</v>
          </cell>
        </row>
        <row r="8102">
          <cell r="N8102">
            <v>-16.733000000000001</v>
          </cell>
        </row>
        <row r="8103">
          <cell r="N8103">
            <v>-17.295000000000002</v>
          </cell>
        </row>
        <row r="8104">
          <cell r="N8104">
            <v>-16.509</v>
          </cell>
        </row>
        <row r="8105">
          <cell r="N8105">
            <v>-11.96</v>
          </cell>
        </row>
        <row r="8106">
          <cell r="N8106">
            <v>-11.343</v>
          </cell>
        </row>
        <row r="8107">
          <cell r="N8107">
            <v>-13.757</v>
          </cell>
        </row>
        <row r="8108">
          <cell r="N8108">
            <v>-432.85199999999998</v>
          </cell>
        </row>
        <row r="8109">
          <cell r="N8109">
            <v>-14.6</v>
          </cell>
        </row>
        <row r="8110">
          <cell r="N8110">
            <v>-26.282</v>
          </cell>
        </row>
        <row r="8111">
          <cell r="N8111">
            <v>-72.141999999999996</v>
          </cell>
        </row>
        <row r="8112">
          <cell r="N8112">
            <v>-7.4249999999999998</v>
          </cell>
        </row>
        <row r="8113">
          <cell r="N8113">
            <v>-510.18799999999999</v>
          </cell>
        </row>
        <row r="8114">
          <cell r="N8114">
            <v>-13.476000000000001</v>
          </cell>
        </row>
        <row r="8115">
          <cell r="N8115">
            <v>-16.509</v>
          </cell>
        </row>
        <row r="8116">
          <cell r="N8116">
            <v>-0.59299999999999997</v>
          </cell>
        </row>
        <row r="8117">
          <cell r="N8117">
            <v>-15.442</v>
          </cell>
        </row>
        <row r="8118">
          <cell r="N8118">
            <v>-510.18799999999999</v>
          </cell>
        </row>
        <row r="8119">
          <cell r="N8119">
            <v>-14.206</v>
          </cell>
        </row>
        <row r="8120">
          <cell r="N8120">
            <v>-12.522</v>
          </cell>
        </row>
        <row r="8121">
          <cell r="N8121">
            <v>-5.0000000000000001E-3</v>
          </cell>
        </row>
        <row r="8122">
          <cell r="N8122">
            <v>-2.27</v>
          </cell>
        </row>
        <row r="8123">
          <cell r="N8123">
            <v>-4.4359999999999999</v>
          </cell>
        </row>
        <row r="8124">
          <cell r="N8124">
            <v>-138.053</v>
          </cell>
        </row>
        <row r="8125">
          <cell r="N8125">
            <v>-391.447</v>
          </cell>
        </row>
        <row r="8126">
          <cell r="N8126">
            <v>-614.48</v>
          </cell>
        </row>
        <row r="8127">
          <cell r="N8127">
            <v>-949.25800000000004</v>
          </cell>
        </row>
        <row r="8128">
          <cell r="N8128">
            <v>-1149.306</v>
          </cell>
        </row>
        <row r="8129">
          <cell r="N8129">
            <v>-3.6440000000000001</v>
          </cell>
        </row>
        <row r="8130">
          <cell r="N8130">
            <v>-15.356</v>
          </cell>
        </row>
        <row r="8131">
          <cell r="N8131">
            <v>-3</v>
          </cell>
        </row>
        <row r="8132">
          <cell r="N8132">
            <v>-8</v>
          </cell>
        </row>
        <row r="8133">
          <cell r="N8133">
            <v>-36.683999999999997</v>
          </cell>
        </row>
        <row r="8134">
          <cell r="N8134">
            <v>-20</v>
          </cell>
        </row>
        <row r="8135">
          <cell r="N8135">
            <v>-6.7880000000000003</v>
          </cell>
        </row>
        <row r="8136">
          <cell r="N8136">
            <v>-0.22800000000000001</v>
          </cell>
        </row>
        <row r="8137">
          <cell r="N8137">
            <v>-3.609</v>
          </cell>
        </row>
        <row r="8138">
          <cell r="N8138">
            <v>-3.891</v>
          </cell>
        </row>
        <row r="8139">
          <cell r="N8139">
            <v>-231</v>
          </cell>
        </row>
        <row r="8140">
          <cell r="N8140">
            <v>-231</v>
          </cell>
        </row>
        <row r="8141">
          <cell r="N8141">
            <v>-231</v>
          </cell>
        </row>
        <row r="8142">
          <cell r="N8142">
            <v>-231</v>
          </cell>
        </row>
        <row r="8143">
          <cell r="N8143">
            <v>-684</v>
          </cell>
        </row>
        <row r="8144">
          <cell r="N8144">
            <v>-231</v>
          </cell>
        </row>
        <row r="8145">
          <cell r="N8145">
            <v>-231</v>
          </cell>
        </row>
        <row r="8146">
          <cell r="N8146">
            <v>-231</v>
          </cell>
        </row>
        <row r="8147">
          <cell r="N8147">
            <v>-231</v>
          </cell>
        </row>
        <row r="8148">
          <cell r="N8148">
            <v>-231</v>
          </cell>
        </row>
        <row r="8149">
          <cell r="N8149">
            <v>-231</v>
          </cell>
        </row>
        <row r="8150">
          <cell r="N8150">
            <v>-21</v>
          </cell>
        </row>
        <row r="8151">
          <cell r="N8151">
            <v>-231</v>
          </cell>
        </row>
        <row r="8152">
          <cell r="N8152">
            <v>-50</v>
          </cell>
        </row>
        <row r="8153">
          <cell r="N8153">
            <v>-42</v>
          </cell>
        </row>
        <row r="8154">
          <cell r="N8154">
            <v>-50</v>
          </cell>
        </row>
        <row r="8155">
          <cell r="N8155">
            <v>-179</v>
          </cell>
        </row>
        <row r="8156">
          <cell r="N8156">
            <v>-231</v>
          </cell>
        </row>
        <row r="8157">
          <cell r="N8157">
            <v>-231</v>
          </cell>
        </row>
        <row r="8158">
          <cell r="N8158">
            <v>-302</v>
          </cell>
        </row>
        <row r="8159">
          <cell r="N8159">
            <v>-231</v>
          </cell>
        </row>
        <row r="8160">
          <cell r="N8160">
            <v>-231</v>
          </cell>
        </row>
        <row r="8161">
          <cell r="N8161">
            <v>-231</v>
          </cell>
        </row>
        <row r="8162">
          <cell r="N8162">
            <v>-684</v>
          </cell>
        </row>
        <row r="8163">
          <cell r="N8163">
            <v>-684</v>
          </cell>
        </row>
        <row r="8164">
          <cell r="N8164">
            <v>-33</v>
          </cell>
        </row>
        <row r="8165">
          <cell r="N8165">
            <v>-277</v>
          </cell>
        </row>
        <row r="8166">
          <cell r="N8166">
            <v>-100</v>
          </cell>
        </row>
        <row r="8167">
          <cell r="N8167">
            <v>-112</v>
          </cell>
        </row>
        <row r="8168">
          <cell r="N8168">
            <v>-231</v>
          </cell>
        </row>
        <row r="8169">
          <cell r="N8169">
            <v>-231</v>
          </cell>
        </row>
        <row r="8170">
          <cell r="N8170">
            <v>-231</v>
          </cell>
        </row>
        <row r="8171">
          <cell r="N8171">
            <v>-33</v>
          </cell>
        </row>
        <row r="8172">
          <cell r="N8172">
            <v>-100</v>
          </cell>
        </row>
        <row r="8173">
          <cell r="N8173">
            <v>-165</v>
          </cell>
        </row>
        <row r="8174">
          <cell r="N8174">
            <v>-231</v>
          </cell>
        </row>
        <row r="8175">
          <cell r="N8175">
            <v>-231</v>
          </cell>
        </row>
        <row r="8176">
          <cell r="N8176">
            <v>-231</v>
          </cell>
        </row>
        <row r="8177">
          <cell r="N8177">
            <v>-231</v>
          </cell>
        </row>
        <row r="8178">
          <cell r="N8178">
            <v>-302</v>
          </cell>
        </row>
        <row r="8179">
          <cell r="N8179">
            <v>-231</v>
          </cell>
        </row>
        <row r="8180">
          <cell r="N8180">
            <v>-231</v>
          </cell>
        </row>
        <row r="8181">
          <cell r="N8181">
            <v>-114.62</v>
          </cell>
        </row>
        <row r="8182">
          <cell r="N8182">
            <v>-231</v>
          </cell>
        </row>
        <row r="8183">
          <cell r="N8183">
            <v>-0.71699999999999997</v>
          </cell>
        </row>
        <row r="8184">
          <cell r="N8184">
            <v>-231</v>
          </cell>
        </row>
        <row r="8185">
          <cell r="N8185">
            <v>-231</v>
          </cell>
        </row>
        <row r="8186">
          <cell r="N8186">
            <v>-8</v>
          </cell>
        </row>
        <row r="8187">
          <cell r="N8187">
            <v>-231</v>
          </cell>
        </row>
        <row r="8188">
          <cell r="N8188">
            <v>-231</v>
          </cell>
        </row>
        <row r="8189">
          <cell r="N8189">
            <v>-231</v>
          </cell>
        </row>
        <row r="8190">
          <cell r="N8190">
            <v>-231</v>
          </cell>
        </row>
        <row r="8191">
          <cell r="N8191">
            <v>-231</v>
          </cell>
        </row>
        <row r="8192">
          <cell r="N8192">
            <v>-231</v>
          </cell>
        </row>
        <row r="8193">
          <cell r="N8193">
            <v>-231</v>
          </cell>
        </row>
        <row r="8194">
          <cell r="N8194">
            <v>-231</v>
          </cell>
        </row>
        <row r="8195">
          <cell r="N8195">
            <v>-231</v>
          </cell>
        </row>
        <row r="8196">
          <cell r="N8196">
            <v>-44</v>
          </cell>
        </row>
        <row r="8197">
          <cell r="N8197">
            <v>-35</v>
          </cell>
        </row>
        <row r="8198">
          <cell r="N8198">
            <v>-35</v>
          </cell>
        </row>
        <row r="8199">
          <cell r="N8199">
            <v>-277</v>
          </cell>
        </row>
        <row r="8200">
          <cell r="N8200">
            <v>-231</v>
          </cell>
        </row>
        <row r="8201">
          <cell r="N8201">
            <v>-231</v>
          </cell>
        </row>
        <row r="8202">
          <cell r="N8202">
            <v>-231</v>
          </cell>
        </row>
        <row r="8203">
          <cell r="N8203">
            <v>-231</v>
          </cell>
        </row>
        <row r="8204">
          <cell r="N8204">
            <v>-35</v>
          </cell>
        </row>
        <row r="8205">
          <cell r="N8205">
            <v>-231</v>
          </cell>
        </row>
        <row r="8206">
          <cell r="N8206">
            <v>-231</v>
          </cell>
        </row>
        <row r="8207">
          <cell r="N8207">
            <v>-231</v>
          </cell>
        </row>
        <row r="8208">
          <cell r="N8208">
            <v>-231</v>
          </cell>
        </row>
        <row r="8209">
          <cell r="N8209">
            <v>-231</v>
          </cell>
        </row>
        <row r="8210">
          <cell r="N8210">
            <v>-231</v>
          </cell>
        </row>
        <row r="8211">
          <cell r="N8211">
            <v>-231</v>
          </cell>
        </row>
        <row r="8212">
          <cell r="N8212">
            <v>-105</v>
          </cell>
        </row>
        <row r="8213">
          <cell r="N8213">
            <v>-10</v>
          </cell>
        </row>
        <row r="8214">
          <cell r="N8214">
            <v>-231</v>
          </cell>
        </row>
        <row r="8215">
          <cell r="N8215">
            <v>-35</v>
          </cell>
        </row>
        <row r="8216">
          <cell r="N8216">
            <v>-84</v>
          </cell>
        </row>
        <row r="8217">
          <cell r="N8217">
            <v>-231</v>
          </cell>
        </row>
        <row r="8218">
          <cell r="N8218">
            <v>-231</v>
          </cell>
        </row>
        <row r="8219">
          <cell r="N8219">
            <v>-231</v>
          </cell>
        </row>
        <row r="8220">
          <cell r="N8220">
            <v>-231</v>
          </cell>
        </row>
        <row r="8221">
          <cell r="N8221">
            <v>-231</v>
          </cell>
        </row>
        <row r="8222">
          <cell r="N8222">
            <v>-10</v>
          </cell>
        </row>
        <row r="8223">
          <cell r="N8223">
            <v>-231</v>
          </cell>
        </row>
        <row r="8224">
          <cell r="N8224">
            <v>-231</v>
          </cell>
        </row>
        <row r="8225">
          <cell r="N8225">
            <v>-12</v>
          </cell>
        </row>
        <row r="8226">
          <cell r="N8226">
            <v>-231</v>
          </cell>
        </row>
        <row r="8227">
          <cell r="N8227">
            <v>-231</v>
          </cell>
        </row>
        <row r="8228">
          <cell r="N8228">
            <v>-105</v>
          </cell>
        </row>
        <row r="8229">
          <cell r="N8229">
            <v>-8.4</v>
          </cell>
        </row>
        <row r="8230">
          <cell r="N8230">
            <v>-231</v>
          </cell>
        </row>
        <row r="8231">
          <cell r="N8231">
            <v>-12</v>
          </cell>
        </row>
        <row r="8232">
          <cell r="N8232">
            <v>-14</v>
          </cell>
        </row>
        <row r="8233">
          <cell r="N8233">
            <v>-14</v>
          </cell>
        </row>
        <row r="8234">
          <cell r="N8234">
            <v>-10</v>
          </cell>
        </row>
        <row r="8235">
          <cell r="N8235">
            <v>-84</v>
          </cell>
        </row>
        <row r="8236">
          <cell r="N8236">
            <v>-231</v>
          </cell>
        </row>
        <row r="8237">
          <cell r="N8237">
            <v>-14</v>
          </cell>
        </row>
        <row r="8238">
          <cell r="N8238">
            <v>-7</v>
          </cell>
        </row>
        <row r="8239">
          <cell r="N8239">
            <v>-8</v>
          </cell>
        </row>
        <row r="8240">
          <cell r="N8240">
            <v>-302</v>
          </cell>
        </row>
        <row r="8241">
          <cell r="N8241">
            <v>-11</v>
          </cell>
        </row>
        <row r="8242">
          <cell r="N8242">
            <v>-11</v>
          </cell>
        </row>
        <row r="8243">
          <cell r="N8243">
            <v>-44</v>
          </cell>
        </row>
        <row r="8244">
          <cell r="N8244">
            <v>-35</v>
          </cell>
        </row>
        <row r="8245">
          <cell r="N8245">
            <v>-231</v>
          </cell>
        </row>
        <row r="8246">
          <cell r="N8246">
            <v>-30</v>
          </cell>
        </row>
        <row r="8247">
          <cell r="N8247">
            <v>-302</v>
          </cell>
        </row>
        <row r="8248">
          <cell r="N8248">
            <v>-30</v>
          </cell>
        </row>
        <row r="8249">
          <cell r="N8249">
            <v>-277</v>
          </cell>
        </row>
        <row r="8250">
          <cell r="N8250">
            <v>-155.62100000000001</v>
          </cell>
        </row>
        <row r="8251">
          <cell r="N8251">
            <v>-4</v>
          </cell>
        </row>
        <row r="8252">
          <cell r="N8252">
            <v>-231</v>
          </cell>
        </row>
        <row r="8253">
          <cell r="N8253">
            <v>-231</v>
          </cell>
        </row>
        <row r="8254">
          <cell r="N8254">
            <v>-231</v>
          </cell>
        </row>
        <row r="8255">
          <cell r="N8255">
            <v>-50</v>
          </cell>
        </row>
        <row r="8256">
          <cell r="N8256">
            <v>-4</v>
          </cell>
        </row>
        <row r="8257">
          <cell r="N8257">
            <v>-25</v>
          </cell>
        </row>
        <row r="8258">
          <cell r="N8258">
            <v>-4</v>
          </cell>
        </row>
        <row r="8259">
          <cell r="N8259">
            <v>-4</v>
          </cell>
        </row>
        <row r="8260">
          <cell r="N8260">
            <v>-6</v>
          </cell>
        </row>
        <row r="8261">
          <cell r="N8261">
            <v>-238</v>
          </cell>
        </row>
        <row r="8262">
          <cell r="N8262">
            <v>-50</v>
          </cell>
        </row>
        <row r="8263">
          <cell r="N8263">
            <v>-231</v>
          </cell>
        </row>
        <row r="8264">
          <cell r="N8264">
            <v>-231</v>
          </cell>
        </row>
        <row r="8265">
          <cell r="N8265">
            <v>-231</v>
          </cell>
        </row>
        <row r="8266">
          <cell r="N8266">
            <v>-231</v>
          </cell>
        </row>
        <row r="8267">
          <cell r="N8267">
            <v>-302</v>
          </cell>
        </row>
        <row r="8268">
          <cell r="N8268">
            <v>-231</v>
          </cell>
        </row>
        <row r="8269">
          <cell r="N8269">
            <v>-231</v>
          </cell>
        </row>
        <row r="8270">
          <cell r="N8270">
            <v>-231</v>
          </cell>
        </row>
        <row r="8271">
          <cell r="N8271">
            <v>-4</v>
          </cell>
        </row>
        <row r="8272">
          <cell r="N8272">
            <v>-4</v>
          </cell>
        </row>
        <row r="8273">
          <cell r="N8273">
            <v>-6</v>
          </cell>
        </row>
        <row r="8274">
          <cell r="N8274">
            <v>-12</v>
          </cell>
        </row>
        <row r="8275">
          <cell r="N8275">
            <v>-30</v>
          </cell>
        </row>
        <row r="8276">
          <cell r="N8276">
            <v>-684</v>
          </cell>
        </row>
        <row r="8277">
          <cell r="N8277">
            <v>-231</v>
          </cell>
        </row>
        <row r="8278">
          <cell r="N8278">
            <v>-231</v>
          </cell>
        </row>
        <row r="8279">
          <cell r="N8279">
            <v>-30</v>
          </cell>
        </row>
        <row r="8280">
          <cell r="N8280">
            <v>-231</v>
          </cell>
        </row>
        <row r="8281">
          <cell r="N8281">
            <v>-231</v>
          </cell>
        </row>
        <row r="8282">
          <cell r="N8282">
            <v>-231</v>
          </cell>
        </row>
        <row r="8283">
          <cell r="N8283">
            <v>-302</v>
          </cell>
        </row>
        <row r="8284">
          <cell r="N8284">
            <v>-231</v>
          </cell>
        </row>
        <row r="8285">
          <cell r="N8285">
            <v>-684</v>
          </cell>
        </row>
        <row r="8286">
          <cell r="N8286">
            <v>-36</v>
          </cell>
        </row>
        <row r="8287">
          <cell r="N8287">
            <v>-1154</v>
          </cell>
        </row>
        <row r="8288">
          <cell r="N8288">
            <v>-1154</v>
          </cell>
        </row>
        <row r="8289">
          <cell r="N8289">
            <v>-1154</v>
          </cell>
        </row>
        <row r="8290">
          <cell r="N8290">
            <v>-152</v>
          </cell>
        </row>
        <row r="8291">
          <cell r="N8291">
            <v>-1081</v>
          </cell>
        </row>
        <row r="8292">
          <cell r="N8292">
            <v>-1154</v>
          </cell>
        </row>
        <row r="8293">
          <cell r="N8293">
            <v>-231</v>
          </cell>
        </row>
        <row r="8294">
          <cell r="N8294">
            <v>-152</v>
          </cell>
        </row>
        <row r="8295">
          <cell r="N8295">
            <v>-231</v>
          </cell>
        </row>
        <row r="8296">
          <cell r="N8296">
            <v>-302</v>
          </cell>
        </row>
        <row r="8297">
          <cell r="N8297">
            <v>-231</v>
          </cell>
        </row>
        <row r="8298">
          <cell r="N8298">
            <v>-231</v>
          </cell>
        </row>
        <row r="8299">
          <cell r="N8299">
            <v>-302</v>
          </cell>
        </row>
        <row r="8300">
          <cell r="N8300">
            <v>-231</v>
          </cell>
        </row>
        <row r="8301">
          <cell r="N8301">
            <v>-231</v>
          </cell>
        </row>
        <row r="8302">
          <cell r="N8302">
            <v>-1154</v>
          </cell>
        </row>
        <row r="8303">
          <cell r="N8303">
            <v>-231</v>
          </cell>
        </row>
        <row r="8304">
          <cell r="N8304">
            <v>-684</v>
          </cell>
        </row>
        <row r="8305">
          <cell r="N8305">
            <v>-1154</v>
          </cell>
        </row>
        <row r="8306">
          <cell r="N8306">
            <v>-42</v>
          </cell>
        </row>
        <row r="8307">
          <cell r="N8307">
            <v>-277</v>
          </cell>
        </row>
        <row r="8308">
          <cell r="N8308">
            <v>-231</v>
          </cell>
        </row>
        <row r="8309">
          <cell r="N8309">
            <v>-231</v>
          </cell>
        </row>
        <row r="8310">
          <cell r="N8310">
            <v>-1154</v>
          </cell>
        </row>
        <row r="8311">
          <cell r="N8311">
            <v>-231</v>
          </cell>
        </row>
        <row r="8312">
          <cell r="N8312">
            <v>-231</v>
          </cell>
        </row>
        <row r="8313">
          <cell r="N8313">
            <v>-231</v>
          </cell>
        </row>
        <row r="8314">
          <cell r="N8314">
            <v>-231</v>
          </cell>
        </row>
        <row r="8315">
          <cell r="N8315">
            <v>-684</v>
          </cell>
        </row>
        <row r="8316">
          <cell r="N8316">
            <v>-231</v>
          </cell>
        </row>
        <row r="8317">
          <cell r="N8317">
            <v>-684</v>
          </cell>
        </row>
        <row r="8318">
          <cell r="N8318">
            <v>-231</v>
          </cell>
        </row>
        <row r="8319">
          <cell r="N8319">
            <v>-231</v>
          </cell>
        </row>
        <row r="8320">
          <cell r="N8320">
            <v>-0.23100000000000001</v>
          </cell>
        </row>
        <row r="8321">
          <cell r="N8321">
            <v>-231</v>
          </cell>
        </row>
        <row r="8322">
          <cell r="N8322">
            <v>-1154</v>
          </cell>
        </row>
        <row r="8323">
          <cell r="N8323">
            <v>-1154</v>
          </cell>
        </row>
        <row r="8324">
          <cell r="N8324">
            <v>-42</v>
          </cell>
        </row>
        <row r="8325">
          <cell r="N8325">
            <v>-231</v>
          </cell>
        </row>
        <row r="8326">
          <cell r="N8326">
            <v>-42</v>
          </cell>
        </row>
        <row r="8327">
          <cell r="N8327">
            <v>-1154</v>
          </cell>
        </row>
        <row r="8328">
          <cell r="N8328">
            <v>-231</v>
          </cell>
        </row>
        <row r="8329">
          <cell r="N8329">
            <v>-1154</v>
          </cell>
        </row>
        <row r="8330">
          <cell r="N8330">
            <v>-231</v>
          </cell>
        </row>
        <row r="8331">
          <cell r="N8331">
            <v>-231</v>
          </cell>
        </row>
        <row r="8332">
          <cell r="N8332">
            <v>-22</v>
          </cell>
        </row>
        <row r="8333">
          <cell r="N8333">
            <v>-55</v>
          </cell>
        </row>
        <row r="8334">
          <cell r="N8334">
            <v>-231</v>
          </cell>
        </row>
        <row r="8335">
          <cell r="N8335">
            <v>-233.43100000000001</v>
          </cell>
        </row>
        <row r="8336">
          <cell r="N8336">
            <v>-231</v>
          </cell>
        </row>
        <row r="8337">
          <cell r="N8337">
            <v>-231</v>
          </cell>
        </row>
        <row r="8338">
          <cell r="N8338">
            <v>-1154</v>
          </cell>
        </row>
        <row r="8339">
          <cell r="N8339">
            <v>-55</v>
          </cell>
        </row>
        <row r="8340">
          <cell r="N8340">
            <v>-22</v>
          </cell>
        </row>
        <row r="8341">
          <cell r="N8341">
            <v>-22</v>
          </cell>
        </row>
        <row r="8342">
          <cell r="N8342">
            <v>-1154</v>
          </cell>
        </row>
        <row r="8343">
          <cell r="N8343">
            <v>-231</v>
          </cell>
        </row>
        <row r="8344">
          <cell r="N8344">
            <v>-231</v>
          </cell>
        </row>
        <row r="8345">
          <cell r="N8345">
            <v>-231</v>
          </cell>
        </row>
        <row r="8346">
          <cell r="N8346">
            <v>-231</v>
          </cell>
        </row>
        <row r="8347">
          <cell r="N8347">
            <v>-231</v>
          </cell>
        </row>
        <row r="8348">
          <cell r="N8348">
            <v>-231</v>
          </cell>
        </row>
        <row r="8349">
          <cell r="N8349">
            <v>-24</v>
          </cell>
        </row>
        <row r="8350">
          <cell r="N8350">
            <v>-28</v>
          </cell>
        </row>
        <row r="8351">
          <cell r="N8351">
            <v>-231</v>
          </cell>
        </row>
        <row r="8352">
          <cell r="N8352">
            <v>-302</v>
          </cell>
        </row>
        <row r="8353">
          <cell r="N8353">
            <v>-24</v>
          </cell>
        </row>
        <row r="8354">
          <cell r="N8354">
            <v>-24</v>
          </cell>
        </row>
        <row r="8355">
          <cell r="N8355">
            <v>-231</v>
          </cell>
        </row>
        <row r="8356">
          <cell r="N8356">
            <v>-42</v>
          </cell>
        </row>
        <row r="8357">
          <cell r="N8357">
            <v>-22</v>
          </cell>
        </row>
        <row r="8358">
          <cell r="N8358">
            <v>-22</v>
          </cell>
        </row>
        <row r="8359">
          <cell r="N8359">
            <v>-231</v>
          </cell>
        </row>
        <row r="8360">
          <cell r="N8360">
            <v>-1154</v>
          </cell>
        </row>
        <row r="8361">
          <cell r="N8361">
            <v>-231</v>
          </cell>
        </row>
        <row r="8362">
          <cell r="N8362">
            <v>-231</v>
          </cell>
        </row>
        <row r="8363">
          <cell r="N8363">
            <v>-231</v>
          </cell>
        </row>
        <row r="8364">
          <cell r="N8364">
            <v>-231</v>
          </cell>
        </row>
        <row r="8365">
          <cell r="N8365">
            <v>-11</v>
          </cell>
        </row>
        <row r="8366">
          <cell r="N8366">
            <v>-302</v>
          </cell>
        </row>
        <row r="8367">
          <cell r="N8367">
            <v>-231</v>
          </cell>
        </row>
        <row r="8368">
          <cell r="N8368">
            <v>-231</v>
          </cell>
        </row>
        <row r="8369">
          <cell r="N8369">
            <v>-1154</v>
          </cell>
        </row>
        <row r="8370">
          <cell r="N8370">
            <v>-56</v>
          </cell>
        </row>
        <row r="8371">
          <cell r="N8371">
            <v>-35</v>
          </cell>
        </row>
        <row r="8372">
          <cell r="N8372">
            <v>-73</v>
          </cell>
        </row>
        <row r="8373">
          <cell r="N8373">
            <v>-24</v>
          </cell>
        </row>
        <row r="8374">
          <cell r="N8374">
            <v>-50</v>
          </cell>
        </row>
        <row r="8375">
          <cell r="N8375">
            <v>-6</v>
          </cell>
        </row>
        <row r="8376">
          <cell r="N8376">
            <v>-231</v>
          </cell>
        </row>
        <row r="8377">
          <cell r="N8377">
            <v>-277</v>
          </cell>
        </row>
        <row r="8378">
          <cell r="N8378">
            <v>-231</v>
          </cell>
        </row>
        <row r="8379">
          <cell r="N8379">
            <v>-36</v>
          </cell>
        </row>
        <row r="8380">
          <cell r="N8380">
            <v>-231</v>
          </cell>
        </row>
        <row r="8381">
          <cell r="N8381">
            <v>-231</v>
          </cell>
        </row>
        <row r="8382">
          <cell r="N8382">
            <v>-231</v>
          </cell>
        </row>
        <row r="8383">
          <cell r="N8383">
            <v>-231</v>
          </cell>
        </row>
        <row r="8384">
          <cell r="N8384">
            <v>-18</v>
          </cell>
        </row>
        <row r="8385">
          <cell r="N8385">
            <v>-231</v>
          </cell>
        </row>
        <row r="8386">
          <cell r="N8386">
            <v>-231</v>
          </cell>
        </row>
        <row r="8387">
          <cell r="N8387">
            <v>-50</v>
          </cell>
        </row>
        <row r="8388">
          <cell r="N8388">
            <v>-231</v>
          </cell>
        </row>
        <row r="8389">
          <cell r="N8389">
            <v>-20</v>
          </cell>
        </row>
        <row r="8390">
          <cell r="N8390">
            <v>-231</v>
          </cell>
        </row>
        <row r="8391">
          <cell r="N8391">
            <v>-231</v>
          </cell>
        </row>
        <row r="8392">
          <cell r="N8392">
            <v>-28</v>
          </cell>
        </row>
        <row r="8393">
          <cell r="N8393">
            <v>-4.8869999999999996</v>
          </cell>
        </row>
        <row r="8394">
          <cell r="N8394">
            <v>-302</v>
          </cell>
        </row>
        <row r="8395">
          <cell r="N8395">
            <v>-231</v>
          </cell>
        </row>
        <row r="8396">
          <cell r="N8396">
            <v>-231</v>
          </cell>
        </row>
        <row r="8397">
          <cell r="N8397">
            <v>-36</v>
          </cell>
        </row>
        <row r="8398">
          <cell r="N8398">
            <v>-3.113</v>
          </cell>
        </row>
        <row r="8399">
          <cell r="N8399">
            <v>-126</v>
          </cell>
        </row>
        <row r="8400">
          <cell r="N8400">
            <v>-18</v>
          </cell>
        </row>
        <row r="8401">
          <cell r="N8401">
            <v>-56</v>
          </cell>
        </row>
        <row r="8402">
          <cell r="N8402">
            <v>-68</v>
          </cell>
        </row>
        <row r="8403">
          <cell r="N8403">
            <v>-231</v>
          </cell>
        </row>
        <row r="8404">
          <cell r="N8404">
            <v>-62.247999999999998</v>
          </cell>
        </row>
        <row r="8405">
          <cell r="N8405">
            <v>-231</v>
          </cell>
        </row>
        <row r="8406">
          <cell r="N8406">
            <v>-302</v>
          </cell>
        </row>
        <row r="8407">
          <cell r="N8407">
            <v>-231</v>
          </cell>
        </row>
        <row r="8408">
          <cell r="N8408">
            <v>-55</v>
          </cell>
        </row>
        <row r="8409">
          <cell r="N8409">
            <v>-302</v>
          </cell>
        </row>
        <row r="8410">
          <cell r="N8410">
            <v>-231</v>
          </cell>
        </row>
        <row r="8411">
          <cell r="N8411">
            <v>-55</v>
          </cell>
        </row>
        <row r="8412">
          <cell r="N8412">
            <v>-231</v>
          </cell>
        </row>
        <row r="8413">
          <cell r="N8413">
            <v>-327.75200000000001</v>
          </cell>
        </row>
        <row r="8414">
          <cell r="N8414">
            <v>-231</v>
          </cell>
        </row>
        <row r="8415">
          <cell r="N8415">
            <v>-290</v>
          </cell>
        </row>
        <row r="8416">
          <cell r="N8416">
            <v>-18</v>
          </cell>
        </row>
        <row r="8417">
          <cell r="N8417">
            <v>-20</v>
          </cell>
        </row>
        <row r="8418">
          <cell r="N8418">
            <v>-231</v>
          </cell>
        </row>
        <row r="8419">
          <cell r="N8419">
            <v>-231</v>
          </cell>
        </row>
        <row r="8420">
          <cell r="N8420">
            <v>-231</v>
          </cell>
        </row>
        <row r="8421">
          <cell r="N8421">
            <v>-36</v>
          </cell>
        </row>
        <row r="8422">
          <cell r="N8422">
            <v>-231</v>
          </cell>
        </row>
        <row r="8423">
          <cell r="N8423">
            <v>-231</v>
          </cell>
        </row>
        <row r="8424">
          <cell r="N8424">
            <v>-231</v>
          </cell>
        </row>
        <row r="8425">
          <cell r="N8425">
            <v>-17</v>
          </cell>
        </row>
        <row r="8426">
          <cell r="N8426">
            <v>-231</v>
          </cell>
        </row>
        <row r="8427">
          <cell r="N8427">
            <v>-11</v>
          </cell>
        </row>
        <row r="8428">
          <cell r="N8428">
            <v>-231</v>
          </cell>
        </row>
        <row r="8429">
          <cell r="N8429">
            <v>-231</v>
          </cell>
        </row>
        <row r="8430">
          <cell r="N8430">
            <v>-231</v>
          </cell>
        </row>
        <row r="8431">
          <cell r="N8431">
            <v>-35</v>
          </cell>
        </row>
        <row r="8432">
          <cell r="N8432">
            <v>-55</v>
          </cell>
        </row>
        <row r="8433">
          <cell r="N8433">
            <v>-20</v>
          </cell>
        </row>
        <row r="8434">
          <cell r="N8434">
            <v>-20</v>
          </cell>
        </row>
        <row r="8435">
          <cell r="N8435">
            <v>-231</v>
          </cell>
        </row>
        <row r="8436">
          <cell r="N8436">
            <v>-231</v>
          </cell>
        </row>
        <row r="8437">
          <cell r="N8437">
            <v>-302</v>
          </cell>
        </row>
        <row r="8438">
          <cell r="N8438">
            <v>-15</v>
          </cell>
        </row>
        <row r="8439">
          <cell r="N8439">
            <v>-28</v>
          </cell>
        </row>
        <row r="8440">
          <cell r="N8440">
            <v>-18</v>
          </cell>
        </row>
        <row r="8441">
          <cell r="N8441">
            <v>-18</v>
          </cell>
        </row>
        <row r="8442">
          <cell r="N8442">
            <v>-302</v>
          </cell>
        </row>
        <row r="8443">
          <cell r="N8443">
            <v>-12</v>
          </cell>
        </row>
        <row r="8444">
          <cell r="N8444">
            <v>-231</v>
          </cell>
        </row>
        <row r="8445">
          <cell r="N8445">
            <v>-24</v>
          </cell>
        </row>
        <row r="8446">
          <cell r="N8446">
            <v>-231</v>
          </cell>
        </row>
        <row r="8447">
          <cell r="N8447">
            <v>-231</v>
          </cell>
        </row>
        <row r="8448">
          <cell r="N8448">
            <v>-20</v>
          </cell>
        </row>
        <row r="8449">
          <cell r="N8449">
            <v>-231</v>
          </cell>
        </row>
        <row r="8450">
          <cell r="N8450">
            <v>-20</v>
          </cell>
        </row>
        <row r="8451">
          <cell r="N8451">
            <v>-20</v>
          </cell>
        </row>
        <row r="8452">
          <cell r="N8452">
            <v>-231</v>
          </cell>
        </row>
        <row r="8453">
          <cell r="N8453">
            <v>-11</v>
          </cell>
        </row>
        <row r="8454">
          <cell r="N8454">
            <v>-18</v>
          </cell>
        </row>
        <row r="8455">
          <cell r="N8455">
            <v>-21</v>
          </cell>
        </row>
        <row r="8456">
          <cell r="N8456">
            <v>-20</v>
          </cell>
        </row>
        <row r="8457">
          <cell r="N8457">
            <v>-231</v>
          </cell>
        </row>
        <row r="8458">
          <cell r="N8458">
            <v>-18</v>
          </cell>
        </row>
        <row r="8459">
          <cell r="N8459">
            <v>-302</v>
          </cell>
        </row>
        <row r="8460">
          <cell r="N8460">
            <v>-231</v>
          </cell>
        </row>
        <row r="8461">
          <cell r="N8461">
            <v>-0.85</v>
          </cell>
        </row>
        <row r="8462">
          <cell r="N8462">
            <v>-18</v>
          </cell>
        </row>
        <row r="8463">
          <cell r="N8463">
            <v>-28</v>
          </cell>
        </row>
        <row r="8464">
          <cell r="N8464">
            <v>-98.548000000000002</v>
          </cell>
        </row>
        <row r="8465">
          <cell r="N8465">
            <v>-105</v>
          </cell>
        </row>
        <row r="8466">
          <cell r="N8466">
            <v>-24</v>
          </cell>
        </row>
        <row r="8467">
          <cell r="N8467">
            <v>-15.452</v>
          </cell>
        </row>
        <row r="8468">
          <cell r="N8468">
            <v>-277</v>
          </cell>
        </row>
        <row r="8469">
          <cell r="N8469">
            <v>-165</v>
          </cell>
        </row>
        <row r="8470">
          <cell r="N8470">
            <v>-277</v>
          </cell>
        </row>
        <row r="8471">
          <cell r="N8471">
            <v>-30</v>
          </cell>
        </row>
        <row r="8472">
          <cell r="N8472">
            <v>-2.75</v>
          </cell>
        </row>
        <row r="8473">
          <cell r="N8473">
            <v>-4</v>
          </cell>
        </row>
        <row r="8474">
          <cell r="N8474">
            <v>-11</v>
          </cell>
        </row>
        <row r="8475">
          <cell r="N8475">
            <v>-24</v>
          </cell>
        </row>
        <row r="8476">
          <cell r="N8476">
            <v>-0.57599999999999996</v>
          </cell>
        </row>
        <row r="8477">
          <cell r="N8477">
            <v>-2.4239999999999999</v>
          </cell>
        </row>
        <row r="8478">
          <cell r="N8478">
            <v>-246</v>
          </cell>
        </row>
        <row r="8479">
          <cell r="N8479">
            <v>-25</v>
          </cell>
        </row>
        <row r="8480">
          <cell r="N8480">
            <v>-25</v>
          </cell>
        </row>
        <row r="8481">
          <cell r="N8481">
            <v>-12</v>
          </cell>
        </row>
        <row r="8482">
          <cell r="N8482">
            <v>-13</v>
          </cell>
        </row>
        <row r="8483">
          <cell r="N8483">
            <v>-15.917</v>
          </cell>
        </row>
        <row r="8484">
          <cell r="N8484">
            <v>-90.078000000000003</v>
          </cell>
        </row>
        <row r="8485">
          <cell r="N8485">
            <v>-6.907</v>
          </cell>
        </row>
        <row r="8486">
          <cell r="N8486">
            <v>-28.363</v>
          </cell>
        </row>
        <row r="8487">
          <cell r="N8487">
            <v>-0.73599999999999999</v>
          </cell>
        </row>
        <row r="8488">
          <cell r="N8488">
            <v>-0.70499999999999996</v>
          </cell>
        </row>
        <row r="8489">
          <cell r="N8489">
            <v>-65</v>
          </cell>
        </row>
        <row r="8490">
          <cell r="N8490">
            <v>-31.021999999999998</v>
          </cell>
        </row>
        <row r="8491">
          <cell r="N8491">
            <v>-36</v>
          </cell>
        </row>
        <row r="8492">
          <cell r="N8492">
            <v>-33.25</v>
          </cell>
        </row>
        <row r="8493">
          <cell r="N8493">
            <v>-34.200000000000003</v>
          </cell>
        </row>
        <row r="8494">
          <cell r="N8494">
            <v>-62.4</v>
          </cell>
        </row>
        <row r="8495">
          <cell r="N8495">
            <v>-20</v>
          </cell>
        </row>
        <row r="8496">
          <cell r="N8496">
            <v>-12.486000000000001</v>
          </cell>
        </row>
        <row r="8497">
          <cell r="N8497">
            <v>-9.2569999999999997</v>
          </cell>
        </row>
        <row r="8498">
          <cell r="N8498">
            <v>-9.2569999999999997</v>
          </cell>
        </row>
        <row r="8499">
          <cell r="N8499">
            <v>-13</v>
          </cell>
        </row>
        <row r="8500">
          <cell r="N8500">
            <v>-1083.5519999999999</v>
          </cell>
        </row>
        <row r="8501">
          <cell r="N8501">
            <v>-3.4710000000000001</v>
          </cell>
        </row>
        <row r="8502">
          <cell r="N8502">
            <v>-2.7770000000000001</v>
          </cell>
        </row>
        <row r="8503">
          <cell r="N8503">
            <v>-14.054</v>
          </cell>
        </row>
        <row r="8504">
          <cell r="N8504">
            <v>-1.613</v>
          </cell>
        </row>
        <row r="8505">
          <cell r="N8505">
            <v>-10.996</v>
          </cell>
        </row>
        <row r="8506">
          <cell r="N8506">
            <v>-10.500999999999999</v>
          </cell>
        </row>
        <row r="8507">
          <cell r="N8507">
            <v>-90</v>
          </cell>
        </row>
        <row r="8508">
          <cell r="N8508">
            <v>-13.169</v>
          </cell>
        </row>
        <row r="8509">
          <cell r="N8509">
            <v>-3.0870000000000002</v>
          </cell>
        </row>
        <row r="8510">
          <cell r="N8510">
            <v>-2.8919999999999999</v>
          </cell>
        </row>
        <row r="8511">
          <cell r="N8511">
            <v>-1.6359999999999999</v>
          </cell>
        </row>
        <row r="8512">
          <cell r="N8512">
            <v>-12.353</v>
          </cell>
        </row>
        <row r="8513">
          <cell r="N8513">
            <v>-1.83</v>
          </cell>
        </row>
        <row r="8514">
          <cell r="N8514">
            <v>-9.4359999999999999</v>
          </cell>
        </row>
        <row r="8515">
          <cell r="N8515">
            <v>-10.449</v>
          </cell>
        </row>
        <row r="8516">
          <cell r="N8516">
            <v>-1.4119999999999999</v>
          </cell>
        </row>
        <row r="8517">
          <cell r="N8517">
            <v>-4.3959999999999999</v>
          </cell>
        </row>
        <row r="8518">
          <cell r="N8518">
            <v>-8.5609999999999999</v>
          </cell>
        </row>
        <row r="8519">
          <cell r="N8519">
            <v>-10.996</v>
          </cell>
        </row>
        <row r="8520">
          <cell r="N8520">
            <v>-5.49</v>
          </cell>
        </row>
        <row r="8521">
          <cell r="N8521">
            <v>-11.79</v>
          </cell>
        </row>
        <row r="8522">
          <cell r="N8522">
            <v>-277</v>
          </cell>
        </row>
        <row r="8523">
          <cell r="N8523">
            <v>-2.5110000000000001</v>
          </cell>
        </row>
        <row r="8524">
          <cell r="N8524">
            <v>-5.423</v>
          </cell>
        </row>
        <row r="8525">
          <cell r="N8525">
            <v>-1.5529999999999999</v>
          </cell>
        </row>
        <row r="8526">
          <cell r="N8526">
            <v>-8.4459999999999997</v>
          </cell>
        </row>
        <row r="8527">
          <cell r="N8527">
            <v>-2.7770000000000001</v>
          </cell>
        </row>
        <row r="8528">
          <cell r="N8528">
            <v>-11.34</v>
          </cell>
        </row>
        <row r="8529">
          <cell r="N8529">
            <v>-8.9410000000000007</v>
          </cell>
        </row>
        <row r="8530">
          <cell r="N8530">
            <v>-13.723000000000001</v>
          </cell>
        </row>
        <row r="8531">
          <cell r="N8531">
            <v>-15.456</v>
          </cell>
        </row>
        <row r="8532">
          <cell r="N8532">
            <v>-2.7389999999999999</v>
          </cell>
        </row>
        <row r="8533">
          <cell r="N8533">
            <v>-2.93</v>
          </cell>
        </row>
        <row r="8534">
          <cell r="N8534">
            <v>-17.754999999999999</v>
          </cell>
        </row>
        <row r="8535">
          <cell r="N8535">
            <v>-2.6629999999999998</v>
          </cell>
        </row>
        <row r="8536">
          <cell r="N8536">
            <v>-1.5529999999999999</v>
          </cell>
        </row>
        <row r="8537">
          <cell r="N8537">
            <v>-254</v>
          </cell>
        </row>
        <row r="8538">
          <cell r="N8538">
            <v>-2.7010000000000001</v>
          </cell>
        </row>
        <row r="8539">
          <cell r="N8539">
            <v>-13.223000000000001</v>
          </cell>
        </row>
        <row r="8540">
          <cell r="N8540">
            <v>-5.7450000000000001</v>
          </cell>
        </row>
        <row r="8541">
          <cell r="N8541">
            <v>-10.367000000000001</v>
          </cell>
        </row>
        <row r="8542">
          <cell r="N8542">
            <v>-11.643000000000001</v>
          </cell>
        </row>
        <row r="8543">
          <cell r="N8543">
            <v>-13.721</v>
          </cell>
        </row>
        <row r="8544">
          <cell r="N8544">
            <v>-17.117999999999999</v>
          </cell>
        </row>
        <row r="8545">
          <cell r="N8545">
            <v>-4.9329999999999998</v>
          </cell>
        </row>
        <row r="8546">
          <cell r="N8546">
            <v>-4.9279999999999999</v>
          </cell>
        </row>
        <row r="8547">
          <cell r="N8547">
            <v>-9.6259999999999994</v>
          </cell>
        </row>
        <row r="8548">
          <cell r="N8548">
            <v>-0.76800000000000002</v>
          </cell>
        </row>
        <row r="8549">
          <cell r="N8549">
            <v>-10.615</v>
          </cell>
        </row>
        <row r="8550">
          <cell r="N8550">
            <v>-3.0129999999999999</v>
          </cell>
        </row>
        <row r="8551">
          <cell r="N8551">
            <v>-500.34500000000003</v>
          </cell>
        </row>
        <row r="8552">
          <cell r="N8552">
            <v>-524.16700000000003</v>
          </cell>
        </row>
        <row r="8553">
          <cell r="N8553">
            <v>-8.4079999999999995</v>
          </cell>
        </row>
        <row r="8554">
          <cell r="N8554">
            <v>-2.448</v>
          </cell>
        </row>
        <row r="8555">
          <cell r="N8555">
            <v>-0.13400000000000001</v>
          </cell>
        </row>
        <row r="8556">
          <cell r="N8556">
            <v>-12.012</v>
          </cell>
        </row>
        <row r="8557">
          <cell r="N8557">
            <v>-3.6749999999999998</v>
          </cell>
        </row>
        <row r="8558">
          <cell r="N8558">
            <v>-0.24</v>
          </cell>
        </row>
        <row r="8559">
          <cell r="N8559">
            <v>-2.1000000000000001E-2</v>
          </cell>
        </row>
        <row r="8560">
          <cell r="N8560">
            <v>-0.24</v>
          </cell>
        </row>
        <row r="8561">
          <cell r="N8561">
            <v>-0.13400000000000001</v>
          </cell>
        </row>
        <row r="8562">
          <cell r="N8562">
            <v>-2.1000000000000001E-2</v>
          </cell>
        </row>
        <row r="8563">
          <cell r="N8563">
            <v>-277</v>
          </cell>
        </row>
        <row r="8564">
          <cell r="N8564">
            <v>-302.94299999999998</v>
          </cell>
        </row>
        <row r="8565">
          <cell r="N8565">
            <v>-484.99200000000002</v>
          </cell>
        </row>
        <row r="8566">
          <cell r="N8566">
            <v>-265.89499999999998</v>
          </cell>
        </row>
        <row r="8567">
          <cell r="N8567">
            <v>-1154</v>
          </cell>
        </row>
        <row r="8568">
          <cell r="N8568">
            <v>-584.35</v>
          </cell>
        </row>
        <row r="8569">
          <cell r="N8569">
            <v>-7.5709999999999997</v>
          </cell>
        </row>
        <row r="8570">
          <cell r="N8570">
            <v>-0.434</v>
          </cell>
        </row>
        <row r="8571">
          <cell r="N8571">
            <v>-8.4849999999999994</v>
          </cell>
        </row>
        <row r="8572">
          <cell r="N8572">
            <v>-5.4880000000000004</v>
          </cell>
        </row>
        <row r="8573">
          <cell r="N8573">
            <v>-5.4390000000000001</v>
          </cell>
        </row>
        <row r="8574">
          <cell r="N8574">
            <v>-30</v>
          </cell>
        </row>
        <row r="8575">
          <cell r="N8575">
            <v>-11.375999999999999</v>
          </cell>
        </row>
        <row r="8576">
          <cell r="N8576">
            <v>-2.8660000000000001</v>
          </cell>
        </row>
        <row r="8577">
          <cell r="N8577">
            <v>-2.359</v>
          </cell>
        </row>
        <row r="8578">
          <cell r="N8578">
            <v>-2.2829999999999999</v>
          </cell>
        </row>
        <row r="8579">
          <cell r="N8579">
            <v>-11.49</v>
          </cell>
        </row>
        <row r="8580">
          <cell r="N8580">
            <v>-6.9550000000000001</v>
          </cell>
        </row>
        <row r="8581">
          <cell r="N8581">
            <v>-3.7130000000000001</v>
          </cell>
        </row>
        <row r="8582">
          <cell r="N8582">
            <v>-8.3320000000000007</v>
          </cell>
        </row>
        <row r="8583">
          <cell r="N8583">
            <v>-2.5870000000000002</v>
          </cell>
        </row>
        <row r="8584">
          <cell r="N8584">
            <v>-10.779</v>
          </cell>
        </row>
        <row r="8585">
          <cell r="N8585">
            <v>-11.452</v>
          </cell>
        </row>
        <row r="8586">
          <cell r="N8586">
            <v>-10.361000000000001</v>
          </cell>
        </row>
        <row r="8587">
          <cell r="N8587">
            <v>-1.5089999999999999</v>
          </cell>
        </row>
        <row r="8588">
          <cell r="N8588">
            <v>-2.2069999999999999</v>
          </cell>
        </row>
        <row r="8589">
          <cell r="N8589">
            <v>-2.5110000000000001</v>
          </cell>
        </row>
        <row r="8590">
          <cell r="N8590">
            <v>-277</v>
          </cell>
        </row>
        <row r="8591">
          <cell r="N8591">
            <v>-9.3800000000000008</v>
          </cell>
        </row>
        <row r="8592">
          <cell r="N8592">
            <v>-277</v>
          </cell>
        </row>
        <row r="8593">
          <cell r="N8593">
            <v>-16.056999999999999</v>
          </cell>
        </row>
        <row r="8594">
          <cell r="N8594">
            <v>-10.407999999999999</v>
          </cell>
        </row>
        <row r="8595">
          <cell r="N8595">
            <v>-0.61399999999999999</v>
          </cell>
        </row>
        <row r="8596">
          <cell r="N8596">
            <v>-4.0789999999999997</v>
          </cell>
        </row>
        <row r="8597">
          <cell r="N8597">
            <v>-2.968</v>
          </cell>
        </row>
        <row r="8598">
          <cell r="N8598">
            <v>-14.962</v>
          </cell>
        </row>
        <row r="8599">
          <cell r="N8599">
            <v>-24</v>
          </cell>
        </row>
        <row r="8600">
          <cell r="N8600">
            <v>-2.5870000000000002</v>
          </cell>
        </row>
        <row r="8601">
          <cell r="N8601">
            <v>-1.5009999999999999</v>
          </cell>
        </row>
        <row r="8602">
          <cell r="N8602">
            <v>-19.661000000000001</v>
          </cell>
        </row>
        <row r="8603">
          <cell r="N8603">
            <v>-10.159000000000001</v>
          </cell>
        </row>
        <row r="8604">
          <cell r="N8604">
            <v>-9.9510000000000005</v>
          </cell>
        </row>
        <row r="8605">
          <cell r="N8605">
            <v>-2.7010000000000001</v>
          </cell>
        </row>
        <row r="8606">
          <cell r="N8606">
            <v>-3.0059999999999998</v>
          </cell>
        </row>
        <row r="8607">
          <cell r="N8607">
            <v>-10.387</v>
          </cell>
        </row>
        <row r="8608">
          <cell r="N8608">
            <v>-277</v>
          </cell>
        </row>
        <row r="8609">
          <cell r="N8609">
            <v>-3.915</v>
          </cell>
        </row>
        <row r="8610">
          <cell r="N8610">
            <v>-8.2929999999999993</v>
          </cell>
        </row>
        <row r="8611">
          <cell r="N8611">
            <v>-277</v>
          </cell>
        </row>
        <row r="8612">
          <cell r="N8612">
            <v>-9.74</v>
          </cell>
        </row>
        <row r="8613">
          <cell r="N8613">
            <v>-1.5009999999999999</v>
          </cell>
        </row>
        <row r="8614">
          <cell r="N8614">
            <v>-12.548999999999999</v>
          </cell>
        </row>
        <row r="8615">
          <cell r="N8615">
            <v>-8.5609999999999999</v>
          </cell>
        </row>
        <row r="8616">
          <cell r="N8616">
            <v>-8.8650000000000002</v>
          </cell>
        </row>
        <row r="8617">
          <cell r="N8617">
            <v>-277</v>
          </cell>
        </row>
        <row r="8618">
          <cell r="N8618">
            <v>-4.9669999999999996</v>
          </cell>
        </row>
        <row r="8619">
          <cell r="N8619">
            <v>-10.425000000000001</v>
          </cell>
        </row>
        <row r="8620">
          <cell r="N8620">
            <v>-684</v>
          </cell>
        </row>
        <row r="8621">
          <cell r="N8621">
            <v>-4.24</v>
          </cell>
        </row>
        <row r="8622">
          <cell r="N8622">
            <v>-2.2450000000000001</v>
          </cell>
        </row>
        <row r="8623">
          <cell r="N8623">
            <v>-13.239000000000001</v>
          </cell>
        </row>
        <row r="8624">
          <cell r="N8624">
            <v>-9.36</v>
          </cell>
        </row>
        <row r="8625">
          <cell r="N8625">
            <v>-1154</v>
          </cell>
        </row>
        <row r="8626">
          <cell r="N8626">
            <v>-12.061</v>
          </cell>
        </row>
        <row r="8627">
          <cell r="N8627">
            <v>-1154</v>
          </cell>
        </row>
        <row r="8628">
          <cell r="N8628">
            <v>-277</v>
          </cell>
        </row>
        <row r="8629">
          <cell r="N8629">
            <v>-1154</v>
          </cell>
        </row>
        <row r="8630">
          <cell r="N8630">
            <v>-56</v>
          </cell>
        </row>
        <row r="8631">
          <cell r="N8631">
            <v>-3.794</v>
          </cell>
        </row>
        <row r="8632">
          <cell r="N8632">
            <v>-3.0819999999999999</v>
          </cell>
        </row>
        <row r="8633">
          <cell r="N8633">
            <v>-9.6519999999999992</v>
          </cell>
        </row>
        <row r="8634">
          <cell r="N8634">
            <v>-4.3250000000000002</v>
          </cell>
        </row>
        <row r="8635">
          <cell r="N8635">
            <v>-3.044</v>
          </cell>
        </row>
        <row r="8636">
          <cell r="N8636">
            <v>-2.5110000000000001</v>
          </cell>
        </row>
        <row r="8637">
          <cell r="N8637">
            <v>-11.262</v>
          </cell>
        </row>
        <row r="8638">
          <cell r="N8638">
            <v>-15.208</v>
          </cell>
        </row>
        <row r="8639">
          <cell r="N8639">
            <v>-3.5750000000000002</v>
          </cell>
        </row>
        <row r="8640">
          <cell r="N8640">
            <v>-2.1309999999999998</v>
          </cell>
        </row>
        <row r="8641">
          <cell r="N8641">
            <v>-11.116</v>
          </cell>
        </row>
        <row r="8642">
          <cell r="N8642">
            <v>-5.5129999999999999</v>
          </cell>
        </row>
        <row r="8643">
          <cell r="N8643">
            <v>-8.3699999999999992</v>
          </cell>
        </row>
        <row r="8644">
          <cell r="N8644">
            <v>-17.047999999999998</v>
          </cell>
        </row>
        <row r="8645">
          <cell r="N8645">
            <v>-9.8160000000000007</v>
          </cell>
        </row>
        <row r="8646">
          <cell r="N8646">
            <v>-8.5990000000000002</v>
          </cell>
        </row>
        <row r="8647">
          <cell r="N8647">
            <v>-8.2560000000000002</v>
          </cell>
        </row>
        <row r="8648">
          <cell r="N8648">
            <v>-14.962</v>
          </cell>
        </row>
        <row r="8649">
          <cell r="N8649">
            <v>-10.234999999999999</v>
          </cell>
        </row>
        <row r="8650">
          <cell r="N8650">
            <v>-1.5760000000000001</v>
          </cell>
        </row>
        <row r="8651">
          <cell r="N8651">
            <v>-10.615</v>
          </cell>
        </row>
        <row r="8652">
          <cell r="N8652">
            <v>-9.8160000000000007</v>
          </cell>
        </row>
        <row r="8653">
          <cell r="N8653">
            <v>-4.5609999999999999</v>
          </cell>
        </row>
        <row r="8654">
          <cell r="N8654">
            <v>-1.538</v>
          </cell>
        </row>
        <row r="8655">
          <cell r="N8655">
            <v>-8.827</v>
          </cell>
        </row>
        <row r="8656">
          <cell r="N8656">
            <v>-11.564</v>
          </cell>
        </row>
        <row r="8657">
          <cell r="N8657">
            <v>-9.3979999999999997</v>
          </cell>
        </row>
        <row r="8658">
          <cell r="N8658">
            <v>-146.57499999999999</v>
          </cell>
        </row>
        <row r="8659">
          <cell r="N8659">
            <v>-196</v>
          </cell>
        </row>
        <row r="8660">
          <cell r="N8660">
            <v>-2.2829999999999999</v>
          </cell>
        </row>
        <row r="8661">
          <cell r="N8661">
            <v>-112.41200000000001</v>
          </cell>
        </row>
        <row r="8662">
          <cell r="N8662">
            <v>-145.88</v>
          </cell>
        </row>
        <row r="8663">
          <cell r="N8663">
            <v>-231.58799999999999</v>
          </cell>
        </row>
        <row r="8664">
          <cell r="N8664">
            <v>-294.88400000000001</v>
          </cell>
        </row>
        <row r="8665">
          <cell r="N8665">
            <v>-0.56200000000000006</v>
          </cell>
        </row>
        <row r="8666">
          <cell r="N8666">
            <v>-3.3210000000000002</v>
          </cell>
        </row>
        <row r="8667">
          <cell r="N8667">
            <v>-18.745000000000001</v>
          </cell>
        </row>
        <row r="8668">
          <cell r="N8668">
            <v>-12.135</v>
          </cell>
        </row>
        <row r="8669">
          <cell r="N8669">
            <v>-2.4350000000000001</v>
          </cell>
        </row>
        <row r="8670">
          <cell r="N8670">
            <v>-4.8259999999999996</v>
          </cell>
        </row>
        <row r="8671">
          <cell r="N8671">
            <v>-4.4800000000000004</v>
          </cell>
        </row>
        <row r="8672">
          <cell r="N8672">
            <v>-30</v>
          </cell>
        </row>
        <row r="8673">
          <cell r="N8673">
            <v>-20</v>
          </cell>
        </row>
        <row r="8674">
          <cell r="N8674">
            <v>-12</v>
          </cell>
        </row>
        <row r="8675">
          <cell r="N8675">
            <v>-7.1630000000000003</v>
          </cell>
        </row>
        <row r="8676">
          <cell r="N8676">
            <v>-5.6520000000000001</v>
          </cell>
        </row>
        <row r="8677">
          <cell r="N8677">
            <v>-11.683999999999999</v>
          </cell>
        </row>
        <row r="8678">
          <cell r="N8678">
            <v>-110.934</v>
          </cell>
        </row>
        <row r="8679">
          <cell r="N8679">
            <v>-148.90799999999999</v>
          </cell>
        </row>
        <row r="8680">
          <cell r="N8680">
            <v>-3.5329999999999999</v>
          </cell>
        </row>
        <row r="8681">
          <cell r="N8681">
            <v>-2.5489999999999999</v>
          </cell>
        </row>
        <row r="8682">
          <cell r="N8682">
            <v>-7.609</v>
          </cell>
        </row>
        <row r="8683">
          <cell r="N8683">
            <v>-3.5920000000000001</v>
          </cell>
        </row>
        <row r="8684">
          <cell r="N8684">
            <v>-1.7549999999999999</v>
          </cell>
        </row>
        <row r="8685">
          <cell r="N8685">
            <v>-9.2070000000000007</v>
          </cell>
        </row>
        <row r="8686">
          <cell r="N8686">
            <v>-10.92</v>
          </cell>
        </row>
        <row r="8687">
          <cell r="N8687">
            <v>-14.36</v>
          </cell>
        </row>
        <row r="8688">
          <cell r="N8688">
            <v>-13.651999999999999</v>
          </cell>
        </row>
        <row r="8689">
          <cell r="N8689">
            <v>-9.2539999999999996</v>
          </cell>
        </row>
        <row r="8690">
          <cell r="N8690">
            <v>-17.099</v>
          </cell>
        </row>
        <row r="8691">
          <cell r="N8691">
            <v>-1083.5530000000001</v>
          </cell>
        </row>
        <row r="8692">
          <cell r="N8692">
            <v>-11.224</v>
          </cell>
        </row>
        <row r="8693">
          <cell r="N8693">
            <v>-1024.2670000000001</v>
          </cell>
        </row>
        <row r="8694">
          <cell r="N8694">
            <v>-2.3210000000000002</v>
          </cell>
        </row>
        <row r="8695">
          <cell r="N8695">
            <v>-3.31</v>
          </cell>
        </row>
        <row r="8696">
          <cell r="N8696">
            <v>-16.128</v>
          </cell>
        </row>
        <row r="8697">
          <cell r="N8697">
            <v>-531.68700000000001</v>
          </cell>
        </row>
        <row r="8698">
          <cell r="N8698">
            <v>-435.666</v>
          </cell>
        </row>
        <row r="8699">
          <cell r="N8699">
            <v>-4.6420000000000003</v>
          </cell>
        </row>
        <row r="8700">
          <cell r="N8700">
            <v>-3.5859999999999999</v>
          </cell>
        </row>
        <row r="8701">
          <cell r="N8701">
            <v>-134</v>
          </cell>
        </row>
        <row r="8702">
          <cell r="N8702">
            <v>-8.4849999999999994</v>
          </cell>
        </row>
        <row r="8703">
          <cell r="N8703">
            <v>-3.5110000000000001</v>
          </cell>
        </row>
        <row r="8704">
          <cell r="N8704">
            <v>-12.403</v>
          </cell>
        </row>
        <row r="8705">
          <cell r="N8705">
            <v>-0.57499999999999996</v>
          </cell>
        </row>
        <row r="8706">
          <cell r="N8706">
            <v>-2.6629999999999998</v>
          </cell>
        </row>
        <row r="8707">
          <cell r="N8707">
            <v>-9.1329999999999991</v>
          </cell>
        </row>
        <row r="8708">
          <cell r="N8708">
            <v>-14.686</v>
          </cell>
        </row>
        <row r="8709">
          <cell r="N8709">
            <v>-11.108000000000001</v>
          </cell>
        </row>
        <row r="8710">
          <cell r="N8710">
            <v>-3.431</v>
          </cell>
        </row>
        <row r="8711">
          <cell r="N8711">
            <v>-5.4740000000000002</v>
          </cell>
        </row>
        <row r="8712">
          <cell r="N8712">
            <v>-1.9039999999999999</v>
          </cell>
        </row>
        <row r="8713">
          <cell r="N8713">
            <v>-2.169</v>
          </cell>
        </row>
        <row r="8714">
          <cell r="N8714">
            <v>-6.9080000000000004</v>
          </cell>
        </row>
        <row r="8715">
          <cell r="N8715">
            <v>-3.6709999999999998</v>
          </cell>
        </row>
        <row r="8716">
          <cell r="N8716">
            <v>-3.234</v>
          </cell>
        </row>
        <row r="8717">
          <cell r="N8717">
            <v>-20.097999999999999</v>
          </cell>
        </row>
        <row r="8718">
          <cell r="N8718">
            <v>-3.4089999999999998</v>
          </cell>
        </row>
        <row r="8719">
          <cell r="N8719">
            <v>-1.335</v>
          </cell>
        </row>
        <row r="8720">
          <cell r="N8720">
            <v>-3.5329999999999999</v>
          </cell>
        </row>
        <row r="8721">
          <cell r="N8721">
            <v>-15.356</v>
          </cell>
        </row>
        <row r="8722">
          <cell r="N8722">
            <v>-1.5620000000000001</v>
          </cell>
        </row>
        <row r="8723">
          <cell r="N8723">
            <v>-370.25400000000002</v>
          </cell>
        </row>
        <row r="8724">
          <cell r="N8724">
            <v>-2.4350000000000001</v>
          </cell>
        </row>
        <row r="8725">
          <cell r="N8725">
            <v>-4.7300000000000004</v>
          </cell>
        </row>
        <row r="8726">
          <cell r="N8726">
            <v>-880.58600000000001</v>
          </cell>
        </row>
        <row r="8727">
          <cell r="N8727">
            <v>-5.1210000000000004</v>
          </cell>
        </row>
        <row r="8728">
          <cell r="N8728">
            <v>-10.539</v>
          </cell>
        </row>
        <row r="8729">
          <cell r="N8729">
            <v>-5.6029999999999998</v>
          </cell>
        </row>
        <row r="8730">
          <cell r="N8730">
            <v>-3.6320000000000001</v>
          </cell>
        </row>
        <row r="8731">
          <cell r="N8731">
            <v>-10.805</v>
          </cell>
        </row>
        <row r="8732">
          <cell r="N8732">
            <v>-5.0469999999999997</v>
          </cell>
        </row>
        <row r="8733">
          <cell r="N8733">
            <v>-11.206</v>
          </cell>
        </row>
        <row r="8734">
          <cell r="N8734">
            <v>-0.60799999999999998</v>
          </cell>
        </row>
        <row r="8735">
          <cell r="N8735">
            <v>-2.3410000000000002</v>
          </cell>
        </row>
        <row r="8736">
          <cell r="N8736">
            <v>-13.223000000000001</v>
          </cell>
        </row>
        <row r="8737">
          <cell r="N8737">
            <v>-469.02600000000001</v>
          </cell>
        </row>
        <row r="8738">
          <cell r="N8738">
            <v>-2.3969999999999998</v>
          </cell>
        </row>
        <row r="8739">
          <cell r="N8739">
            <v>-469.02600000000001</v>
          </cell>
        </row>
        <row r="8740">
          <cell r="N8740">
            <v>-2.8149999999999999</v>
          </cell>
        </row>
        <row r="8741">
          <cell r="N8741">
            <v>-8.5229999999999997</v>
          </cell>
        </row>
        <row r="8742">
          <cell r="N8742">
            <v>-8.3699999999999992</v>
          </cell>
        </row>
        <row r="8743">
          <cell r="N8743">
            <v>-57.713999999999999</v>
          </cell>
        </row>
        <row r="8744">
          <cell r="N8744">
            <v>-620.42100000000005</v>
          </cell>
        </row>
        <row r="8745">
          <cell r="N8745">
            <v>-346.00400000000002</v>
          </cell>
        </row>
        <row r="8746">
          <cell r="N8746">
            <v>-176.7</v>
          </cell>
        </row>
        <row r="8747">
          <cell r="N8747">
            <v>-9.577</v>
          </cell>
        </row>
        <row r="8748">
          <cell r="N8748">
            <v>-11.375999999999999</v>
          </cell>
        </row>
        <row r="8749">
          <cell r="N8749">
            <v>-9.7910000000000004</v>
          </cell>
        </row>
        <row r="8750">
          <cell r="N8750">
            <v>-6.9080000000000004</v>
          </cell>
        </row>
        <row r="8751">
          <cell r="N8751">
            <v>-3.4239999999999999</v>
          </cell>
        </row>
        <row r="8752">
          <cell r="N8752">
            <v>-2.8919999999999999</v>
          </cell>
        </row>
        <row r="8753">
          <cell r="N8753">
            <v>-2.3969999999999998</v>
          </cell>
        </row>
        <row r="8754">
          <cell r="N8754">
            <v>-9.4740000000000002</v>
          </cell>
        </row>
        <row r="8755">
          <cell r="N8755">
            <v>-6.9080000000000004</v>
          </cell>
        </row>
        <row r="8756">
          <cell r="N8756">
            <v>-11.603999999999999</v>
          </cell>
        </row>
        <row r="8757">
          <cell r="N8757">
            <v>-9.2449999999999992</v>
          </cell>
        </row>
        <row r="8758">
          <cell r="N8758">
            <v>-1.583</v>
          </cell>
        </row>
        <row r="8759">
          <cell r="N8759">
            <v>-10.539</v>
          </cell>
        </row>
        <row r="8760">
          <cell r="N8760">
            <v>-1.6950000000000001</v>
          </cell>
        </row>
        <row r="8761">
          <cell r="N8761">
            <v>-13.445</v>
          </cell>
        </row>
        <row r="8762">
          <cell r="N8762">
            <v>-2.641</v>
          </cell>
        </row>
        <row r="8763">
          <cell r="N8763">
            <v>-1154</v>
          </cell>
        </row>
        <row r="8764">
          <cell r="N8764">
            <v>-1154</v>
          </cell>
        </row>
        <row r="8765">
          <cell r="N8765">
            <v>-35</v>
          </cell>
        </row>
        <row r="8766">
          <cell r="N8766">
            <v>-8.7509999999999994</v>
          </cell>
        </row>
        <row r="8767">
          <cell r="N8767">
            <v>-6.9080000000000004</v>
          </cell>
        </row>
        <row r="8768">
          <cell r="N8768">
            <v>-13.593</v>
          </cell>
        </row>
        <row r="8769">
          <cell r="N8769">
            <v>-19.027999999999999</v>
          </cell>
        </row>
        <row r="8770">
          <cell r="N8770">
            <v>-7.5010000000000003</v>
          </cell>
        </row>
        <row r="8771">
          <cell r="N8771">
            <v>-12.618</v>
          </cell>
        </row>
        <row r="8772">
          <cell r="N8772">
            <v>-277</v>
          </cell>
        </row>
        <row r="8773">
          <cell r="N8773">
            <v>-277</v>
          </cell>
        </row>
        <row r="8774">
          <cell r="N8774">
            <v>-8.2940000000000005</v>
          </cell>
        </row>
        <row r="8775">
          <cell r="N8775">
            <v>-10.285</v>
          </cell>
        </row>
        <row r="8776">
          <cell r="N8776">
            <v>-1154</v>
          </cell>
        </row>
        <row r="8777">
          <cell r="N8777">
            <v>-3.6320000000000001</v>
          </cell>
        </row>
        <row r="8778">
          <cell r="N8778">
            <v>-9.968</v>
          </cell>
        </row>
        <row r="8779">
          <cell r="N8779">
            <v>-1.867</v>
          </cell>
        </row>
        <row r="8780">
          <cell r="N8780">
            <v>-277</v>
          </cell>
        </row>
        <row r="8781">
          <cell r="N8781">
            <v>-12.84</v>
          </cell>
        </row>
        <row r="8782">
          <cell r="N8782">
            <v>-15.987</v>
          </cell>
        </row>
        <row r="8783">
          <cell r="N8783">
            <v>-302</v>
          </cell>
        </row>
        <row r="8784">
          <cell r="N8784">
            <v>-12.962</v>
          </cell>
        </row>
        <row r="8785">
          <cell r="N8785">
            <v>-1154</v>
          </cell>
        </row>
        <row r="8786">
          <cell r="N8786">
            <v>-0.52900000000000003</v>
          </cell>
        </row>
        <row r="8787">
          <cell r="N8787">
            <v>-474.08800000000002</v>
          </cell>
        </row>
        <row r="8788">
          <cell r="N8788">
            <v>-9.7780000000000005</v>
          </cell>
        </row>
        <row r="8789">
          <cell r="N8789">
            <v>-9.702</v>
          </cell>
        </row>
        <row r="8790">
          <cell r="N8790">
            <v>-10.196999999999999</v>
          </cell>
        </row>
        <row r="8791">
          <cell r="N8791">
            <v>-3.496</v>
          </cell>
        </row>
        <row r="8792">
          <cell r="N8792">
            <v>-10.539</v>
          </cell>
        </row>
        <row r="8793">
          <cell r="N8793">
            <v>-9.5920000000000005</v>
          </cell>
        </row>
        <row r="8794">
          <cell r="N8794">
            <v>-24.632000000000001</v>
          </cell>
        </row>
        <row r="8795">
          <cell r="N8795">
            <v>-14.077</v>
          </cell>
        </row>
        <row r="8796">
          <cell r="N8796">
            <v>-600.77</v>
          </cell>
        </row>
        <row r="8797">
          <cell r="N8797">
            <v>-12.598000000000001</v>
          </cell>
        </row>
        <row r="8798">
          <cell r="N8798">
            <v>-15.632999999999999</v>
          </cell>
        </row>
        <row r="8799">
          <cell r="N8799">
            <v>-3.1480000000000001</v>
          </cell>
        </row>
        <row r="8800">
          <cell r="N8800">
            <v>-3.794</v>
          </cell>
        </row>
        <row r="8801">
          <cell r="N8801">
            <v>-10.159000000000001</v>
          </cell>
        </row>
        <row r="8802">
          <cell r="N8802">
            <v>-13.657999999999999</v>
          </cell>
        </row>
        <row r="8803">
          <cell r="N8803">
            <v>-5.2169999999999996</v>
          </cell>
        </row>
        <row r="8804">
          <cell r="N8804">
            <v>-9.9969999999999999</v>
          </cell>
        </row>
        <row r="8805">
          <cell r="N8805">
            <v>-2.6629999999999998</v>
          </cell>
        </row>
        <row r="8806">
          <cell r="N8806">
            <v>-9.2070000000000007</v>
          </cell>
        </row>
        <row r="8807">
          <cell r="N8807">
            <v>-3.2690000000000001</v>
          </cell>
        </row>
        <row r="8808">
          <cell r="N8808">
            <v>-280.32100000000003</v>
          </cell>
        </row>
        <row r="8809">
          <cell r="N8809">
            <v>-10.349</v>
          </cell>
        </row>
        <row r="8810">
          <cell r="N8810">
            <v>-116.203</v>
          </cell>
        </row>
        <row r="8811">
          <cell r="N8811">
            <v>-9.0169999999999995</v>
          </cell>
        </row>
        <row r="8812">
          <cell r="N8812">
            <v>-9.8539999999999992</v>
          </cell>
        </row>
        <row r="8813">
          <cell r="N8813">
            <v>-12.954000000000001</v>
          </cell>
        </row>
        <row r="8814">
          <cell r="N8814">
            <v>-7.298</v>
          </cell>
        </row>
        <row r="8815">
          <cell r="N8815">
            <v>-16.199000000000002</v>
          </cell>
        </row>
        <row r="8816">
          <cell r="N8816">
            <v>-3.8340000000000001</v>
          </cell>
        </row>
        <row r="8817">
          <cell r="N8817">
            <v>-1459.33</v>
          </cell>
        </row>
        <row r="8818">
          <cell r="N8818">
            <v>-2.3969999999999998</v>
          </cell>
        </row>
        <row r="8819">
          <cell r="N8819">
            <v>-3.4710000000000001</v>
          </cell>
        </row>
        <row r="8820">
          <cell r="N8820">
            <v>-2.6629999999999998</v>
          </cell>
        </row>
        <row r="8821">
          <cell r="N8821">
            <v>-1047.069</v>
          </cell>
        </row>
        <row r="8822">
          <cell r="N8822">
            <v>-8.1039999999999992</v>
          </cell>
        </row>
        <row r="8823">
          <cell r="N8823">
            <v>-9.3219999999999992</v>
          </cell>
        </row>
        <row r="8824">
          <cell r="N8824">
            <v>-5.1360000000000001</v>
          </cell>
        </row>
        <row r="8825">
          <cell r="N8825">
            <v>-10.121</v>
          </cell>
        </row>
        <row r="8826">
          <cell r="N8826">
            <v>-4.9470000000000001</v>
          </cell>
        </row>
        <row r="8827">
          <cell r="N8827">
            <v>-0.67300000000000004</v>
          </cell>
        </row>
        <row r="8828">
          <cell r="N8828">
            <v>-175.066</v>
          </cell>
        </row>
        <row r="8829">
          <cell r="N8829">
            <v>-4.5599999999999996</v>
          </cell>
        </row>
        <row r="8830">
          <cell r="N8830">
            <v>-4.6820000000000004</v>
          </cell>
        </row>
        <row r="8831">
          <cell r="N8831">
            <v>-9.3219999999999992</v>
          </cell>
        </row>
        <row r="8832">
          <cell r="N8832">
            <v>-70.165999999999997</v>
          </cell>
        </row>
        <row r="8833">
          <cell r="N8833">
            <v>-5.4459999999999997</v>
          </cell>
        </row>
        <row r="8834">
          <cell r="N8834">
            <v>-333.63600000000002</v>
          </cell>
        </row>
        <row r="8835">
          <cell r="N8835">
            <v>-334.04399999999998</v>
          </cell>
        </row>
        <row r="8836">
          <cell r="N8836">
            <v>-2.968</v>
          </cell>
        </row>
        <row r="8837">
          <cell r="N8837">
            <v>-111.679</v>
          </cell>
        </row>
        <row r="8838">
          <cell r="N8838">
            <v>-11</v>
          </cell>
        </row>
        <row r="8839">
          <cell r="N8839">
            <v>-3.6230000000000002</v>
          </cell>
        </row>
        <row r="8840">
          <cell r="N8840">
            <v>-19.916</v>
          </cell>
        </row>
        <row r="8841">
          <cell r="N8841">
            <v>-334.04399999999998</v>
          </cell>
        </row>
        <row r="8842">
          <cell r="N8842">
            <v>-10.082000000000001</v>
          </cell>
        </row>
        <row r="8843">
          <cell r="N8843">
            <v>-2.5870000000000002</v>
          </cell>
        </row>
        <row r="8844">
          <cell r="N8844">
            <v>-4.0170000000000003</v>
          </cell>
        </row>
        <row r="8845">
          <cell r="N8845">
            <v>-9.5120000000000005</v>
          </cell>
        </row>
        <row r="8846">
          <cell r="N8846">
            <v>-10.805</v>
          </cell>
        </row>
        <row r="8847">
          <cell r="N8847">
            <v>-8.218</v>
          </cell>
        </row>
        <row r="8848">
          <cell r="N8848">
            <v>-2.6629999999999998</v>
          </cell>
        </row>
        <row r="8849">
          <cell r="N8849">
            <v>-3.0819999999999999</v>
          </cell>
        </row>
        <row r="8850">
          <cell r="N8850">
            <v>-11.025</v>
          </cell>
        </row>
        <row r="8851">
          <cell r="N8851">
            <v>-1154</v>
          </cell>
        </row>
        <row r="8852">
          <cell r="N8852">
            <v>-11.17</v>
          </cell>
        </row>
        <row r="8853">
          <cell r="N8853">
            <v>-3.944</v>
          </cell>
        </row>
        <row r="8854">
          <cell r="N8854">
            <v>-2.359</v>
          </cell>
        </row>
        <row r="8855">
          <cell r="N8855">
            <v>-3.1080000000000001</v>
          </cell>
        </row>
        <row r="8856">
          <cell r="N8856">
            <v>-2.359</v>
          </cell>
        </row>
        <row r="8857">
          <cell r="N8857">
            <v>-12.353</v>
          </cell>
        </row>
        <row r="8858">
          <cell r="N8858">
            <v>-18.686</v>
          </cell>
        </row>
        <row r="8859">
          <cell r="N8859">
            <v>-1.6879999999999999</v>
          </cell>
        </row>
        <row r="8860">
          <cell r="N8860">
            <v>-3.7679999999999998</v>
          </cell>
        </row>
        <row r="8861">
          <cell r="N8861">
            <v>-15.067</v>
          </cell>
        </row>
        <row r="8862">
          <cell r="N8862">
            <v>-9.0549999999999997</v>
          </cell>
        </row>
        <row r="8863">
          <cell r="N8863">
            <v>-3.1480000000000001</v>
          </cell>
        </row>
        <row r="8864">
          <cell r="N8864">
            <v>-0.56899999999999995</v>
          </cell>
        </row>
        <row r="8865">
          <cell r="N8865">
            <v>-2.6629999999999998</v>
          </cell>
        </row>
        <row r="8866">
          <cell r="N8866">
            <v>-684</v>
          </cell>
        </row>
        <row r="8867">
          <cell r="N8867">
            <v>-3.2759999999999998</v>
          </cell>
        </row>
        <row r="8868">
          <cell r="N8868">
            <v>-732</v>
          </cell>
        </row>
        <row r="8869">
          <cell r="N8869">
            <v>-277</v>
          </cell>
        </row>
        <row r="8870">
          <cell r="N8870">
            <v>-1.583</v>
          </cell>
        </row>
        <row r="8871">
          <cell r="N8871">
            <v>-277</v>
          </cell>
        </row>
        <row r="8872">
          <cell r="N8872">
            <v>-18.831</v>
          </cell>
        </row>
        <row r="8873">
          <cell r="N8873">
            <v>-5.782</v>
          </cell>
        </row>
        <row r="8874">
          <cell r="N8874">
            <v>-10.311</v>
          </cell>
        </row>
        <row r="8875">
          <cell r="N8875">
            <v>-12.137</v>
          </cell>
        </row>
        <row r="8876">
          <cell r="N8876">
            <v>-2.4350000000000001</v>
          </cell>
        </row>
        <row r="8877">
          <cell r="N8877">
            <v>-1154</v>
          </cell>
        </row>
        <row r="8878">
          <cell r="N8878">
            <v>-277</v>
          </cell>
        </row>
        <row r="8879">
          <cell r="N8879">
            <v>-210</v>
          </cell>
        </row>
        <row r="8880">
          <cell r="N8880">
            <v>-277</v>
          </cell>
        </row>
        <row r="8881">
          <cell r="N8881">
            <v>-119.42700000000001</v>
          </cell>
        </row>
        <row r="8882">
          <cell r="N8882">
            <v>-3.754</v>
          </cell>
        </row>
        <row r="8883">
          <cell r="N8883">
            <v>-11.071</v>
          </cell>
        </row>
        <row r="8884">
          <cell r="N8884">
            <v>-20</v>
          </cell>
        </row>
        <row r="8885">
          <cell r="N8885">
            <v>-5.3650000000000002</v>
          </cell>
        </row>
        <row r="8886">
          <cell r="N8886">
            <v>-17.260000000000002</v>
          </cell>
        </row>
        <row r="8887">
          <cell r="N8887">
            <v>-583.19600000000003</v>
          </cell>
        </row>
        <row r="8888">
          <cell r="N8888">
            <v>-9.5879999999999992</v>
          </cell>
        </row>
        <row r="8889">
          <cell r="N8889">
            <v>-21.89</v>
          </cell>
        </row>
        <row r="8890">
          <cell r="N8890">
            <v>-12.909000000000001</v>
          </cell>
        </row>
        <row r="8891">
          <cell r="N8891">
            <v>-8.9789999999999992</v>
          </cell>
        </row>
        <row r="8892">
          <cell r="N8892">
            <v>-559.02800000000002</v>
          </cell>
        </row>
        <row r="8893">
          <cell r="N8893">
            <v>-3.9049999999999998</v>
          </cell>
        </row>
        <row r="8894">
          <cell r="N8894">
            <v>-584.08199999999999</v>
          </cell>
        </row>
        <row r="8895">
          <cell r="N8895">
            <v>-10.196999999999999</v>
          </cell>
        </row>
        <row r="8896">
          <cell r="N8896">
            <v>-9.8539999999999992</v>
          </cell>
        </row>
        <row r="8897">
          <cell r="N8897">
            <v>-18.321000000000002</v>
          </cell>
        </row>
        <row r="8898">
          <cell r="N8898">
            <v>-2.625</v>
          </cell>
        </row>
        <row r="8899">
          <cell r="N8899">
            <v>-10.082000000000001</v>
          </cell>
        </row>
        <row r="8900">
          <cell r="N8900">
            <v>-9.3219999999999992</v>
          </cell>
        </row>
        <row r="8901">
          <cell r="N8901">
            <v>-1.837</v>
          </cell>
        </row>
        <row r="8902">
          <cell r="N8902">
            <v>-9.1690000000000005</v>
          </cell>
        </row>
        <row r="8903">
          <cell r="N8903">
            <v>-3.1480000000000001</v>
          </cell>
        </row>
        <row r="8904">
          <cell r="N8904">
            <v>-4.2030000000000003</v>
          </cell>
        </row>
        <row r="8905">
          <cell r="N8905">
            <v>-23.957000000000001</v>
          </cell>
        </row>
        <row r="8906">
          <cell r="N8906">
            <v>-2.7010000000000001</v>
          </cell>
        </row>
        <row r="8907">
          <cell r="N8907">
            <v>-0.54900000000000004</v>
          </cell>
        </row>
        <row r="8908">
          <cell r="N8908">
            <v>-559.02800000000002</v>
          </cell>
        </row>
        <row r="8909">
          <cell r="N8909">
            <v>-1.7330000000000001</v>
          </cell>
        </row>
        <row r="8910">
          <cell r="N8910">
            <v>-5.1550000000000002</v>
          </cell>
        </row>
        <row r="8911">
          <cell r="N8911">
            <v>-19.027999999999999</v>
          </cell>
        </row>
        <row r="8912">
          <cell r="N8912">
            <v>-1017.8819999999999</v>
          </cell>
        </row>
        <row r="8913">
          <cell r="N8913">
            <v>-277</v>
          </cell>
        </row>
        <row r="8914">
          <cell r="N8914">
            <v>-277</v>
          </cell>
        </row>
        <row r="8915">
          <cell r="N8915">
            <v>-277</v>
          </cell>
        </row>
        <row r="8916">
          <cell r="N8916">
            <v>-2.5489999999999999</v>
          </cell>
        </row>
        <row r="8917">
          <cell r="N8917">
            <v>-7.9139999999999997</v>
          </cell>
        </row>
        <row r="8918">
          <cell r="N8918">
            <v>-2.2450000000000001</v>
          </cell>
        </row>
        <row r="8919">
          <cell r="N8919">
            <v>-12.057</v>
          </cell>
        </row>
        <row r="8920">
          <cell r="N8920">
            <v>-684</v>
          </cell>
        </row>
        <row r="8921">
          <cell r="N8921">
            <v>-10.285</v>
          </cell>
        </row>
        <row r="8922">
          <cell r="N8922">
            <v>-11.833</v>
          </cell>
        </row>
        <row r="8923">
          <cell r="N8923">
            <v>-3.496</v>
          </cell>
        </row>
        <row r="8924">
          <cell r="N8924">
            <v>-4.0170000000000003</v>
          </cell>
        </row>
        <row r="8925">
          <cell r="N8925">
            <v>-2.359</v>
          </cell>
        </row>
        <row r="8926">
          <cell r="N8926">
            <v>-3.6080000000000001</v>
          </cell>
        </row>
        <row r="8927">
          <cell r="N8927">
            <v>-0.60799999999999998</v>
          </cell>
        </row>
        <row r="8928">
          <cell r="N8928">
            <v>-5.0449999999999999</v>
          </cell>
        </row>
        <row r="8929">
          <cell r="N8929">
            <v>-3.3210000000000002</v>
          </cell>
        </row>
        <row r="8930">
          <cell r="N8930">
            <v>-3.552</v>
          </cell>
        </row>
        <row r="8931">
          <cell r="N8931">
            <v>-3.81</v>
          </cell>
        </row>
        <row r="8932">
          <cell r="N8932">
            <v>-3.5110000000000001</v>
          </cell>
        </row>
        <row r="8933">
          <cell r="N8933">
            <v>-10.044</v>
          </cell>
        </row>
        <row r="8934">
          <cell r="N8934">
            <v>-10.984</v>
          </cell>
        </row>
        <row r="8935">
          <cell r="N8935">
            <v>-3.673</v>
          </cell>
        </row>
        <row r="8936">
          <cell r="N8936">
            <v>-1154</v>
          </cell>
        </row>
        <row r="8937">
          <cell r="N8937">
            <v>-14.893000000000001</v>
          </cell>
        </row>
        <row r="8938">
          <cell r="N8938">
            <v>-1154</v>
          </cell>
        </row>
        <row r="8939">
          <cell r="N8939">
            <v>-12.023</v>
          </cell>
        </row>
        <row r="8940">
          <cell r="N8940">
            <v>-684</v>
          </cell>
        </row>
        <row r="8941">
          <cell r="N8941">
            <v>-1.524</v>
          </cell>
        </row>
        <row r="8942">
          <cell r="N8942">
            <v>-9.0169999999999995</v>
          </cell>
        </row>
        <row r="8943">
          <cell r="N8943">
            <v>-1.8520000000000001</v>
          </cell>
        </row>
        <row r="8944">
          <cell r="N8944">
            <v>-2.2450000000000001</v>
          </cell>
        </row>
        <row r="8945">
          <cell r="N8945">
            <v>-3.2690000000000001</v>
          </cell>
        </row>
        <row r="8946">
          <cell r="N8946">
            <v>-2.8540000000000001</v>
          </cell>
        </row>
        <row r="8947">
          <cell r="N8947">
            <v>-9.1649999999999991</v>
          </cell>
        </row>
        <row r="8948">
          <cell r="N8948">
            <v>-2.1309999999999998</v>
          </cell>
        </row>
        <row r="8949">
          <cell r="N8949">
            <v>-11.032</v>
          </cell>
        </row>
        <row r="8950">
          <cell r="N8950">
            <v>-6.0140000000000002</v>
          </cell>
        </row>
        <row r="8951">
          <cell r="N8951">
            <v>-215</v>
          </cell>
        </row>
        <row r="8952">
          <cell r="N8952">
            <v>-10.044</v>
          </cell>
        </row>
        <row r="8953">
          <cell r="N8953">
            <v>-3.5750000000000002</v>
          </cell>
        </row>
        <row r="8954">
          <cell r="N8954">
            <v>-2.8919999999999999</v>
          </cell>
        </row>
        <row r="8955">
          <cell r="N8955">
            <v>-9.5120000000000005</v>
          </cell>
        </row>
        <row r="8956">
          <cell r="N8956">
            <v>-0.47099999999999997</v>
          </cell>
        </row>
        <row r="8957">
          <cell r="N8957">
            <v>-13.042999999999999</v>
          </cell>
        </row>
        <row r="8958">
          <cell r="N8958">
            <v>-3.7130000000000001</v>
          </cell>
        </row>
        <row r="8959">
          <cell r="N8959">
            <v>-7.3659999999999997</v>
          </cell>
        </row>
        <row r="8960">
          <cell r="N8960">
            <v>-4.5199999999999996</v>
          </cell>
        </row>
        <row r="8961">
          <cell r="N8961">
            <v>-12.061</v>
          </cell>
        </row>
        <row r="8962">
          <cell r="N8962">
            <v>-3.4089999999999998</v>
          </cell>
        </row>
        <row r="8963">
          <cell r="N8963">
            <v>-277</v>
          </cell>
        </row>
        <row r="8964">
          <cell r="N8964">
            <v>-277</v>
          </cell>
        </row>
        <row r="8965">
          <cell r="N8965">
            <v>-15.704000000000001</v>
          </cell>
        </row>
        <row r="8966">
          <cell r="N8966">
            <v>-3.0059999999999998</v>
          </cell>
        </row>
        <row r="8967">
          <cell r="N8967">
            <v>-9.1690000000000005</v>
          </cell>
        </row>
        <row r="8968">
          <cell r="N8968">
            <v>-2.2069999999999999</v>
          </cell>
        </row>
        <row r="8969">
          <cell r="N8969">
            <v>-277</v>
          </cell>
        </row>
        <row r="8970">
          <cell r="N8970">
            <v>-3.1989999999999998</v>
          </cell>
        </row>
        <row r="8971">
          <cell r="N8971">
            <v>-1071.845</v>
          </cell>
        </row>
        <row r="8972">
          <cell r="N8972">
            <v>-12.864000000000001</v>
          </cell>
        </row>
        <row r="8973">
          <cell r="N8973">
            <v>-3.673</v>
          </cell>
        </row>
        <row r="8974">
          <cell r="N8974">
            <v>-3.855</v>
          </cell>
        </row>
        <row r="8975">
          <cell r="N8975">
            <v>-9.8320000000000007</v>
          </cell>
        </row>
        <row r="8976">
          <cell r="N8976">
            <v>-302</v>
          </cell>
        </row>
        <row r="8977">
          <cell r="N8977">
            <v>-126</v>
          </cell>
        </row>
        <row r="8978">
          <cell r="N8978">
            <v>-18.734999999999999</v>
          </cell>
        </row>
        <row r="8979">
          <cell r="N8979">
            <v>-168.25200000000001</v>
          </cell>
        </row>
        <row r="8980">
          <cell r="N8980">
            <v>-3.1579999999999999</v>
          </cell>
        </row>
        <row r="8981">
          <cell r="N8981">
            <v>-9.4359999999999999</v>
          </cell>
        </row>
        <row r="8982">
          <cell r="N8982">
            <v>-1.919</v>
          </cell>
        </row>
        <row r="8983">
          <cell r="N8983">
            <v>-12.773999999999999</v>
          </cell>
        </row>
        <row r="8984">
          <cell r="N8984">
            <v>-9.4740000000000002</v>
          </cell>
        </row>
        <row r="8985">
          <cell r="N8985">
            <v>-1.6279999999999999</v>
          </cell>
        </row>
        <row r="8986">
          <cell r="N8986">
            <v>-3.2730000000000001</v>
          </cell>
        </row>
        <row r="8987">
          <cell r="N8987">
            <v>-7.0010000000000003</v>
          </cell>
        </row>
        <row r="8988">
          <cell r="N8988">
            <v>-10.082000000000001</v>
          </cell>
        </row>
        <row r="8989">
          <cell r="N8989">
            <v>-2.8919999999999999</v>
          </cell>
        </row>
        <row r="8990">
          <cell r="N8990">
            <v>-22.137</v>
          </cell>
        </row>
        <row r="8991">
          <cell r="N8991">
            <v>-9.8919999999999995</v>
          </cell>
        </row>
        <row r="8992">
          <cell r="N8992">
            <v>-5.024</v>
          </cell>
        </row>
        <row r="8993">
          <cell r="N8993">
            <v>-6.3520000000000003</v>
          </cell>
        </row>
        <row r="8994">
          <cell r="N8994">
            <v>-9.4359999999999999</v>
          </cell>
        </row>
        <row r="8995">
          <cell r="N8995">
            <v>-2.3410000000000002</v>
          </cell>
        </row>
        <row r="8996">
          <cell r="N8996">
            <v>-2.3969999999999998</v>
          </cell>
        </row>
        <row r="8997">
          <cell r="N8997">
            <v>-1.5609999999999999</v>
          </cell>
        </row>
        <row r="8998">
          <cell r="N8998">
            <v>-3.0819999999999999</v>
          </cell>
        </row>
        <row r="8999">
          <cell r="N8999">
            <v>-1.26</v>
          </cell>
        </row>
        <row r="9000">
          <cell r="N9000">
            <v>-1.585</v>
          </cell>
        </row>
        <row r="9001">
          <cell r="N9001">
            <v>-15.35</v>
          </cell>
        </row>
        <row r="9002">
          <cell r="N9002">
            <v>-9.3219999999999992</v>
          </cell>
        </row>
        <row r="9003">
          <cell r="N9003">
            <v>-3.3849999999999998</v>
          </cell>
        </row>
        <row r="9004">
          <cell r="N9004">
            <v>-9.3979999999999997</v>
          </cell>
        </row>
        <row r="9005">
          <cell r="N9005">
            <v>-12.099</v>
          </cell>
        </row>
        <row r="9006">
          <cell r="N9006">
            <v>-0.51</v>
          </cell>
        </row>
        <row r="9007">
          <cell r="N9007">
            <v>-10.577</v>
          </cell>
        </row>
        <row r="9008">
          <cell r="N9008">
            <v>-5.7370000000000001</v>
          </cell>
        </row>
        <row r="9009">
          <cell r="N9009">
            <v>-12.135999999999999</v>
          </cell>
        </row>
        <row r="9010">
          <cell r="N9010">
            <v>-3.31</v>
          </cell>
        </row>
        <row r="9011">
          <cell r="N9011">
            <v>-2.0550000000000002</v>
          </cell>
        </row>
        <row r="9012">
          <cell r="N9012">
            <v>-3.673</v>
          </cell>
        </row>
        <row r="9013">
          <cell r="N9013">
            <v>-10.218999999999999</v>
          </cell>
        </row>
        <row r="9014">
          <cell r="N9014">
            <v>-10.311</v>
          </cell>
        </row>
        <row r="9015">
          <cell r="N9015">
            <v>-10.273</v>
          </cell>
        </row>
        <row r="9016">
          <cell r="N9016">
            <v>-3.35</v>
          </cell>
        </row>
        <row r="9017">
          <cell r="N9017">
            <v>-3.4039999999999999</v>
          </cell>
        </row>
        <row r="9018">
          <cell r="N9018">
            <v>-10.311</v>
          </cell>
        </row>
        <row r="9019">
          <cell r="N9019">
            <v>-2.9350000000000001</v>
          </cell>
        </row>
        <row r="9020">
          <cell r="N9020">
            <v>-17.047999999999998</v>
          </cell>
        </row>
        <row r="9021">
          <cell r="N9021">
            <v>-11.643000000000001</v>
          </cell>
        </row>
        <row r="9022">
          <cell r="N9022">
            <v>-5.3570000000000002</v>
          </cell>
        </row>
        <row r="9023">
          <cell r="N9023">
            <v>-2.5110000000000001</v>
          </cell>
        </row>
        <row r="9024">
          <cell r="N9024">
            <v>-4.319</v>
          </cell>
        </row>
        <row r="9025">
          <cell r="N9025">
            <v>-2.169</v>
          </cell>
        </row>
        <row r="9026">
          <cell r="N9026">
            <v>-9.5120000000000005</v>
          </cell>
        </row>
        <row r="9027">
          <cell r="N9027">
            <v>-2.5870000000000002</v>
          </cell>
        </row>
        <row r="9028">
          <cell r="N9028">
            <v>-11.071999999999999</v>
          </cell>
        </row>
        <row r="9029">
          <cell r="N9029">
            <v>-3.6909999999999998</v>
          </cell>
        </row>
        <row r="9030">
          <cell r="N9030">
            <v>-11.026</v>
          </cell>
        </row>
        <row r="9031">
          <cell r="N9031">
            <v>-10.121</v>
          </cell>
        </row>
        <row r="9032">
          <cell r="N9032">
            <v>-0.56899999999999995</v>
          </cell>
        </row>
        <row r="9033">
          <cell r="N9033">
            <v>-684</v>
          </cell>
        </row>
        <row r="9034">
          <cell r="N9034">
            <v>-684</v>
          </cell>
        </row>
        <row r="9035">
          <cell r="N9035">
            <v>-4.5750000000000002</v>
          </cell>
        </row>
        <row r="9036">
          <cell r="N9036">
            <v>-1154</v>
          </cell>
        </row>
        <row r="9037">
          <cell r="N9037">
            <v>-1011</v>
          </cell>
        </row>
        <row r="9038">
          <cell r="N9038">
            <v>-6.69</v>
          </cell>
        </row>
        <row r="9039">
          <cell r="N9039">
            <v>-1.516</v>
          </cell>
        </row>
        <row r="9040">
          <cell r="N9040">
            <v>-4.2510000000000003</v>
          </cell>
        </row>
        <row r="9041">
          <cell r="N9041">
            <v>-9.4740000000000002</v>
          </cell>
        </row>
        <row r="9042">
          <cell r="N9042">
            <v>-8.5990000000000002</v>
          </cell>
        </row>
        <row r="9043">
          <cell r="N9043">
            <v>-1.3740000000000001</v>
          </cell>
        </row>
        <row r="9044">
          <cell r="N9044">
            <v>-1.7609999999999999</v>
          </cell>
        </row>
        <row r="9045">
          <cell r="N9045">
            <v>-587.95699999999999</v>
          </cell>
        </row>
        <row r="9046">
          <cell r="N9046">
            <v>-3.39</v>
          </cell>
        </row>
        <row r="9047">
          <cell r="N9047">
            <v>-611.55799999999999</v>
          </cell>
        </row>
        <row r="9048">
          <cell r="N9048">
            <v>-10.958</v>
          </cell>
        </row>
        <row r="9049">
          <cell r="N9049">
            <v>-2.6629999999999998</v>
          </cell>
        </row>
        <row r="9050">
          <cell r="N9050">
            <v>-3.5859999999999999</v>
          </cell>
        </row>
        <row r="9051">
          <cell r="N9051">
            <v>-1.3360000000000001</v>
          </cell>
        </row>
        <row r="9052">
          <cell r="N9052">
            <v>-4.2510000000000003</v>
          </cell>
        </row>
        <row r="9053">
          <cell r="N9053">
            <v>-611.55799999999999</v>
          </cell>
        </row>
        <row r="9054">
          <cell r="N9054">
            <v>-10.577</v>
          </cell>
        </row>
        <row r="9055">
          <cell r="N9055">
            <v>-7.3920000000000003</v>
          </cell>
        </row>
        <row r="9056">
          <cell r="N9056">
            <v>-8.0350000000000001</v>
          </cell>
        </row>
        <row r="9057">
          <cell r="N9057">
            <v>-4.782</v>
          </cell>
        </row>
        <row r="9058">
          <cell r="N9058">
            <v>-11</v>
          </cell>
        </row>
        <row r="9059">
          <cell r="N9059">
            <v>-11.034000000000001</v>
          </cell>
        </row>
        <row r="9060">
          <cell r="N9060">
            <v>-11.067</v>
          </cell>
        </row>
        <row r="9061">
          <cell r="N9061">
            <v>-921.35699999999997</v>
          </cell>
        </row>
        <row r="9062">
          <cell r="N9062">
            <v>-4.4400000000000004</v>
          </cell>
        </row>
        <row r="9063">
          <cell r="N9063">
            <v>-9.36</v>
          </cell>
        </row>
        <row r="9064">
          <cell r="N9064">
            <v>-1154</v>
          </cell>
        </row>
        <row r="9065">
          <cell r="N9065">
            <v>-1.516</v>
          </cell>
        </row>
        <row r="9066">
          <cell r="N9066">
            <v>-277</v>
          </cell>
        </row>
        <row r="9067">
          <cell r="N9067">
            <v>-277</v>
          </cell>
        </row>
        <row r="9068">
          <cell r="N9068">
            <v>-17.542999999999999</v>
          </cell>
        </row>
        <row r="9069">
          <cell r="N9069">
            <v>-277</v>
          </cell>
        </row>
        <row r="9070">
          <cell r="N9070">
            <v>-277</v>
          </cell>
        </row>
        <row r="9071">
          <cell r="N9071">
            <v>-2.2829999999999999</v>
          </cell>
        </row>
        <row r="9072">
          <cell r="N9072">
            <v>-126</v>
          </cell>
        </row>
        <row r="9073">
          <cell r="N9073">
            <v>-2.5870000000000002</v>
          </cell>
        </row>
        <row r="9074">
          <cell r="N9074">
            <v>-3.645</v>
          </cell>
        </row>
        <row r="9075">
          <cell r="N9075">
            <v>-7.8760000000000003</v>
          </cell>
        </row>
        <row r="9076">
          <cell r="N9076">
            <v>-2.5870000000000002</v>
          </cell>
        </row>
        <row r="9077">
          <cell r="N9077">
            <v>-10.308999999999999</v>
          </cell>
        </row>
        <row r="9078">
          <cell r="N9078">
            <v>-3.875</v>
          </cell>
        </row>
        <row r="9079">
          <cell r="N9079">
            <v>-2.8149999999999999</v>
          </cell>
        </row>
        <row r="9080">
          <cell r="N9080">
            <v>-3.0870000000000002</v>
          </cell>
        </row>
        <row r="9081">
          <cell r="N9081">
            <v>-0.60099999999999998</v>
          </cell>
        </row>
        <row r="9082">
          <cell r="N9082">
            <v>-11.474</v>
          </cell>
        </row>
        <row r="9083">
          <cell r="N9083">
            <v>-3.7130000000000001</v>
          </cell>
        </row>
        <row r="9084">
          <cell r="N9084">
            <v>-10.006</v>
          </cell>
        </row>
        <row r="9085">
          <cell r="N9085">
            <v>-6.2850000000000001</v>
          </cell>
        </row>
        <row r="9086">
          <cell r="N9086">
            <v>-2.968</v>
          </cell>
        </row>
        <row r="9087">
          <cell r="N9087">
            <v>-1.6990000000000001</v>
          </cell>
        </row>
        <row r="9088">
          <cell r="N9088">
            <v>-2.093</v>
          </cell>
        </row>
        <row r="9089">
          <cell r="N9089">
            <v>-10.996</v>
          </cell>
        </row>
        <row r="9090">
          <cell r="N9090">
            <v>-8.0280000000000005</v>
          </cell>
        </row>
        <row r="9091">
          <cell r="N9091">
            <v>-8.3699999999999992</v>
          </cell>
        </row>
        <row r="9092">
          <cell r="N9092">
            <v>-2.6629999999999998</v>
          </cell>
        </row>
        <row r="9093">
          <cell r="N9093">
            <v>-4.4930000000000003</v>
          </cell>
        </row>
        <row r="9094">
          <cell r="N9094">
            <v>-9.4740000000000002</v>
          </cell>
        </row>
        <row r="9095">
          <cell r="N9095">
            <v>-1.2989999999999999</v>
          </cell>
        </row>
        <row r="9096">
          <cell r="N9096">
            <v>-543.55700000000002</v>
          </cell>
        </row>
        <row r="9097">
          <cell r="N9097">
            <v>-611.55799999999999</v>
          </cell>
        </row>
        <row r="9098">
          <cell r="N9098">
            <v>-611.55799999999999</v>
          </cell>
        </row>
        <row r="9099">
          <cell r="N9099">
            <v>-17.331</v>
          </cell>
        </row>
        <row r="9100">
          <cell r="N9100">
            <v>-1.837</v>
          </cell>
        </row>
        <row r="9101">
          <cell r="N9101">
            <v>-3.9889999999999999</v>
          </cell>
        </row>
        <row r="9102">
          <cell r="N9102">
            <v>-3.6749999999999998</v>
          </cell>
        </row>
        <row r="9103">
          <cell r="N9103">
            <v>-11.807</v>
          </cell>
        </row>
        <row r="9104">
          <cell r="N9104">
            <v>-2.7770000000000001</v>
          </cell>
        </row>
        <row r="9105">
          <cell r="N9105">
            <v>-2.1960000000000002</v>
          </cell>
        </row>
        <row r="9106">
          <cell r="N9106">
            <v>-11.071</v>
          </cell>
        </row>
        <row r="9107">
          <cell r="N9107">
            <v>-11.452</v>
          </cell>
        </row>
        <row r="9108">
          <cell r="N9108">
            <v>-14.218</v>
          </cell>
        </row>
        <row r="9109">
          <cell r="N9109">
            <v>-21.846</v>
          </cell>
        </row>
        <row r="9110">
          <cell r="N9110">
            <v>-0.80400000000000005</v>
          </cell>
        </row>
        <row r="9111">
          <cell r="N9111">
            <v>-9.5879999999999992</v>
          </cell>
        </row>
        <row r="9112">
          <cell r="N9112">
            <v>-4.7960000000000003</v>
          </cell>
        </row>
        <row r="9113">
          <cell r="N9113">
            <v>-4.7380000000000004</v>
          </cell>
        </row>
        <row r="9114">
          <cell r="N9114">
            <v>-2.7850000000000001</v>
          </cell>
        </row>
        <row r="9115">
          <cell r="N9115">
            <v>-1.456</v>
          </cell>
        </row>
        <row r="9116">
          <cell r="N9116">
            <v>-2.968</v>
          </cell>
        </row>
        <row r="9117">
          <cell r="N9117">
            <v>-3.6549999999999998</v>
          </cell>
        </row>
        <row r="9118">
          <cell r="N9118">
            <v>-4.2249999999999996</v>
          </cell>
        </row>
        <row r="9119">
          <cell r="N9119">
            <v>-7.907</v>
          </cell>
        </row>
        <row r="9120">
          <cell r="N9120">
            <v>-10.805</v>
          </cell>
        </row>
        <row r="9121">
          <cell r="N9121">
            <v>-4.7830000000000004</v>
          </cell>
        </row>
        <row r="9122">
          <cell r="N9122">
            <v>-8.5990000000000002</v>
          </cell>
        </row>
        <row r="9123">
          <cell r="N9123">
            <v>-1.8320000000000001</v>
          </cell>
        </row>
        <row r="9124">
          <cell r="N9124">
            <v>-10.349</v>
          </cell>
        </row>
        <row r="9125">
          <cell r="N9125">
            <v>-4.0910000000000002</v>
          </cell>
        </row>
        <row r="9126">
          <cell r="N9126">
            <v>-11.972</v>
          </cell>
        </row>
        <row r="9127">
          <cell r="N9127">
            <v>-9.3219999999999992</v>
          </cell>
        </row>
        <row r="9128">
          <cell r="N9128">
            <v>-7.4569999999999999</v>
          </cell>
        </row>
        <row r="9129">
          <cell r="N9129">
            <v>-2.5489999999999999</v>
          </cell>
        </row>
        <row r="9130">
          <cell r="N9130">
            <v>-9.3979999999999997</v>
          </cell>
        </row>
        <row r="9131">
          <cell r="N9131">
            <v>-2.7010000000000001</v>
          </cell>
        </row>
        <row r="9132">
          <cell r="N9132">
            <v>-1.56</v>
          </cell>
        </row>
        <row r="9133">
          <cell r="N9133">
            <v>-3.552</v>
          </cell>
        </row>
        <row r="9134">
          <cell r="N9134">
            <v>-21.846</v>
          </cell>
        </row>
        <row r="9135">
          <cell r="N9135">
            <v>-8.7509999999999994</v>
          </cell>
        </row>
        <row r="9136">
          <cell r="N9136">
            <v>-3.2719999999999998</v>
          </cell>
        </row>
        <row r="9137">
          <cell r="N9137">
            <v>-10.936999999999999</v>
          </cell>
        </row>
        <row r="9138">
          <cell r="N9138">
            <v>-1.389</v>
          </cell>
        </row>
        <row r="9139">
          <cell r="N9139">
            <v>-8.0660000000000007</v>
          </cell>
        </row>
        <row r="9140">
          <cell r="N9140">
            <v>-3.673</v>
          </cell>
        </row>
        <row r="9141">
          <cell r="N9141">
            <v>-3.5110000000000001</v>
          </cell>
        </row>
        <row r="9142">
          <cell r="N9142">
            <v>-2.2450000000000001</v>
          </cell>
        </row>
        <row r="9143">
          <cell r="N9143">
            <v>-2.5489999999999999</v>
          </cell>
        </row>
        <row r="9144">
          <cell r="N9144">
            <v>-411.98200000000003</v>
          </cell>
        </row>
        <row r="9145">
          <cell r="N9145">
            <v>-200.709</v>
          </cell>
        </row>
        <row r="9146">
          <cell r="N9146">
            <v>-211.273</v>
          </cell>
        </row>
        <row r="9147">
          <cell r="N9147">
            <v>-10.958</v>
          </cell>
        </row>
        <row r="9148">
          <cell r="N9148">
            <v>-50.499000000000002</v>
          </cell>
        </row>
        <row r="9149">
          <cell r="N9149">
            <v>-15.138</v>
          </cell>
        </row>
        <row r="9150">
          <cell r="N9150">
            <v>-7.6859999999999999</v>
          </cell>
        </row>
        <row r="9151">
          <cell r="N9151">
            <v>-1.845</v>
          </cell>
        </row>
        <row r="9152">
          <cell r="N9152">
            <v>-2.7389999999999999</v>
          </cell>
        </row>
        <row r="9153">
          <cell r="N9153">
            <v>-10.196999999999999</v>
          </cell>
        </row>
        <row r="9154">
          <cell r="N9154">
            <v>-0.75800000000000001</v>
          </cell>
        </row>
        <row r="9155">
          <cell r="N9155">
            <v>-5.3810000000000002</v>
          </cell>
        </row>
        <row r="9156">
          <cell r="N9156">
            <v>-1154</v>
          </cell>
        </row>
        <row r="9157">
          <cell r="N9157">
            <v>-1154</v>
          </cell>
        </row>
        <row r="9158">
          <cell r="N9158">
            <v>-35.520000000000003</v>
          </cell>
        </row>
        <row r="9159">
          <cell r="N9159">
            <v>-2.2450000000000001</v>
          </cell>
        </row>
        <row r="9160">
          <cell r="N9160">
            <v>-1154</v>
          </cell>
        </row>
        <row r="9161">
          <cell r="N9161">
            <v>-1154</v>
          </cell>
        </row>
        <row r="9162">
          <cell r="N9162">
            <v>-1154</v>
          </cell>
        </row>
        <row r="9163">
          <cell r="N9163">
            <v>-684</v>
          </cell>
        </row>
        <row r="9164">
          <cell r="N9164">
            <v>-277</v>
          </cell>
        </row>
        <row r="9165">
          <cell r="N9165">
            <v>-1.9039999999999999</v>
          </cell>
        </row>
        <row r="9166">
          <cell r="N9166">
            <v>-277</v>
          </cell>
        </row>
        <row r="9167">
          <cell r="N9167">
            <v>-4.2510000000000003</v>
          </cell>
        </row>
        <row r="9168">
          <cell r="N9168">
            <v>-8.5229999999999997</v>
          </cell>
        </row>
        <row r="9169">
          <cell r="N9169">
            <v>-1.5760000000000001</v>
          </cell>
        </row>
        <row r="9170">
          <cell r="N9170">
            <v>-11.848000000000001</v>
          </cell>
        </row>
        <row r="9171">
          <cell r="N9171">
            <v>-4.9640000000000004</v>
          </cell>
        </row>
        <row r="9172">
          <cell r="N9172">
            <v>-2.93</v>
          </cell>
        </row>
        <row r="9173">
          <cell r="N9173">
            <v>-2.9460000000000002</v>
          </cell>
        </row>
        <row r="9174">
          <cell r="N9174">
            <v>-2.9750000000000001</v>
          </cell>
        </row>
        <row r="9175">
          <cell r="N9175">
            <v>-176.233</v>
          </cell>
        </row>
        <row r="9176">
          <cell r="N9176">
            <v>-3.3079999999999998</v>
          </cell>
        </row>
        <row r="9177">
          <cell r="N9177">
            <v>-34</v>
          </cell>
        </row>
        <row r="9178">
          <cell r="N9178">
            <v>-302</v>
          </cell>
        </row>
        <row r="9179">
          <cell r="N9179">
            <v>-11.945</v>
          </cell>
        </row>
        <row r="9180">
          <cell r="N9180">
            <v>-5.7370000000000001</v>
          </cell>
        </row>
        <row r="9181">
          <cell r="N9181">
            <v>-15.987</v>
          </cell>
        </row>
        <row r="9182">
          <cell r="N9182">
            <v>-3.6309999999999998</v>
          </cell>
        </row>
        <row r="9183">
          <cell r="N9183">
            <v>-8.5609999999999999</v>
          </cell>
        </row>
        <row r="9184">
          <cell r="N9184">
            <v>-10.130000000000001</v>
          </cell>
        </row>
        <row r="9185">
          <cell r="N9185">
            <v>-2.93</v>
          </cell>
        </row>
        <row r="9186">
          <cell r="N9186">
            <v>-13.311999999999999</v>
          </cell>
        </row>
        <row r="9187">
          <cell r="N9187">
            <v>-9.968</v>
          </cell>
        </row>
        <row r="9188">
          <cell r="N9188">
            <v>-1.202</v>
          </cell>
        </row>
        <row r="9189">
          <cell r="N9189">
            <v>-0.64</v>
          </cell>
        </row>
        <row r="9190">
          <cell r="N9190">
            <v>-277</v>
          </cell>
        </row>
        <row r="9191">
          <cell r="N9191">
            <v>-12.685</v>
          </cell>
        </row>
        <row r="9192">
          <cell r="N9192">
            <v>-9.6639999999999997</v>
          </cell>
        </row>
        <row r="9193">
          <cell r="N9193">
            <v>-277</v>
          </cell>
        </row>
        <row r="9194">
          <cell r="N9194">
            <v>-2</v>
          </cell>
        </row>
        <row r="9195">
          <cell r="N9195">
            <v>-9.8919999999999995</v>
          </cell>
        </row>
        <row r="9196">
          <cell r="N9196">
            <v>-11.603999999999999</v>
          </cell>
        </row>
        <row r="9197">
          <cell r="N9197">
            <v>-3.0990000000000002</v>
          </cell>
        </row>
        <row r="9198">
          <cell r="N9198">
            <v>-3.3849999999999998</v>
          </cell>
        </row>
        <row r="9199">
          <cell r="N9199">
            <v>-10</v>
          </cell>
        </row>
        <row r="9200">
          <cell r="N9200">
            <v>-11</v>
          </cell>
        </row>
        <row r="9201">
          <cell r="N9201">
            <v>-0.52300000000000002</v>
          </cell>
        </row>
        <row r="9202">
          <cell r="N9202">
            <v>-11</v>
          </cell>
        </row>
        <row r="9203">
          <cell r="N9203">
            <v>-10</v>
          </cell>
        </row>
        <row r="9204">
          <cell r="N9204">
            <v>-8.7889999999999997</v>
          </cell>
        </row>
        <row r="9205">
          <cell r="N9205">
            <v>-216</v>
          </cell>
        </row>
        <row r="9206">
          <cell r="N9206">
            <v>-78</v>
          </cell>
        </row>
        <row r="9207">
          <cell r="N9207">
            <v>-10</v>
          </cell>
        </row>
        <row r="9208">
          <cell r="N9208">
            <v>-370</v>
          </cell>
        </row>
        <row r="9209">
          <cell r="N9209">
            <v>-8.2940000000000005</v>
          </cell>
        </row>
        <row r="9210">
          <cell r="N9210">
            <v>-0.80700000000000005</v>
          </cell>
        </row>
        <row r="9211">
          <cell r="N9211">
            <v>-1154</v>
          </cell>
        </row>
        <row r="9212">
          <cell r="N9212">
            <v>-18.25</v>
          </cell>
        </row>
        <row r="9213">
          <cell r="N9213">
            <v>-4.6929999999999996</v>
          </cell>
        </row>
        <row r="9214">
          <cell r="N9214">
            <v>-0.309</v>
          </cell>
        </row>
        <row r="9215">
          <cell r="N9215">
            <v>-1.9370000000000001</v>
          </cell>
        </row>
        <row r="9216">
          <cell r="N9216">
            <v>-3.8519999999999999</v>
          </cell>
        </row>
        <row r="9217">
          <cell r="N9217">
            <v>-3.1890000000000001</v>
          </cell>
        </row>
        <row r="9218">
          <cell r="N9218">
            <v>-2.625</v>
          </cell>
        </row>
        <row r="9219">
          <cell r="N9219">
            <v>-21.919</v>
          </cell>
        </row>
        <row r="9220">
          <cell r="N9220">
            <v>-22.797000000000001</v>
          </cell>
        </row>
        <row r="9221">
          <cell r="N9221">
            <v>-3.1760000000000002</v>
          </cell>
        </row>
        <row r="9222">
          <cell r="N9222">
            <v>-10.943</v>
          </cell>
        </row>
        <row r="9223">
          <cell r="N9223">
            <v>-1.546</v>
          </cell>
        </row>
        <row r="9224">
          <cell r="N9224">
            <v>-2.7450000000000001</v>
          </cell>
        </row>
        <row r="9225">
          <cell r="N9225">
            <v>-15.704000000000001</v>
          </cell>
        </row>
        <row r="9226">
          <cell r="N9226">
            <v>-3.0270000000000001</v>
          </cell>
        </row>
        <row r="9227">
          <cell r="N9227">
            <v>-8.8650000000000002</v>
          </cell>
        </row>
        <row r="9228">
          <cell r="N9228">
            <v>-8.1129999999999995</v>
          </cell>
        </row>
        <row r="9229">
          <cell r="N9229">
            <v>-1.621</v>
          </cell>
        </row>
        <row r="9230">
          <cell r="N9230">
            <v>-9.8659999999999997</v>
          </cell>
        </row>
        <row r="9231">
          <cell r="N9231">
            <v>-9.1310000000000002</v>
          </cell>
        </row>
        <row r="9232">
          <cell r="N9232">
            <v>-10.121</v>
          </cell>
        </row>
        <row r="9233">
          <cell r="N9233">
            <v>-2.5870000000000002</v>
          </cell>
        </row>
        <row r="9234">
          <cell r="N9234">
            <v>-1.8520000000000001</v>
          </cell>
        </row>
        <row r="9235">
          <cell r="N9235">
            <v>-10.766999999999999</v>
          </cell>
        </row>
        <row r="9236">
          <cell r="N9236">
            <v>-3.1989999999999998</v>
          </cell>
        </row>
        <row r="9237">
          <cell r="N9237">
            <v>-2.4729999999999999</v>
          </cell>
        </row>
        <row r="9238">
          <cell r="N9238">
            <v>-0.58199999999999996</v>
          </cell>
        </row>
        <row r="9239">
          <cell r="N9239">
            <v>-1.74</v>
          </cell>
        </row>
        <row r="9240">
          <cell r="N9240">
            <v>-1.794</v>
          </cell>
        </row>
        <row r="9241">
          <cell r="N9241">
            <v>-1.484</v>
          </cell>
        </row>
        <row r="9242">
          <cell r="N9242">
            <v>-9.8919999999999995</v>
          </cell>
        </row>
        <row r="9243">
          <cell r="N9243">
            <v>-9.2070000000000007</v>
          </cell>
        </row>
        <row r="9244">
          <cell r="N9244">
            <v>-6.8929999999999998</v>
          </cell>
        </row>
        <row r="9245">
          <cell r="N9245">
            <v>-0.53600000000000003</v>
          </cell>
        </row>
        <row r="9246">
          <cell r="N9246">
            <v>-7.2830000000000004</v>
          </cell>
        </row>
        <row r="9247">
          <cell r="N9247">
            <v>-2.8919999999999999</v>
          </cell>
        </row>
        <row r="9248">
          <cell r="N9248">
            <v>-17.260000000000002</v>
          </cell>
        </row>
        <row r="9249">
          <cell r="N9249">
            <v>-5.6769999999999996</v>
          </cell>
        </row>
        <row r="9250">
          <cell r="N9250">
            <v>-2.5659999999999998</v>
          </cell>
        </row>
        <row r="9251">
          <cell r="N9251">
            <v>-10.779</v>
          </cell>
        </row>
        <row r="9252">
          <cell r="N9252">
            <v>-3.2290000000000001</v>
          </cell>
        </row>
        <row r="9253">
          <cell r="N9253">
            <v>-10.159000000000001</v>
          </cell>
        </row>
        <row r="9254">
          <cell r="N9254">
            <v>-4.2030000000000003</v>
          </cell>
        </row>
        <row r="9255">
          <cell r="N9255">
            <v>-346.80900000000003</v>
          </cell>
        </row>
        <row r="9256">
          <cell r="N9256">
            <v>-1.5009999999999999</v>
          </cell>
        </row>
        <row r="9257">
          <cell r="N9257">
            <v>-10.539</v>
          </cell>
        </row>
        <row r="9258">
          <cell r="N9258">
            <v>-8.5820000000000007</v>
          </cell>
        </row>
        <row r="9259">
          <cell r="N9259">
            <v>-4.9279999999999999</v>
          </cell>
        </row>
        <row r="9260">
          <cell r="N9260">
            <v>-3.919</v>
          </cell>
        </row>
        <row r="9261">
          <cell r="N9261">
            <v>-5.4740000000000002</v>
          </cell>
        </row>
        <row r="9262">
          <cell r="N9262">
            <v>-1.5529999999999999</v>
          </cell>
        </row>
        <row r="9263">
          <cell r="N9263">
            <v>-10.843</v>
          </cell>
        </row>
        <row r="9264">
          <cell r="N9264">
            <v>-2.7770000000000001</v>
          </cell>
        </row>
        <row r="9265">
          <cell r="N9265">
            <v>-2.359</v>
          </cell>
        </row>
        <row r="9266">
          <cell r="N9266">
            <v>-7.952</v>
          </cell>
        </row>
        <row r="9267">
          <cell r="N9267">
            <v>-8.218</v>
          </cell>
        </row>
        <row r="9268">
          <cell r="N9268">
            <v>-4.9279999999999999</v>
          </cell>
        </row>
        <row r="9269">
          <cell r="N9269">
            <v>-7.1630000000000003</v>
          </cell>
        </row>
        <row r="9270">
          <cell r="N9270">
            <v>-8.5609999999999999</v>
          </cell>
        </row>
        <row r="9271">
          <cell r="N9271">
            <v>-9.4359999999999999</v>
          </cell>
        </row>
        <row r="9272">
          <cell r="N9272">
            <v>-3.996</v>
          </cell>
        </row>
        <row r="9273">
          <cell r="N9273">
            <v>-6.1820000000000004</v>
          </cell>
        </row>
        <row r="9274">
          <cell r="N9274">
            <v>-1020.717</v>
          </cell>
        </row>
        <row r="9275">
          <cell r="N9275">
            <v>-2.4729999999999999</v>
          </cell>
        </row>
        <row r="9276">
          <cell r="N9276">
            <v>-11.11</v>
          </cell>
        </row>
        <row r="9277">
          <cell r="N9277">
            <v>-1.5609999999999999</v>
          </cell>
        </row>
        <row r="9278">
          <cell r="N9278">
            <v>-9.2449999999999992</v>
          </cell>
        </row>
        <row r="9279">
          <cell r="N9279">
            <v>-10.444000000000001</v>
          </cell>
        </row>
        <row r="9280">
          <cell r="N9280">
            <v>-1.298</v>
          </cell>
        </row>
        <row r="9281">
          <cell r="N9281">
            <v>-0.60099999999999998</v>
          </cell>
        </row>
        <row r="9282">
          <cell r="N9282">
            <v>-3.05</v>
          </cell>
        </row>
        <row r="9283">
          <cell r="N9283">
            <v>-1.179</v>
          </cell>
        </row>
        <row r="9284">
          <cell r="N9284">
            <v>-5.2709999999999999</v>
          </cell>
        </row>
        <row r="9285">
          <cell r="N9285">
            <v>-1.8520000000000001</v>
          </cell>
        </row>
        <row r="9286">
          <cell r="N9286">
            <v>-2.9870000000000001</v>
          </cell>
        </row>
        <row r="9287">
          <cell r="N9287">
            <v>-2.6629999999999998</v>
          </cell>
        </row>
        <row r="9288">
          <cell r="N9288">
            <v>-10</v>
          </cell>
        </row>
        <row r="9289">
          <cell r="N9289">
            <v>-0.02</v>
          </cell>
        </row>
        <row r="9290">
          <cell r="N9290">
            <v>-25</v>
          </cell>
        </row>
        <row r="9291">
          <cell r="N9291">
            <v>-1154</v>
          </cell>
        </row>
        <row r="9292">
          <cell r="N9292">
            <v>-324</v>
          </cell>
        </row>
        <row r="9293">
          <cell r="N9293">
            <v>-302</v>
          </cell>
        </row>
        <row r="9294">
          <cell r="N9294">
            <v>-302</v>
          </cell>
        </row>
        <row r="9295">
          <cell r="N9295">
            <v>-302</v>
          </cell>
        </row>
        <row r="9296">
          <cell r="N9296">
            <v>-302</v>
          </cell>
        </row>
        <row r="9297">
          <cell r="N9297">
            <v>-277</v>
          </cell>
        </row>
        <row r="9298">
          <cell r="N9298">
            <v>-277</v>
          </cell>
        </row>
        <row r="9299">
          <cell r="N9299">
            <v>-298</v>
          </cell>
        </row>
        <row r="9300">
          <cell r="N9300">
            <v>-277</v>
          </cell>
        </row>
        <row r="9301">
          <cell r="N9301">
            <v>-152</v>
          </cell>
        </row>
        <row r="9302">
          <cell r="N9302">
            <v>-10.843</v>
          </cell>
        </row>
        <row r="9303">
          <cell r="N9303">
            <v>-9.0549999999999997</v>
          </cell>
        </row>
        <row r="9304">
          <cell r="N9304">
            <v>-12.177</v>
          </cell>
        </row>
        <row r="9305">
          <cell r="N9305">
            <v>-4.24</v>
          </cell>
        </row>
        <row r="9306">
          <cell r="N9306">
            <v>-3.8959999999999999</v>
          </cell>
        </row>
        <row r="9307">
          <cell r="N9307">
            <v>-9.0510000000000002</v>
          </cell>
        </row>
        <row r="9308">
          <cell r="N9308">
            <v>-3.0270000000000001</v>
          </cell>
        </row>
        <row r="9309">
          <cell r="N9309">
            <v>-8.4459999999999997</v>
          </cell>
        </row>
        <row r="9310">
          <cell r="N9310">
            <v>-1.794</v>
          </cell>
        </row>
        <row r="9311">
          <cell r="N9311">
            <v>-10.121</v>
          </cell>
        </row>
        <row r="9312">
          <cell r="N9312">
            <v>-1.5529999999999999</v>
          </cell>
        </row>
        <row r="9313">
          <cell r="N9313">
            <v>-8.9789999999999992</v>
          </cell>
        </row>
        <row r="9314">
          <cell r="N9314">
            <v>-1.994</v>
          </cell>
        </row>
        <row r="9315">
          <cell r="N9315">
            <v>-1.978</v>
          </cell>
        </row>
        <row r="9316">
          <cell r="N9316">
            <v>-5.8209999999999997</v>
          </cell>
        </row>
        <row r="9317">
          <cell r="N9317">
            <v>-4.4930000000000003</v>
          </cell>
        </row>
        <row r="9318">
          <cell r="N9318">
            <v>-0.60099999999999998</v>
          </cell>
        </row>
        <row r="9319">
          <cell r="N9319">
            <v>-7.7709999999999999</v>
          </cell>
        </row>
        <row r="9320">
          <cell r="N9320">
            <v>-7.343</v>
          </cell>
        </row>
        <row r="9321">
          <cell r="N9321">
            <v>-3.552</v>
          </cell>
        </row>
        <row r="9322">
          <cell r="N9322">
            <v>-3.552</v>
          </cell>
        </row>
        <row r="9323">
          <cell r="N9323">
            <v>-3.9420000000000002</v>
          </cell>
        </row>
        <row r="9324">
          <cell r="N9324">
            <v>-2.3969999999999998</v>
          </cell>
        </row>
        <row r="9325">
          <cell r="N9325">
            <v>-6.665</v>
          </cell>
        </row>
        <row r="9326">
          <cell r="N9326">
            <v>-437.84</v>
          </cell>
        </row>
        <row r="9327">
          <cell r="N9327">
            <v>-620.42100000000005</v>
          </cell>
        </row>
        <row r="9328">
          <cell r="N9328">
            <v>-7.8380000000000001</v>
          </cell>
        </row>
        <row r="9329">
          <cell r="N9329">
            <v>-4.9329999999999998</v>
          </cell>
        </row>
        <row r="9330">
          <cell r="N9330">
            <v>-5.5549999999999997</v>
          </cell>
        </row>
        <row r="9331">
          <cell r="N9331">
            <v>-3.2290000000000001</v>
          </cell>
        </row>
        <row r="9332">
          <cell r="N9332">
            <v>-3.431</v>
          </cell>
        </row>
        <row r="9333">
          <cell r="N9333">
            <v>-569.92200000000003</v>
          </cell>
        </row>
        <row r="9334">
          <cell r="N9334">
            <v>-2.6629999999999998</v>
          </cell>
        </row>
        <row r="9335">
          <cell r="N9335">
            <v>-0.53600000000000003</v>
          </cell>
        </row>
        <row r="9336">
          <cell r="N9336">
            <v>-14.43</v>
          </cell>
        </row>
        <row r="9337">
          <cell r="N9337">
            <v>-20.364999999999998</v>
          </cell>
        </row>
        <row r="9338">
          <cell r="N9338">
            <v>-5.609</v>
          </cell>
        </row>
        <row r="9339">
          <cell r="N9339">
            <v>-3.044</v>
          </cell>
        </row>
        <row r="9340">
          <cell r="N9340">
            <v>-11.474</v>
          </cell>
        </row>
        <row r="9341">
          <cell r="N9341">
            <v>-7.952</v>
          </cell>
        </row>
        <row r="9342">
          <cell r="N9342">
            <v>-9.5500000000000007</v>
          </cell>
        </row>
        <row r="9343">
          <cell r="N9343">
            <v>-8.7889999999999997</v>
          </cell>
        </row>
        <row r="9344">
          <cell r="N9344">
            <v>-7.7039999999999997</v>
          </cell>
        </row>
        <row r="9345">
          <cell r="N9345">
            <v>-10.234999999999999</v>
          </cell>
        </row>
        <row r="9346">
          <cell r="N9346">
            <v>-10.477</v>
          </cell>
        </row>
        <row r="9347">
          <cell r="N9347">
            <v>-2.2450000000000001</v>
          </cell>
        </row>
        <row r="9348">
          <cell r="N9348">
            <v>-19.664999999999999</v>
          </cell>
        </row>
        <row r="9349">
          <cell r="N9349">
            <v>-8.3699999999999992</v>
          </cell>
        </row>
        <row r="9350">
          <cell r="N9350">
            <v>-3.234</v>
          </cell>
        </row>
        <row r="9351">
          <cell r="N9351">
            <v>-10.92</v>
          </cell>
        </row>
        <row r="9352">
          <cell r="N9352">
            <v>-10.696</v>
          </cell>
        </row>
        <row r="9353">
          <cell r="N9353">
            <v>-0.50800000000000001</v>
          </cell>
        </row>
        <row r="9354">
          <cell r="N9354">
            <v>-5.8789999999999996</v>
          </cell>
        </row>
        <row r="9355">
          <cell r="N9355">
            <v>-0.28199999999999997</v>
          </cell>
        </row>
        <row r="9356">
          <cell r="N9356">
            <v>-8.1199999999999992</v>
          </cell>
        </row>
        <row r="9357">
          <cell r="N9357">
            <v>-15.188000000000001</v>
          </cell>
        </row>
        <row r="9358">
          <cell r="N9358">
            <v>-4.4459999999999997</v>
          </cell>
        </row>
        <row r="9359">
          <cell r="N9359">
            <v>-7.4859999999999998</v>
          </cell>
        </row>
        <row r="9360">
          <cell r="N9360">
            <v>-36.981000000000002</v>
          </cell>
        </row>
        <row r="9361">
          <cell r="N9361">
            <v>-268.44600000000003</v>
          </cell>
        </row>
        <row r="9362">
          <cell r="N9362">
            <v>-1.516</v>
          </cell>
        </row>
        <row r="9363">
          <cell r="N9363">
            <v>-8.4849999999999994</v>
          </cell>
        </row>
        <row r="9364">
          <cell r="N9364">
            <v>-7.4569999999999999</v>
          </cell>
        </row>
        <row r="9365">
          <cell r="N9365">
            <v>-9.5879999999999992</v>
          </cell>
        </row>
        <row r="9366">
          <cell r="N9366">
            <v>-8.9030000000000005</v>
          </cell>
        </row>
        <row r="9367">
          <cell r="N9367">
            <v>-9.1440000000000001</v>
          </cell>
        </row>
        <row r="9368">
          <cell r="N9368">
            <v>-0.621</v>
          </cell>
        </row>
        <row r="9369">
          <cell r="N9369">
            <v>-9.7439999999999998</v>
          </cell>
        </row>
        <row r="9370">
          <cell r="N9370">
            <v>-3.2719999999999998</v>
          </cell>
        </row>
        <row r="9371">
          <cell r="N9371">
            <v>-17.472000000000001</v>
          </cell>
        </row>
        <row r="9372">
          <cell r="N9372">
            <v>-9.968</v>
          </cell>
        </row>
        <row r="9373">
          <cell r="N9373">
            <v>-10.691000000000001</v>
          </cell>
        </row>
        <row r="9374">
          <cell r="N9374">
            <v>-1.897</v>
          </cell>
        </row>
        <row r="9375">
          <cell r="N9375">
            <v>-9.4740000000000002</v>
          </cell>
        </row>
        <row r="9376">
          <cell r="N9376">
            <v>-6.3159999999999998</v>
          </cell>
        </row>
        <row r="9377">
          <cell r="N9377">
            <v>-0.59499999999999997</v>
          </cell>
        </row>
        <row r="9378">
          <cell r="N9378">
            <v>-3.5760000000000001</v>
          </cell>
        </row>
        <row r="9379">
          <cell r="N9379">
            <v>-9.8919999999999995</v>
          </cell>
        </row>
        <row r="9380">
          <cell r="N9380">
            <v>-6.42</v>
          </cell>
        </row>
        <row r="9381">
          <cell r="N9381">
            <v>-3.8140000000000001</v>
          </cell>
        </row>
        <row r="9382">
          <cell r="N9382">
            <v>-14.000999999999999</v>
          </cell>
        </row>
        <row r="9383">
          <cell r="N9383">
            <v>-5.8789999999999996</v>
          </cell>
        </row>
        <row r="9384">
          <cell r="N9384">
            <v>-6.758</v>
          </cell>
        </row>
        <row r="9385">
          <cell r="N9385">
            <v>-3.0129999999999999</v>
          </cell>
        </row>
        <row r="9386">
          <cell r="N9386">
            <v>-1.546</v>
          </cell>
        </row>
        <row r="9387">
          <cell r="N9387">
            <v>-5.0010000000000003</v>
          </cell>
        </row>
        <row r="9388">
          <cell r="N9388">
            <v>-2.7770000000000001</v>
          </cell>
        </row>
        <row r="9389">
          <cell r="N9389">
            <v>-1.8819999999999999</v>
          </cell>
        </row>
        <row r="9390">
          <cell r="N9390">
            <v>-14.006</v>
          </cell>
        </row>
        <row r="9391">
          <cell r="N9391">
            <v>-2.7770000000000001</v>
          </cell>
        </row>
        <row r="9392">
          <cell r="N9392">
            <v>-3.5110000000000001</v>
          </cell>
        </row>
        <row r="9393">
          <cell r="N9393">
            <v>-3.2290000000000001</v>
          </cell>
        </row>
        <row r="9394">
          <cell r="N9394">
            <v>-171.94499999999999</v>
          </cell>
        </row>
        <row r="9395">
          <cell r="N9395">
            <v>-2.7040000000000002</v>
          </cell>
        </row>
        <row r="9396">
          <cell r="N9396">
            <v>-2.7010000000000001</v>
          </cell>
        </row>
        <row r="9397">
          <cell r="N9397">
            <v>-2.2450000000000001</v>
          </cell>
        </row>
        <row r="9398">
          <cell r="N9398">
            <v>-5.1360000000000001</v>
          </cell>
        </row>
        <row r="9399">
          <cell r="N9399">
            <v>-13.794</v>
          </cell>
        </row>
        <row r="9400">
          <cell r="N9400">
            <v>-8.5229999999999997</v>
          </cell>
        </row>
        <row r="9401">
          <cell r="N9401">
            <v>-2.2829999999999999</v>
          </cell>
        </row>
        <row r="9402">
          <cell r="N9402">
            <v>-10.234999999999999</v>
          </cell>
        </row>
        <row r="9403">
          <cell r="N9403">
            <v>-0.64</v>
          </cell>
        </row>
        <row r="9404">
          <cell r="N9404">
            <v>-1.5089999999999999</v>
          </cell>
        </row>
        <row r="9405">
          <cell r="N9405">
            <v>-9.5879999999999992</v>
          </cell>
        </row>
        <row r="9406">
          <cell r="N9406">
            <v>-3.4940000000000002</v>
          </cell>
        </row>
        <row r="9407">
          <cell r="N9407">
            <v>-6.0890000000000004</v>
          </cell>
        </row>
        <row r="9408">
          <cell r="N9408">
            <v>-10</v>
          </cell>
        </row>
        <row r="9409">
          <cell r="N9409">
            <v>-529.13099999999997</v>
          </cell>
        </row>
        <row r="9410">
          <cell r="N9410">
            <v>-529.13099999999997</v>
          </cell>
        </row>
        <row r="9411">
          <cell r="N9411">
            <v>-1154</v>
          </cell>
        </row>
        <row r="9412">
          <cell r="N9412">
            <v>-1154</v>
          </cell>
        </row>
        <row r="9413">
          <cell r="N9413">
            <v>-1154</v>
          </cell>
        </row>
        <row r="9414">
          <cell r="N9414">
            <v>-1154</v>
          </cell>
        </row>
        <row r="9415">
          <cell r="N9415">
            <v>-302</v>
          </cell>
        </row>
        <row r="9416">
          <cell r="N9416">
            <v>-324</v>
          </cell>
        </row>
        <row r="9417">
          <cell r="N9417">
            <v>-277</v>
          </cell>
        </row>
        <row r="9418">
          <cell r="N9418">
            <v>-277</v>
          </cell>
        </row>
        <row r="9419">
          <cell r="N9419">
            <v>-162</v>
          </cell>
        </row>
        <row r="9420">
          <cell r="N9420">
            <v>-4</v>
          </cell>
        </row>
        <row r="9421">
          <cell r="N9421">
            <v>-7.6360000000000001</v>
          </cell>
        </row>
        <row r="9422">
          <cell r="N9422">
            <v>-7.7240000000000002</v>
          </cell>
        </row>
        <row r="9423">
          <cell r="N9423">
            <v>-12.054</v>
          </cell>
        </row>
        <row r="9424">
          <cell r="N9424">
            <v>-2.93</v>
          </cell>
        </row>
        <row r="9425">
          <cell r="N9425">
            <v>-7.0960000000000001</v>
          </cell>
        </row>
        <row r="9426">
          <cell r="N9426">
            <v>-2.93</v>
          </cell>
        </row>
        <row r="9427">
          <cell r="N9427">
            <v>-9.3979999999999997</v>
          </cell>
        </row>
        <row r="9428">
          <cell r="N9428">
            <v>-7</v>
          </cell>
        </row>
        <row r="9429">
          <cell r="N9429">
            <v>-1.9850000000000001</v>
          </cell>
        </row>
        <row r="9430">
          <cell r="N9430">
            <v>-7.0960000000000001</v>
          </cell>
        </row>
        <row r="9431">
          <cell r="N9431">
            <v>-4</v>
          </cell>
        </row>
        <row r="9432">
          <cell r="N9432">
            <v>-1.643</v>
          </cell>
        </row>
        <row r="9433">
          <cell r="N9433">
            <v>-8</v>
          </cell>
        </row>
        <row r="9434">
          <cell r="N9434">
            <v>-2.8660000000000001</v>
          </cell>
        </row>
        <row r="9435">
          <cell r="N9435">
            <v>-3.496</v>
          </cell>
        </row>
        <row r="9436">
          <cell r="N9436">
            <v>-19.664999999999999</v>
          </cell>
        </row>
        <row r="9437">
          <cell r="N9437">
            <v>-517.60900000000004</v>
          </cell>
        </row>
        <row r="9438">
          <cell r="N9438">
            <v>-10.234999999999999</v>
          </cell>
        </row>
        <row r="9439">
          <cell r="N9439">
            <v>-8.9789999999999992</v>
          </cell>
        </row>
        <row r="9440">
          <cell r="N9440">
            <v>-1.897</v>
          </cell>
        </row>
        <row r="9441">
          <cell r="N9441">
            <v>-1.718</v>
          </cell>
        </row>
        <row r="9442">
          <cell r="N9442">
            <v>-4.0910000000000002</v>
          </cell>
        </row>
        <row r="9443">
          <cell r="N9443">
            <v>-3.4710000000000001</v>
          </cell>
        </row>
        <row r="9444">
          <cell r="N9444">
            <v>-2.8919999999999999</v>
          </cell>
        </row>
        <row r="9445">
          <cell r="N9445">
            <v>-4.7220000000000004</v>
          </cell>
        </row>
        <row r="9446">
          <cell r="N9446">
            <v>-2.5870000000000002</v>
          </cell>
        </row>
        <row r="9447">
          <cell r="N9447">
            <v>-1.5269999999999999</v>
          </cell>
        </row>
        <row r="9448">
          <cell r="N9448">
            <v>-9.2140000000000004</v>
          </cell>
        </row>
        <row r="9449">
          <cell r="N9449">
            <v>-10.881</v>
          </cell>
        </row>
        <row r="9450">
          <cell r="N9450">
            <v>-9.4359999999999999</v>
          </cell>
        </row>
        <row r="9451">
          <cell r="N9451">
            <v>-1.9570000000000001</v>
          </cell>
        </row>
        <row r="9452">
          <cell r="N9452">
            <v>-2.0310000000000001</v>
          </cell>
        </row>
        <row r="9453">
          <cell r="N9453">
            <v>-10.263999999999999</v>
          </cell>
        </row>
        <row r="9454">
          <cell r="N9454">
            <v>-4.8029999999999999</v>
          </cell>
        </row>
        <row r="9455">
          <cell r="N9455">
            <v>-1.5009999999999999</v>
          </cell>
        </row>
        <row r="9456">
          <cell r="N9456">
            <v>-7.3810000000000002</v>
          </cell>
        </row>
        <row r="9457">
          <cell r="N9457">
            <v>-9.5120000000000005</v>
          </cell>
        </row>
        <row r="9458">
          <cell r="N9458">
            <v>-0.58799999999999997</v>
          </cell>
        </row>
        <row r="9459">
          <cell r="N9459">
            <v>-2.5489999999999999</v>
          </cell>
        </row>
        <row r="9460">
          <cell r="N9460">
            <v>-5.9470000000000001</v>
          </cell>
        </row>
        <row r="9461">
          <cell r="N9461">
            <v>-12.289</v>
          </cell>
        </row>
        <row r="9462">
          <cell r="N9462">
            <v>-8.0660000000000007</v>
          </cell>
        </row>
        <row r="9463">
          <cell r="N9463">
            <v>-8.718</v>
          </cell>
        </row>
        <row r="9464">
          <cell r="N9464">
            <v>-0.56899999999999995</v>
          </cell>
        </row>
        <row r="9465">
          <cell r="N9465">
            <v>-8.1039999999999992</v>
          </cell>
        </row>
        <row r="9466">
          <cell r="N9466">
            <v>-531.79</v>
          </cell>
        </row>
        <row r="9467">
          <cell r="N9467">
            <v>-1.7250000000000001</v>
          </cell>
        </row>
        <row r="9468">
          <cell r="N9468">
            <v>-12.86</v>
          </cell>
        </row>
        <row r="9469">
          <cell r="N9469">
            <v>-4.2030000000000003</v>
          </cell>
        </row>
        <row r="9470">
          <cell r="N9470">
            <v>-10.285</v>
          </cell>
        </row>
        <row r="9471">
          <cell r="N9471">
            <v>-10.285</v>
          </cell>
        </row>
        <row r="9472">
          <cell r="N9472">
            <v>-12.821999999999999</v>
          </cell>
        </row>
        <row r="9473">
          <cell r="N9473">
            <v>-473.96100000000001</v>
          </cell>
        </row>
        <row r="9474">
          <cell r="N9474">
            <v>-3.552</v>
          </cell>
        </row>
        <row r="9475">
          <cell r="N9475">
            <v>-9.4130000000000003</v>
          </cell>
        </row>
        <row r="9476">
          <cell r="N9476">
            <v>-531.79</v>
          </cell>
        </row>
        <row r="9477">
          <cell r="N9477">
            <v>-4.2779999999999996</v>
          </cell>
        </row>
        <row r="9478">
          <cell r="N9478">
            <v>-3.1960000000000002</v>
          </cell>
        </row>
        <row r="9479">
          <cell r="N9479">
            <v>-2.6629999999999998</v>
          </cell>
        </row>
        <row r="9480">
          <cell r="N9480">
            <v>-3.4710000000000001</v>
          </cell>
        </row>
        <row r="9481">
          <cell r="N9481">
            <v>-2.5870000000000002</v>
          </cell>
        </row>
        <row r="9482">
          <cell r="N9482">
            <v>-9.36</v>
          </cell>
        </row>
        <row r="9483">
          <cell r="N9483">
            <v>-7.1150000000000002</v>
          </cell>
        </row>
        <row r="9484">
          <cell r="N9484">
            <v>-77</v>
          </cell>
        </row>
        <row r="9485">
          <cell r="N9485">
            <v>-30</v>
          </cell>
        </row>
        <row r="9486">
          <cell r="N9486">
            <v>-11.436999999999999</v>
          </cell>
        </row>
        <row r="9487">
          <cell r="N9487">
            <v>-105</v>
          </cell>
        </row>
        <row r="9488">
          <cell r="N9488">
            <v>-298</v>
          </cell>
        </row>
        <row r="9489">
          <cell r="N9489">
            <v>-277</v>
          </cell>
        </row>
        <row r="9490">
          <cell r="N9490">
            <v>-277</v>
          </cell>
        </row>
        <row r="9491">
          <cell r="N9491">
            <v>-277</v>
          </cell>
        </row>
        <row r="9492">
          <cell r="N9492">
            <v>-684</v>
          </cell>
        </row>
        <row r="9493">
          <cell r="N9493">
            <v>-0.53600000000000003</v>
          </cell>
        </row>
        <row r="9494">
          <cell r="N9494">
            <v>-684</v>
          </cell>
        </row>
        <row r="9495">
          <cell r="N9495">
            <v>-216</v>
          </cell>
        </row>
        <row r="9496">
          <cell r="N9496">
            <v>-17</v>
          </cell>
        </row>
        <row r="9497">
          <cell r="N9497">
            <v>-218</v>
          </cell>
        </row>
        <row r="9498">
          <cell r="N9498">
            <v>-105</v>
          </cell>
        </row>
        <row r="9499">
          <cell r="N9499">
            <v>-302</v>
          </cell>
        </row>
        <row r="9500">
          <cell r="N9500">
            <v>-9.6620000000000008</v>
          </cell>
        </row>
        <row r="9501">
          <cell r="N9501">
            <v>-1.294</v>
          </cell>
        </row>
        <row r="9502">
          <cell r="N9502">
            <v>-8.218</v>
          </cell>
        </row>
        <row r="9503">
          <cell r="N9503">
            <v>-10.218999999999999</v>
          </cell>
        </row>
        <row r="9504">
          <cell r="N9504">
            <v>-9.4740000000000002</v>
          </cell>
        </row>
        <row r="9505">
          <cell r="N9505">
            <v>-3.31</v>
          </cell>
        </row>
        <row r="9506">
          <cell r="N9506">
            <v>-3.5</v>
          </cell>
        </row>
        <row r="9507">
          <cell r="N9507">
            <v>-2.625</v>
          </cell>
        </row>
        <row r="9508">
          <cell r="N9508">
            <v>-7.2309999999999999</v>
          </cell>
        </row>
        <row r="9509">
          <cell r="N9509">
            <v>-8.5990000000000002</v>
          </cell>
        </row>
        <row r="9510">
          <cell r="N9510">
            <v>-430</v>
          </cell>
        </row>
        <row r="9511">
          <cell r="N9511">
            <v>-520</v>
          </cell>
        </row>
        <row r="9512">
          <cell r="N9512">
            <v>-9.74</v>
          </cell>
        </row>
        <row r="9513">
          <cell r="N9513">
            <v>-530</v>
          </cell>
        </row>
        <row r="9514">
          <cell r="N9514">
            <v>-527.49199999999996</v>
          </cell>
        </row>
        <row r="9515">
          <cell r="N9515">
            <v>-1154</v>
          </cell>
        </row>
        <row r="9516">
          <cell r="N9516">
            <v>-1154</v>
          </cell>
        </row>
        <row r="9517">
          <cell r="N9517">
            <v>-277</v>
          </cell>
        </row>
        <row r="9518">
          <cell r="N9518">
            <v>-152</v>
          </cell>
        </row>
        <row r="9519">
          <cell r="N9519">
            <v>-5</v>
          </cell>
        </row>
        <row r="9520">
          <cell r="N9520">
            <v>-7.62</v>
          </cell>
        </row>
        <row r="9521">
          <cell r="N9521">
            <v>-11.034000000000001</v>
          </cell>
        </row>
        <row r="9522">
          <cell r="N9522">
            <v>-1154</v>
          </cell>
        </row>
        <row r="9523">
          <cell r="N9523">
            <v>-7.1630000000000003</v>
          </cell>
        </row>
        <row r="9524">
          <cell r="N9524">
            <v>-322</v>
          </cell>
        </row>
        <row r="9525">
          <cell r="N9525">
            <v>-7.8380000000000001</v>
          </cell>
        </row>
        <row r="9526">
          <cell r="N9526">
            <v>-3.234</v>
          </cell>
        </row>
        <row r="9527">
          <cell r="N9527">
            <v>-36</v>
          </cell>
        </row>
        <row r="9528">
          <cell r="N9528">
            <v>-10</v>
          </cell>
        </row>
        <row r="9529">
          <cell r="N9529">
            <v>-4.5449999999999999</v>
          </cell>
        </row>
        <row r="9530">
          <cell r="N9530">
            <v>-9.36</v>
          </cell>
        </row>
        <row r="9531">
          <cell r="N9531">
            <v>-2.3969999999999998</v>
          </cell>
        </row>
        <row r="9532">
          <cell r="N9532">
            <v>-1.83</v>
          </cell>
        </row>
        <row r="9533">
          <cell r="N9533">
            <v>-2.9009999999999998</v>
          </cell>
        </row>
        <row r="9534">
          <cell r="N9534">
            <v>-3.31</v>
          </cell>
        </row>
        <row r="9535">
          <cell r="N9535">
            <v>-3.8519999999999999</v>
          </cell>
        </row>
        <row r="9536">
          <cell r="N9536">
            <v>-3.1480000000000001</v>
          </cell>
        </row>
        <row r="9537">
          <cell r="N9537">
            <v>-0.627</v>
          </cell>
        </row>
        <row r="9538">
          <cell r="N9538">
            <v>-575.58500000000004</v>
          </cell>
        </row>
        <row r="9539">
          <cell r="N9539">
            <v>-580.58799999999997</v>
          </cell>
        </row>
        <row r="9540">
          <cell r="N9540">
            <v>-10.696</v>
          </cell>
        </row>
        <row r="9541">
          <cell r="N9541">
            <v>-8.6059999999999999</v>
          </cell>
        </row>
        <row r="9542">
          <cell r="N9542">
            <v>-8.5609999999999999</v>
          </cell>
        </row>
        <row r="9543">
          <cell r="N9543">
            <v>-2.7010000000000001</v>
          </cell>
        </row>
        <row r="9544">
          <cell r="N9544">
            <v>-3.1480000000000001</v>
          </cell>
        </row>
        <row r="9545">
          <cell r="N9545">
            <v>-10.611000000000001</v>
          </cell>
        </row>
        <row r="9546">
          <cell r="N9546">
            <v>-6.15</v>
          </cell>
        </row>
        <row r="9547">
          <cell r="N9547">
            <v>-5.3390000000000004</v>
          </cell>
        </row>
        <row r="9548">
          <cell r="N9548">
            <v>-10.367000000000001</v>
          </cell>
        </row>
        <row r="9549">
          <cell r="N9549">
            <v>-13.132999999999999</v>
          </cell>
        </row>
        <row r="9550">
          <cell r="N9550">
            <v>-489.74099999999999</v>
          </cell>
        </row>
        <row r="9551">
          <cell r="N9551">
            <v>-489.74099999999999</v>
          </cell>
        </row>
        <row r="9552">
          <cell r="N9552">
            <v>-3.3479999999999999</v>
          </cell>
        </row>
        <row r="9553">
          <cell r="N9553">
            <v>-20.867999999999999</v>
          </cell>
        </row>
        <row r="9554">
          <cell r="N9554">
            <v>-3.552</v>
          </cell>
        </row>
        <row r="9555">
          <cell r="N9555">
            <v>-3.0819999999999999</v>
          </cell>
        </row>
        <row r="9556">
          <cell r="N9556">
            <v>-4.1710000000000003</v>
          </cell>
        </row>
        <row r="9557">
          <cell r="N9557">
            <v>-9.36</v>
          </cell>
        </row>
        <row r="9558">
          <cell r="N9558">
            <v>-7.4340000000000002</v>
          </cell>
        </row>
        <row r="9559">
          <cell r="N9559">
            <v>-16.643999999999998</v>
          </cell>
        </row>
        <row r="9560">
          <cell r="N9560">
            <v>-0.60099999999999998</v>
          </cell>
        </row>
        <row r="9561">
          <cell r="N9561">
            <v>-11.414</v>
          </cell>
        </row>
        <row r="9562">
          <cell r="N9562">
            <v>-2.8540000000000001</v>
          </cell>
        </row>
        <row r="9563">
          <cell r="N9563">
            <v>-0.61399999999999999</v>
          </cell>
        </row>
        <row r="9564">
          <cell r="N9564">
            <v>-0.56899999999999995</v>
          </cell>
        </row>
        <row r="9565">
          <cell r="N9565">
            <v>-11.609</v>
          </cell>
        </row>
        <row r="9566">
          <cell r="N9566">
            <v>-11.56</v>
          </cell>
        </row>
        <row r="9567">
          <cell r="N9567">
            <v>-5.0919999999999996</v>
          </cell>
        </row>
        <row r="9568">
          <cell r="N9568">
            <v>-5.1639999999999997</v>
          </cell>
        </row>
        <row r="9569">
          <cell r="N9569">
            <v>-1.851</v>
          </cell>
        </row>
        <row r="9570">
          <cell r="N9570">
            <v>-3.31</v>
          </cell>
        </row>
        <row r="9571">
          <cell r="N9571">
            <v>-4.7229999999999999</v>
          </cell>
        </row>
        <row r="9572">
          <cell r="N9572">
            <v>-9.1310000000000002</v>
          </cell>
        </row>
        <row r="9573">
          <cell r="N9573">
            <v>-7.952</v>
          </cell>
        </row>
        <row r="9574">
          <cell r="N9574">
            <v>-10.881</v>
          </cell>
        </row>
        <row r="9575">
          <cell r="N9575">
            <v>-7.952</v>
          </cell>
        </row>
        <row r="9576">
          <cell r="N9576">
            <v>-6.2850000000000001</v>
          </cell>
        </row>
        <row r="9577">
          <cell r="N9577">
            <v>-3.8050000000000002</v>
          </cell>
        </row>
        <row r="9578">
          <cell r="N9578">
            <v>-10.691000000000001</v>
          </cell>
        </row>
        <row r="9579">
          <cell r="N9579">
            <v>-7.5449999999999999</v>
          </cell>
        </row>
        <row r="9580">
          <cell r="N9580">
            <v>-5.4740000000000002</v>
          </cell>
        </row>
        <row r="9581">
          <cell r="N9581">
            <v>-10.532</v>
          </cell>
        </row>
        <row r="9582">
          <cell r="N9582">
            <v>-8.1419999999999995</v>
          </cell>
        </row>
        <row r="9583">
          <cell r="N9583">
            <v>-1.643</v>
          </cell>
        </row>
        <row r="9584">
          <cell r="N9584">
            <v>-1.9339999999999999</v>
          </cell>
        </row>
        <row r="9585">
          <cell r="N9585">
            <v>-9.5500000000000007</v>
          </cell>
        </row>
        <row r="9586">
          <cell r="N9586">
            <v>-9.74</v>
          </cell>
        </row>
        <row r="9587">
          <cell r="N9587">
            <v>-0.56200000000000006</v>
          </cell>
        </row>
        <row r="9588">
          <cell r="N9588">
            <v>-11.456</v>
          </cell>
        </row>
        <row r="9589">
          <cell r="N9589">
            <v>-10.006</v>
          </cell>
        </row>
        <row r="9590">
          <cell r="N9590">
            <v>-17.001999999999999</v>
          </cell>
        </row>
        <row r="9591">
          <cell r="N9591">
            <v>-10.039999999999999</v>
          </cell>
        </row>
        <row r="9592">
          <cell r="N9592">
            <v>-8.1039999999999992</v>
          </cell>
        </row>
        <row r="9593">
          <cell r="N9593">
            <v>-1</v>
          </cell>
        </row>
        <row r="9594">
          <cell r="N9594">
            <v>-1</v>
          </cell>
        </row>
        <row r="9595">
          <cell r="N9595">
            <v>-2</v>
          </cell>
        </row>
        <row r="9596">
          <cell r="N9596">
            <v>-298</v>
          </cell>
        </row>
        <row r="9597">
          <cell r="N9597">
            <v>-684</v>
          </cell>
        </row>
        <row r="9598">
          <cell r="N9598">
            <v>-1.613</v>
          </cell>
        </row>
        <row r="9599">
          <cell r="N9599">
            <v>-9.702</v>
          </cell>
        </row>
        <row r="9600">
          <cell r="N9600">
            <v>-13.266999999999999</v>
          </cell>
        </row>
        <row r="9601">
          <cell r="N9601">
            <v>-20.268999999999998</v>
          </cell>
        </row>
        <row r="9602">
          <cell r="N9602">
            <v>-1.927</v>
          </cell>
        </row>
        <row r="9603">
          <cell r="N9603">
            <v>-2.7010000000000001</v>
          </cell>
        </row>
        <row r="9604">
          <cell r="N9604">
            <v>-11.396000000000001</v>
          </cell>
        </row>
        <row r="9605">
          <cell r="N9605">
            <v>-8.7509999999999994</v>
          </cell>
        </row>
        <row r="9606">
          <cell r="N9606">
            <v>-3.645</v>
          </cell>
        </row>
        <row r="9607">
          <cell r="N9607">
            <v>-12.73</v>
          </cell>
        </row>
        <row r="9608">
          <cell r="N9608">
            <v>-9.4740000000000002</v>
          </cell>
        </row>
        <row r="9609">
          <cell r="N9609">
            <v>-17.117999999999999</v>
          </cell>
        </row>
        <row r="9610">
          <cell r="N9610">
            <v>-11.519</v>
          </cell>
        </row>
        <row r="9611">
          <cell r="N9611">
            <v>-11.742000000000001</v>
          </cell>
        </row>
        <row r="9612">
          <cell r="N9612">
            <v>-4.1710000000000003</v>
          </cell>
        </row>
        <row r="9613">
          <cell r="N9613">
            <v>-1.456</v>
          </cell>
        </row>
        <row r="9614">
          <cell r="N9614">
            <v>-18.462</v>
          </cell>
        </row>
        <row r="9615">
          <cell r="N9615">
            <v>-2.8540000000000001</v>
          </cell>
        </row>
        <row r="9616">
          <cell r="N9616">
            <v>-5.0010000000000003</v>
          </cell>
        </row>
        <row r="9617">
          <cell r="N9617">
            <v>-3.0670000000000002</v>
          </cell>
        </row>
        <row r="9618">
          <cell r="N9618">
            <v>-9.1310000000000002</v>
          </cell>
        </row>
        <row r="9619">
          <cell r="N9619">
            <v>-10.500999999999999</v>
          </cell>
        </row>
        <row r="9620">
          <cell r="N9620">
            <v>-10.958</v>
          </cell>
        </row>
        <row r="9621">
          <cell r="N9621">
            <v>-2.5430000000000001</v>
          </cell>
        </row>
        <row r="9622">
          <cell r="N9622">
            <v>-10.425000000000001</v>
          </cell>
        </row>
        <row r="9623">
          <cell r="N9623">
            <v>-9.5879999999999992</v>
          </cell>
        </row>
        <row r="9624">
          <cell r="N9624">
            <v>-1.875</v>
          </cell>
        </row>
        <row r="9625">
          <cell r="N9625">
            <v>-127.691</v>
          </cell>
        </row>
        <row r="9626">
          <cell r="N9626">
            <v>-3.1480000000000001</v>
          </cell>
        </row>
        <row r="9627">
          <cell r="N9627">
            <v>-3.044</v>
          </cell>
        </row>
        <row r="9628">
          <cell r="N9628">
            <v>-2.8919999999999999</v>
          </cell>
        </row>
        <row r="9629">
          <cell r="N9629">
            <v>-6.42</v>
          </cell>
        </row>
        <row r="9630">
          <cell r="N9630">
            <v>-9.36</v>
          </cell>
        </row>
        <row r="9631">
          <cell r="N9631">
            <v>-17.684000000000001</v>
          </cell>
        </row>
        <row r="9632">
          <cell r="N9632">
            <v>-5.2709999999999999</v>
          </cell>
        </row>
        <row r="9633">
          <cell r="N9633">
            <v>-1.399</v>
          </cell>
        </row>
        <row r="9634">
          <cell r="N9634">
            <v>-2.8540000000000001</v>
          </cell>
        </row>
        <row r="9635">
          <cell r="N9635">
            <v>-7.0279999999999996</v>
          </cell>
        </row>
        <row r="9636">
          <cell r="N9636">
            <v>-1.679</v>
          </cell>
        </row>
        <row r="9637">
          <cell r="N9637">
            <v>-9.7780000000000005</v>
          </cell>
        </row>
        <row r="9638">
          <cell r="N9638">
            <v>-8.6750000000000007</v>
          </cell>
        </row>
        <row r="9639">
          <cell r="N9639">
            <v>-1.508</v>
          </cell>
        </row>
        <row r="9640">
          <cell r="N9640">
            <v>-11.49</v>
          </cell>
        </row>
        <row r="9641">
          <cell r="N9641">
            <v>-302</v>
          </cell>
        </row>
        <row r="9642">
          <cell r="N9642">
            <v>-302</v>
          </cell>
        </row>
        <row r="9643">
          <cell r="N9643">
            <v>-7.077</v>
          </cell>
        </row>
        <row r="9644">
          <cell r="N9644">
            <v>-277</v>
          </cell>
        </row>
        <row r="9645">
          <cell r="N9645">
            <v>-3.161</v>
          </cell>
        </row>
        <row r="9646">
          <cell r="N9646">
            <v>-277</v>
          </cell>
        </row>
        <row r="9647">
          <cell r="N9647">
            <v>-8.5990000000000002</v>
          </cell>
        </row>
        <row r="9648">
          <cell r="N9648">
            <v>-277</v>
          </cell>
        </row>
        <row r="9649">
          <cell r="N9649">
            <v>-302</v>
          </cell>
        </row>
        <row r="9650">
          <cell r="N9650">
            <v>-1.837</v>
          </cell>
        </row>
        <row r="9651">
          <cell r="N9651">
            <v>-57.116</v>
          </cell>
        </row>
        <row r="9652">
          <cell r="N9652">
            <v>-8.6750000000000007</v>
          </cell>
        </row>
        <row r="9653">
          <cell r="N9653">
            <v>-1.3819999999999999</v>
          </cell>
        </row>
        <row r="9654">
          <cell r="N9654">
            <v>-10.349</v>
          </cell>
        </row>
        <row r="9655">
          <cell r="N9655">
            <v>-2.7770000000000001</v>
          </cell>
        </row>
        <row r="9656">
          <cell r="N9656">
            <v>-2.169</v>
          </cell>
        </row>
        <row r="9657">
          <cell r="N9657">
            <v>-3.0270000000000001</v>
          </cell>
        </row>
        <row r="9658">
          <cell r="N9658">
            <v>-2.8540000000000001</v>
          </cell>
        </row>
        <row r="9659">
          <cell r="N9659">
            <v>-6.9249999999999998</v>
          </cell>
        </row>
        <row r="9660">
          <cell r="N9660">
            <v>-9.2070000000000007</v>
          </cell>
        </row>
        <row r="9661">
          <cell r="N9661">
            <v>-8.3170000000000002</v>
          </cell>
        </row>
        <row r="9662">
          <cell r="N9662">
            <v>-9.1690000000000005</v>
          </cell>
        </row>
        <row r="9663">
          <cell r="N9663">
            <v>-5.4740000000000002</v>
          </cell>
        </row>
        <row r="9664">
          <cell r="N9664">
            <v>-6.15</v>
          </cell>
        </row>
        <row r="9665">
          <cell r="N9665">
            <v>-1.4039999999999999</v>
          </cell>
        </row>
        <row r="9666">
          <cell r="N9666">
            <v>-3.6909999999999998</v>
          </cell>
        </row>
        <row r="9667">
          <cell r="N9667">
            <v>-2.7770000000000001</v>
          </cell>
        </row>
        <row r="9668">
          <cell r="N9668">
            <v>-13</v>
          </cell>
        </row>
        <row r="9669">
          <cell r="N9669">
            <v>-302</v>
          </cell>
        </row>
        <row r="9670">
          <cell r="N9670">
            <v>-1154</v>
          </cell>
        </row>
        <row r="9671">
          <cell r="N9671">
            <v>-11.385</v>
          </cell>
        </row>
        <row r="9672">
          <cell r="N9672">
            <v>-1154</v>
          </cell>
        </row>
        <row r="9673">
          <cell r="N9673">
            <v>-9.6639999999999997</v>
          </cell>
        </row>
        <row r="9674">
          <cell r="N9674">
            <v>-684</v>
          </cell>
        </row>
        <row r="9675">
          <cell r="N9675">
            <v>-302</v>
          </cell>
        </row>
        <row r="9676">
          <cell r="N9676">
            <v>-9.702</v>
          </cell>
        </row>
        <row r="9677">
          <cell r="N9677">
            <v>-1.6359999999999999</v>
          </cell>
        </row>
        <row r="9678">
          <cell r="N9678">
            <v>-10.444000000000001</v>
          </cell>
        </row>
        <row r="9679">
          <cell r="N9679">
            <v>-11.272</v>
          </cell>
        </row>
        <row r="9680">
          <cell r="N9680">
            <v>-2.3809999999999998</v>
          </cell>
        </row>
        <row r="9681">
          <cell r="N9681">
            <v>-2.4620000000000002</v>
          </cell>
        </row>
        <row r="9682">
          <cell r="N9682">
            <v>-1.994</v>
          </cell>
        </row>
        <row r="9683">
          <cell r="N9683">
            <v>-3.0270000000000001</v>
          </cell>
        </row>
        <row r="9684">
          <cell r="N9684">
            <v>-8.9030000000000005</v>
          </cell>
        </row>
        <row r="9685">
          <cell r="N9685">
            <v>-9.4740000000000002</v>
          </cell>
        </row>
        <row r="9686">
          <cell r="N9686">
            <v>-6.42</v>
          </cell>
        </row>
        <row r="9687">
          <cell r="N9687">
            <v>-10.349</v>
          </cell>
        </row>
        <row r="9688">
          <cell r="N9688">
            <v>-11.833</v>
          </cell>
        </row>
        <row r="9689">
          <cell r="N9689">
            <v>-9.36</v>
          </cell>
        </row>
        <row r="9690">
          <cell r="N9690">
            <v>-7.1630000000000003</v>
          </cell>
        </row>
        <row r="9691">
          <cell r="N9691">
            <v>-1.66</v>
          </cell>
        </row>
        <row r="9692">
          <cell r="N9692">
            <v>-8.6370000000000005</v>
          </cell>
        </row>
        <row r="9693">
          <cell r="N9693">
            <v>-4.3929999999999998</v>
          </cell>
        </row>
        <row r="9694">
          <cell r="N9694">
            <v>-0.67100000000000004</v>
          </cell>
        </row>
        <row r="9695">
          <cell r="N9695">
            <v>-9.4359999999999999</v>
          </cell>
        </row>
        <row r="9696">
          <cell r="N9696">
            <v>-3.653</v>
          </cell>
        </row>
        <row r="9697">
          <cell r="N9697">
            <v>-1.7849999999999999</v>
          </cell>
        </row>
        <row r="9698">
          <cell r="N9698">
            <v>-8.9030000000000005</v>
          </cell>
        </row>
        <row r="9699">
          <cell r="N9699">
            <v>-0.21299999999999999</v>
          </cell>
        </row>
        <row r="9700">
          <cell r="N9700">
            <v>-2.968</v>
          </cell>
        </row>
        <row r="9701">
          <cell r="N9701">
            <v>-6.9630000000000001</v>
          </cell>
        </row>
        <row r="9702">
          <cell r="N9702">
            <v>-5.5410000000000004</v>
          </cell>
        </row>
        <row r="9703">
          <cell r="N9703">
            <v>-7.6470000000000002</v>
          </cell>
        </row>
        <row r="9704">
          <cell r="N9704">
            <v>-0.97799999999999998</v>
          </cell>
        </row>
        <row r="9705">
          <cell r="N9705">
            <v>-4.0170000000000003</v>
          </cell>
        </row>
        <row r="9706">
          <cell r="N9706">
            <v>-1.94</v>
          </cell>
        </row>
        <row r="9707">
          <cell r="N9707">
            <v>-3.919</v>
          </cell>
        </row>
        <row r="9708">
          <cell r="N9708">
            <v>-9.3710000000000004</v>
          </cell>
        </row>
        <row r="9709">
          <cell r="N9709">
            <v>-3.0059999999999998</v>
          </cell>
        </row>
        <row r="9710">
          <cell r="N9710">
            <v>-2.7269999999999999</v>
          </cell>
        </row>
        <row r="9711">
          <cell r="N9711">
            <v>-516.72199999999998</v>
          </cell>
        </row>
        <row r="9712">
          <cell r="N9712">
            <v>-2.3210000000000002</v>
          </cell>
        </row>
        <row r="9713">
          <cell r="N9713">
            <v>-10.082000000000001</v>
          </cell>
        </row>
        <row r="9714">
          <cell r="N9714">
            <v>-9.3219999999999992</v>
          </cell>
        </row>
        <row r="9715">
          <cell r="N9715">
            <v>-3.39</v>
          </cell>
        </row>
        <row r="9716">
          <cell r="N9716">
            <v>-10.202999999999999</v>
          </cell>
        </row>
        <row r="9717">
          <cell r="N9717">
            <v>-531.79</v>
          </cell>
        </row>
        <row r="9718">
          <cell r="N9718">
            <v>-63.381999999999998</v>
          </cell>
        </row>
        <row r="9719">
          <cell r="N9719">
            <v>-401.41899999999998</v>
          </cell>
        </row>
        <row r="9720">
          <cell r="N9720">
            <v>-1.6220000000000001</v>
          </cell>
        </row>
        <row r="9721">
          <cell r="N9721">
            <v>-20.372</v>
          </cell>
        </row>
        <row r="9722">
          <cell r="N9722">
            <v>-0.69099999999999995</v>
          </cell>
        </row>
        <row r="9723">
          <cell r="N9723">
            <v>-0.47599999999999998</v>
          </cell>
        </row>
        <row r="9724">
          <cell r="N9724">
            <v>-401.41899999999998</v>
          </cell>
        </row>
        <row r="9725">
          <cell r="N9725">
            <v>-19.452999999999999</v>
          </cell>
        </row>
        <row r="9726">
          <cell r="N9726">
            <v>-3.3849999999999998</v>
          </cell>
        </row>
        <row r="9727">
          <cell r="N9727">
            <v>-18.123999999999999</v>
          </cell>
        </row>
        <row r="9728">
          <cell r="N9728">
            <v>-130.46600000000001</v>
          </cell>
        </row>
        <row r="9729">
          <cell r="N9729">
            <v>-16.977</v>
          </cell>
        </row>
        <row r="9730">
          <cell r="N9730">
            <v>-254.15899999999999</v>
          </cell>
        </row>
        <row r="9731">
          <cell r="N9731">
            <v>-52.414000000000001</v>
          </cell>
        </row>
        <row r="9732">
          <cell r="N9732">
            <v>-262.56400000000002</v>
          </cell>
        </row>
        <row r="9733">
          <cell r="N9733">
            <v>-11.385</v>
          </cell>
        </row>
        <row r="9734">
          <cell r="N9734">
            <v>-7.4189999999999996</v>
          </cell>
        </row>
        <row r="9735">
          <cell r="N9735">
            <v>-0.77100000000000002</v>
          </cell>
        </row>
        <row r="9736">
          <cell r="N9736">
            <v>-9.4359999999999999</v>
          </cell>
        </row>
        <row r="9737">
          <cell r="N9737">
            <v>-10.349</v>
          </cell>
        </row>
        <row r="9738">
          <cell r="N9738">
            <v>-10.311</v>
          </cell>
        </row>
        <row r="9739">
          <cell r="N9739">
            <v>-528.24400000000003</v>
          </cell>
        </row>
        <row r="9740">
          <cell r="N9740">
            <v>-3.6539999999999999</v>
          </cell>
        </row>
        <row r="9741">
          <cell r="N9741">
            <v>-1.8919999999999999</v>
          </cell>
        </row>
        <row r="9742">
          <cell r="N9742">
            <v>-3.2290000000000001</v>
          </cell>
        </row>
        <row r="9743">
          <cell r="N9743">
            <v>-0.77100000000000002</v>
          </cell>
        </row>
        <row r="9744">
          <cell r="N9744">
            <v>-0.47099999999999997</v>
          </cell>
        </row>
        <row r="9745">
          <cell r="N9745">
            <v>-0.23100000000000001</v>
          </cell>
        </row>
        <row r="9746">
          <cell r="N9746">
            <v>-11.067</v>
          </cell>
        </row>
        <row r="9747">
          <cell r="N9747">
            <v>-1.994</v>
          </cell>
        </row>
        <row r="9748">
          <cell r="N9748">
            <v>-1.893</v>
          </cell>
        </row>
        <row r="9749">
          <cell r="N9749">
            <v>-2.7040000000000002</v>
          </cell>
        </row>
        <row r="9750">
          <cell r="N9750">
            <v>-3.6509999999999998</v>
          </cell>
        </row>
        <row r="9751">
          <cell r="N9751">
            <v>-3.4620000000000002</v>
          </cell>
        </row>
        <row r="9752">
          <cell r="N9752">
            <v>-4.8479999999999999</v>
          </cell>
        </row>
        <row r="9753">
          <cell r="N9753">
            <v>-7.242</v>
          </cell>
        </row>
        <row r="9754">
          <cell r="N9754">
            <v>-6.9610000000000003</v>
          </cell>
        </row>
        <row r="9755">
          <cell r="N9755">
            <v>-0.66100000000000003</v>
          </cell>
        </row>
        <row r="9756">
          <cell r="N9756">
            <v>-0.88500000000000001</v>
          </cell>
        </row>
        <row r="9757">
          <cell r="N9757">
            <v>-0.91500000000000004</v>
          </cell>
        </row>
        <row r="9758">
          <cell r="N9758">
            <v>-0.66</v>
          </cell>
        </row>
        <row r="9759">
          <cell r="N9759">
            <v>-1.101</v>
          </cell>
        </row>
        <row r="9760">
          <cell r="N9760">
            <v>-0.50600000000000001</v>
          </cell>
        </row>
        <row r="9761">
          <cell r="N9761">
            <v>-1.27</v>
          </cell>
        </row>
        <row r="9762">
          <cell r="N9762">
            <v>-0.497</v>
          </cell>
        </row>
        <row r="9763">
          <cell r="N9763">
            <v>-1.3480000000000001</v>
          </cell>
        </row>
        <row r="9764">
          <cell r="N9764">
            <v>-1.427</v>
          </cell>
        </row>
        <row r="9765">
          <cell r="N9765">
            <v>-0.39900000000000002</v>
          </cell>
        </row>
        <row r="9766">
          <cell r="N9766">
            <v>-9.6259999999999994</v>
          </cell>
        </row>
        <row r="9767">
          <cell r="N9767">
            <v>-1.756</v>
          </cell>
        </row>
        <row r="9768">
          <cell r="N9768">
            <v>-9.1890000000000001</v>
          </cell>
        </row>
        <row r="9769">
          <cell r="N9769">
            <v>-845.42200000000003</v>
          </cell>
        </row>
        <row r="9770">
          <cell r="N9770">
            <v>-9.093</v>
          </cell>
        </row>
        <row r="9771">
          <cell r="N9771">
            <v>-277</v>
          </cell>
        </row>
        <row r="9772">
          <cell r="N9772">
            <v>-152</v>
          </cell>
        </row>
        <row r="9773">
          <cell r="N9773">
            <v>-152</v>
          </cell>
        </row>
        <row r="9774">
          <cell r="N9774">
            <v>-3.1890000000000001</v>
          </cell>
        </row>
        <row r="9775">
          <cell r="N9775">
            <v>-3.347</v>
          </cell>
        </row>
        <row r="9776">
          <cell r="N9776">
            <v>-3.3860000000000001</v>
          </cell>
        </row>
        <row r="9777">
          <cell r="N9777">
            <v>-16.056999999999999</v>
          </cell>
        </row>
        <row r="9778">
          <cell r="N9778">
            <v>-1.5309999999999999</v>
          </cell>
        </row>
        <row r="9779">
          <cell r="N9779">
            <v>-6.69</v>
          </cell>
        </row>
        <row r="9780">
          <cell r="N9780">
            <v>-4.8659999999999997</v>
          </cell>
        </row>
        <row r="9781">
          <cell r="N9781">
            <v>-1.6950000000000001</v>
          </cell>
        </row>
        <row r="9782">
          <cell r="N9782">
            <v>-0.81</v>
          </cell>
        </row>
        <row r="9783">
          <cell r="N9783">
            <v>-1.794</v>
          </cell>
        </row>
        <row r="9784">
          <cell r="N9784">
            <v>-8.6539999999999999</v>
          </cell>
        </row>
        <row r="9785">
          <cell r="N9785">
            <v>-7.1150000000000002</v>
          </cell>
        </row>
        <row r="9786">
          <cell r="N9786">
            <v>-9.4169999999999998</v>
          </cell>
        </row>
        <row r="9787">
          <cell r="N9787">
            <v>-9.3219999999999992</v>
          </cell>
        </row>
        <row r="9788">
          <cell r="N9788">
            <v>-35</v>
          </cell>
        </row>
        <row r="9789">
          <cell r="N9789">
            <v>-15.420999999999999</v>
          </cell>
        </row>
        <row r="9790">
          <cell r="N9790">
            <v>-302</v>
          </cell>
        </row>
        <row r="9791">
          <cell r="N9791">
            <v>-684</v>
          </cell>
        </row>
        <row r="9792">
          <cell r="N9792">
            <v>-3.1579999999999999</v>
          </cell>
        </row>
        <row r="9793">
          <cell r="N9793">
            <v>-302</v>
          </cell>
        </row>
        <row r="9794">
          <cell r="N9794">
            <v>-277</v>
          </cell>
        </row>
        <row r="9795">
          <cell r="N9795">
            <v>-10.202999999999999</v>
          </cell>
        </row>
        <row r="9796">
          <cell r="N9796">
            <v>-277</v>
          </cell>
        </row>
        <row r="9797">
          <cell r="N9797">
            <v>-277</v>
          </cell>
        </row>
        <row r="9798">
          <cell r="N9798">
            <v>-5.2050000000000001</v>
          </cell>
        </row>
        <row r="9799">
          <cell r="N9799">
            <v>-528.24400000000003</v>
          </cell>
        </row>
        <row r="9800">
          <cell r="N9800">
            <v>-127.461</v>
          </cell>
        </row>
        <row r="9801">
          <cell r="N9801">
            <v>-399.07900000000001</v>
          </cell>
        </row>
        <row r="9802">
          <cell r="N9802">
            <v>-528.24400000000003</v>
          </cell>
        </row>
        <row r="9803">
          <cell r="N9803">
            <v>-21.08</v>
          </cell>
        </row>
        <row r="9804">
          <cell r="N9804">
            <v>-17.331</v>
          </cell>
        </row>
        <row r="9805">
          <cell r="N9805">
            <v>-9.6780000000000008</v>
          </cell>
        </row>
        <row r="9806">
          <cell r="N9806">
            <v>-2.5870000000000002</v>
          </cell>
        </row>
        <row r="9807">
          <cell r="N9807">
            <v>-10.029</v>
          </cell>
        </row>
        <row r="9808">
          <cell r="N9808">
            <v>-1.47</v>
          </cell>
        </row>
        <row r="9809">
          <cell r="N9809">
            <v>-9.4740000000000002</v>
          </cell>
        </row>
        <row r="9810">
          <cell r="N9810">
            <v>-0.77700000000000002</v>
          </cell>
        </row>
        <row r="9811">
          <cell r="N9811">
            <v>-0.90600000000000003</v>
          </cell>
        </row>
        <row r="9812">
          <cell r="N9812">
            <v>-8.109</v>
          </cell>
        </row>
        <row r="9813">
          <cell r="N9813">
            <v>-6.4870000000000001</v>
          </cell>
        </row>
        <row r="9814">
          <cell r="N9814">
            <v>-1.6220000000000001</v>
          </cell>
        </row>
        <row r="9815">
          <cell r="N9815">
            <v>-2.9009999999999998</v>
          </cell>
        </row>
        <row r="9816">
          <cell r="N9816">
            <v>-14.298</v>
          </cell>
        </row>
        <row r="9817">
          <cell r="N9817">
            <v>-7.4340000000000002</v>
          </cell>
        </row>
        <row r="9818">
          <cell r="N9818">
            <v>-13.446999999999999</v>
          </cell>
        </row>
        <row r="9819">
          <cell r="N9819">
            <v>-540.24900000000002</v>
          </cell>
        </row>
        <row r="9820">
          <cell r="N9820">
            <v>-1.94</v>
          </cell>
        </row>
        <row r="9821">
          <cell r="N9821">
            <v>-540.24900000000002</v>
          </cell>
        </row>
        <row r="9822">
          <cell r="N9822">
            <v>-4.46</v>
          </cell>
        </row>
        <row r="9823">
          <cell r="N9823">
            <v>-10.653</v>
          </cell>
        </row>
        <row r="9824">
          <cell r="N9824">
            <v>-0.94699999999999995</v>
          </cell>
        </row>
        <row r="9825">
          <cell r="N9825">
            <v>-11.262</v>
          </cell>
        </row>
        <row r="9826">
          <cell r="N9826">
            <v>-528.24400000000003</v>
          </cell>
        </row>
        <row r="9827">
          <cell r="N9827">
            <v>-1.6359999999999999</v>
          </cell>
        </row>
        <row r="9828">
          <cell r="N9828">
            <v>-1.9870000000000001</v>
          </cell>
        </row>
        <row r="9829">
          <cell r="N9829">
            <v>-10.766999999999999</v>
          </cell>
        </row>
        <row r="9830">
          <cell r="N9830">
            <v>-425.43200000000002</v>
          </cell>
        </row>
        <row r="9831">
          <cell r="N9831">
            <v>-2.7010000000000001</v>
          </cell>
        </row>
        <row r="9832">
          <cell r="N9832">
            <v>-21.303999999999998</v>
          </cell>
        </row>
        <row r="9833">
          <cell r="N9833">
            <v>-425.43200000000002</v>
          </cell>
        </row>
        <row r="9834">
          <cell r="N9834">
            <v>-2.8919999999999999</v>
          </cell>
        </row>
        <row r="9835">
          <cell r="N9835">
            <v>-7.5010000000000003</v>
          </cell>
        </row>
        <row r="9836">
          <cell r="N9836">
            <v>-1.875</v>
          </cell>
        </row>
        <row r="9837">
          <cell r="N9837">
            <v>-2.794</v>
          </cell>
        </row>
        <row r="9838">
          <cell r="N9838">
            <v>-1.6339999999999999</v>
          </cell>
        </row>
        <row r="9839">
          <cell r="N9839">
            <v>-1.18</v>
          </cell>
        </row>
        <row r="9840">
          <cell r="N9840">
            <v>-2.2919999999999998</v>
          </cell>
        </row>
        <row r="9841">
          <cell r="N9841">
            <v>-9.702</v>
          </cell>
        </row>
        <row r="9842">
          <cell r="N9842">
            <v>-7.1150000000000002</v>
          </cell>
        </row>
        <row r="9843">
          <cell r="N9843">
            <v>-12.327</v>
          </cell>
        </row>
        <row r="9844">
          <cell r="N9844">
            <v>-18.109000000000002</v>
          </cell>
        </row>
        <row r="9845">
          <cell r="N9845">
            <v>-3.0670000000000002</v>
          </cell>
        </row>
        <row r="9846">
          <cell r="N9846">
            <v>-10.326000000000001</v>
          </cell>
        </row>
        <row r="9847">
          <cell r="N9847">
            <v>-11.067</v>
          </cell>
        </row>
        <row r="9848">
          <cell r="N9848">
            <v>-1.7629999999999999</v>
          </cell>
        </row>
        <row r="9849">
          <cell r="N9849">
            <v>-1.8440000000000001</v>
          </cell>
        </row>
        <row r="9850">
          <cell r="N9850">
            <v>-4.1280000000000001</v>
          </cell>
        </row>
        <row r="9851">
          <cell r="N9851">
            <v>-3.3860000000000001</v>
          </cell>
        </row>
        <row r="9852">
          <cell r="N9852">
            <v>-3.919</v>
          </cell>
        </row>
        <row r="9853">
          <cell r="N9853">
            <v>-1.919</v>
          </cell>
        </row>
        <row r="9854">
          <cell r="N9854">
            <v>-302</v>
          </cell>
        </row>
        <row r="9855">
          <cell r="N9855">
            <v>-201</v>
          </cell>
        </row>
        <row r="9856">
          <cell r="N9856">
            <v>-1.5609999999999999</v>
          </cell>
        </row>
        <row r="9857">
          <cell r="N9857">
            <v>-3.044</v>
          </cell>
        </row>
        <row r="9858">
          <cell r="N9858">
            <v>-277</v>
          </cell>
        </row>
        <row r="9859">
          <cell r="N9859">
            <v>-277</v>
          </cell>
        </row>
        <row r="9860">
          <cell r="N9860">
            <v>-277</v>
          </cell>
        </row>
        <row r="9861">
          <cell r="N9861">
            <v>-0.64800000000000002</v>
          </cell>
        </row>
        <row r="9862">
          <cell r="N9862">
            <v>-10.196999999999999</v>
          </cell>
        </row>
        <row r="9863">
          <cell r="N9863">
            <v>-12.192</v>
          </cell>
        </row>
        <row r="9864">
          <cell r="N9864">
            <v>-1.0960000000000001</v>
          </cell>
        </row>
        <row r="9865">
          <cell r="N9865">
            <v>-2.359</v>
          </cell>
        </row>
        <row r="9866">
          <cell r="N9866">
            <v>-20.268999999999998</v>
          </cell>
        </row>
        <row r="9867">
          <cell r="N9867">
            <v>-10.273</v>
          </cell>
        </row>
        <row r="9868">
          <cell r="N9868">
            <v>-12.057</v>
          </cell>
        </row>
        <row r="9869">
          <cell r="N9869">
            <v>-10.805</v>
          </cell>
        </row>
        <row r="9870">
          <cell r="N9870">
            <v>-7.4189999999999996</v>
          </cell>
        </row>
        <row r="9871">
          <cell r="N9871">
            <v>-7.6859999999999999</v>
          </cell>
        </row>
        <row r="9872">
          <cell r="N9872">
            <v>-684</v>
          </cell>
        </row>
        <row r="9873">
          <cell r="N9873">
            <v>-302</v>
          </cell>
        </row>
        <row r="9874">
          <cell r="N9874">
            <v>-17.260000000000002</v>
          </cell>
        </row>
        <row r="9875">
          <cell r="N9875">
            <v>-3.552</v>
          </cell>
        </row>
        <row r="9876">
          <cell r="N9876">
            <v>-12.371</v>
          </cell>
        </row>
        <row r="9877">
          <cell r="N9877">
            <v>-302</v>
          </cell>
        </row>
        <row r="9878">
          <cell r="N9878">
            <v>-302</v>
          </cell>
        </row>
        <row r="9879">
          <cell r="N9879">
            <v>-277</v>
          </cell>
        </row>
        <row r="9880">
          <cell r="N9880">
            <v>-416.66800000000001</v>
          </cell>
        </row>
        <row r="9881">
          <cell r="N9881">
            <v>-277</v>
          </cell>
        </row>
        <row r="9882">
          <cell r="N9882">
            <v>-15.24</v>
          </cell>
        </row>
        <row r="9883">
          <cell r="N9883">
            <v>-2.8660000000000001</v>
          </cell>
        </row>
        <row r="9884">
          <cell r="N9884">
            <v>-6.0819999999999999</v>
          </cell>
        </row>
        <row r="9885">
          <cell r="N9885">
            <v>-17.613</v>
          </cell>
        </row>
        <row r="9886">
          <cell r="N9886">
            <v>-302</v>
          </cell>
        </row>
        <row r="9887">
          <cell r="N9887">
            <v>-2.625</v>
          </cell>
        </row>
        <row r="9888">
          <cell r="N9888">
            <v>-10.805</v>
          </cell>
        </row>
        <row r="9889">
          <cell r="N9889">
            <v>-3.2360000000000002</v>
          </cell>
        </row>
        <row r="9890">
          <cell r="N9890">
            <v>-21.363</v>
          </cell>
        </row>
        <row r="9891">
          <cell r="N9891">
            <v>-0.78100000000000003</v>
          </cell>
        </row>
        <row r="9892">
          <cell r="N9892">
            <v>-1.4790000000000001</v>
          </cell>
        </row>
        <row r="9893">
          <cell r="N9893">
            <v>-277</v>
          </cell>
        </row>
        <row r="9894">
          <cell r="N9894">
            <v>-2.7519999999999998</v>
          </cell>
        </row>
        <row r="9895">
          <cell r="N9895">
            <v>-1154</v>
          </cell>
        </row>
        <row r="9896">
          <cell r="N9896">
            <v>-1.1539999999999999</v>
          </cell>
        </row>
        <row r="9897">
          <cell r="N9897">
            <v>-7.1150000000000002</v>
          </cell>
        </row>
        <row r="9898">
          <cell r="N9898">
            <v>-8.2349999999999994</v>
          </cell>
        </row>
        <row r="9899">
          <cell r="N9899">
            <v>-4.798</v>
          </cell>
        </row>
        <row r="9900">
          <cell r="N9900">
            <v>-8.3119999999999994</v>
          </cell>
        </row>
        <row r="9901">
          <cell r="N9901">
            <v>-2.3860000000000001</v>
          </cell>
        </row>
        <row r="9902">
          <cell r="N9902">
            <v>-2.0550000000000002</v>
          </cell>
        </row>
        <row r="9903">
          <cell r="N9903">
            <v>-3.0270000000000001</v>
          </cell>
        </row>
        <row r="9904">
          <cell r="N9904">
            <v>-10.387</v>
          </cell>
        </row>
        <row r="9905">
          <cell r="N9905">
            <v>-4.6520000000000001</v>
          </cell>
        </row>
        <row r="9906">
          <cell r="N9906">
            <v>-277</v>
          </cell>
        </row>
        <row r="9907">
          <cell r="N9907">
            <v>-1.994</v>
          </cell>
        </row>
        <row r="9908">
          <cell r="N9908">
            <v>-2.625</v>
          </cell>
        </row>
        <row r="9909">
          <cell r="N9909">
            <v>-8.2759999999999998</v>
          </cell>
        </row>
        <row r="9910">
          <cell r="N9910">
            <v>-10.006</v>
          </cell>
        </row>
        <row r="9911">
          <cell r="N9911">
            <v>-277</v>
          </cell>
        </row>
        <row r="9912">
          <cell r="N9912">
            <v>-2.7389999999999999</v>
          </cell>
        </row>
        <row r="9913">
          <cell r="N9913">
            <v>-3.12</v>
          </cell>
        </row>
        <row r="9914">
          <cell r="N9914">
            <v>-1.6579999999999999</v>
          </cell>
        </row>
        <row r="9915">
          <cell r="N9915">
            <v>-277</v>
          </cell>
        </row>
        <row r="9916">
          <cell r="N9916">
            <v>-302</v>
          </cell>
        </row>
        <row r="9917">
          <cell r="N9917">
            <v>-1.86</v>
          </cell>
        </row>
        <row r="9918">
          <cell r="N9918">
            <v>-11.025</v>
          </cell>
        </row>
        <row r="9919">
          <cell r="N9919">
            <v>-17.401</v>
          </cell>
        </row>
        <row r="9920">
          <cell r="N9920">
            <v>-8.7140000000000004</v>
          </cell>
        </row>
        <row r="9921">
          <cell r="N9921">
            <v>-1.9339999999999999</v>
          </cell>
        </row>
        <row r="9922">
          <cell r="N9922">
            <v>-37.1</v>
          </cell>
        </row>
        <row r="9923">
          <cell r="N9923">
            <v>-3.0059999999999998</v>
          </cell>
        </row>
        <row r="9924">
          <cell r="N9924">
            <v>-4.7409999999999997</v>
          </cell>
        </row>
        <row r="9925">
          <cell r="N9925">
            <v>-4.0540000000000003</v>
          </cell>
        </row>
        <row r="9926">
          <cell r="N9926">
            <v>-4.5270000000000001</v>
          </cell>
        </row>
        <row r="9927">
          <cell r="N9927">
            <v>-2.8540000000000001</v>
          </cell>
        </row>
        <row r="9928">
          <cell r="N9928">
            <v>-3.31</v>
          </cell>
        </row>
        <row r="9929">
          <cell r="N9929">
            <v>-5.8789999999999996</v>
          </cell>
        </row>
        <row r="9930">
          <cell r="N9930">
            <v>-1.4E-2</v>
          </cell>
        </row>
        <row r="9931">
          <cell r="N9931">
            <v>-5.8789999999999996</v>
          </cell>
        </row>
        <row r="9932">
          <cell r="N9932">
            <v>-6.0819999999999999</v>
          </cell>
        </row>
        <row r="9933">
          <cell r="N9933">
            <v>-2.7970000000000002</v>
          </cell>
        </row>
        <row r="9934">
          <cell r="N9934">
            <v>-3.0870000000000002</v>
          </cell>
        </row>
        <row r="9935">
          <cell r="N9935">
            <v>-10.843</v>
          </cell>
        </row>
        <row r="9936">
          <cell r="N9936">
            <v>-11.972</v>
          </cell>
        </row>
        <row r="9937">
          <cell r="N9937">
            <v>-10.805</v>
          </cell>
        </row>
        <row r="9938">
          <cell r="N9938">
            <v>-1.643</v>
          </cell>
        </row>
        <row r="9939">
          <cell r="N9939">
            <v>-2.4510000000000001</v>
          </cell>
        </row>
        <row r="9940">
          <cell r="N9940">
            <v>-14.343</v>
          </cell>
        </row>
        <row r="9941">
          <cell r="N9941">
            <v>-8.5820000000000007</v>
          </cell>
        </row>
        <row r="9942">
          <cell r="N9942">
            <v>-10.577</v>
          </cell>
        </row>
        <row r="9943">
          <cell r="N9943">
            <v>-3.4590000000000001</v>
          </cell>
        </row>
        <row r="9944">
          <cell r="N9944">
            <v>-9.8919999999999995</v>
          </cell>
        </row>
        <row r="9945">
          <cell r="N9945">
            <v>-8.4079999999999995</v>
          </cell>
        </row>
        <row r="9946">
          <cell r="N9946">
            <v>-3.996</v>
          </cell>
        </row>
        <row r="9947">
          <cell r="N9947">
            <v>-2.0990000000000002</v>
          </cell>
        </row>
        <row r="9948">
          <cell r="N9948">
            <v>-9.74</v>
          </cell>
        </row>
        <row r="9949">
          <cell r="N9949">
            <v>-3.8</v>
          </cell>
        </row>
        <row r="9950">
          <cell r="N9950">
            <v>-1.9279999999999999</v>
          </cell>
        </row>
        <row r="9951">
          <cell r="N9951">
            <v>-2.7770000000000001</v>
          </cell>
        </row>
        <row r="9952">
          <cell r="N9952">
            <v>-10.728999999999999</v>
          </cell>
        </row>
        <row r="9953">
          <cell r="N9953">
            <v>-10.079000000000001</v>
          </cell>
        </row>
        <row r="9954">
          <cell r="N9954">
            <v>-2.5720000000000001</v>
          </cell>
        </row>
        <row r="9955">
          <cell r="N9955">
            <v>-15.208</v>
          </cell>
        </row>
        <row r="9956">
          <cell r="N9956">
            <v>-2.9209999999999998</v>
          </cell>
        </row>
        <row r="9957">
          <cell r="N9957">
            <v>-11.654</v>
          </cell>
        </row>
        <row r="9958">
          <cell r="N9958">
            <v>-20.786999999999999</v>
          </cell>
        </row>
        <row r="9959">
          <cell r="N9959">
            <v>-6.15</v>
          </cell>
        </row>
        <row r="9960">
          <cell r="N9960">
            <v>-159.589</v>
          </cell>
        </row>
        <row r="9961">
          <cell r="N9961">
            <v>-174.584</v>
          </cell>
        </row>
        <row r="9962">
          <cell r="N9962">
            <v>-9.74</v>
          </cell>
        </row>
        <row r="9963">
          <cell r="N9963">
            <v>-11.148</v>
          </cell>
        </row>
        <row r="9964">
          <cell r="N9964">
            <v>-7.1529999999999996</v>
          </cell>
        </row>
        <row r="9965">
          <cell r="N9965">
            <v>-1.5980000000000001</v>
          </cell>
        </row>
        <row r="9966">
          <cell r="N9966">
            <v>-2.375</v>
          </cell>
        </row>
        <row r="9967">
          <cell r="N9967">
            <v>-2.323</v>
          </cell>
        </row>
        <row r="9968">
          <cell r="N9968">
            <v>-18.603999999999999</v>
          </cell>
        </row>
        <row r="9969">
          <cell r="N9969">
            <v>-1.47</v>
          </cell>
        </row>
        <row r="9970">
          <cell r="N9970">
            <v>-28</v>
          </cell>
        </row>
        <row r="9971">
          <cell r="N9971">
            <v>-5.9729999999999999</v>
          </cell>
        </row>
        <row r="9972">
          <cell r="N9972">
            <v>-8.8650000000000002</v>
          </cell>
        </row>
        <row r="9973">
          <cell r="N9973">
            <v>-14.784000000000001</v>
          </cell>
        </row>
        <row r="9974">
          <cell r="N9974">
            <v>-8.3320000000000007</v>
          </cell>
        </row>
        <row r="9975">
          <cell r="N9975">
            <v>-28</v>
          </cell>
        </row>
        <row r="9976">
          <cell r="N9976">
            <v>-684</v>
          </cell>
        </row>
        <row r="9977">
          <cell r="N9977">
            <v>-3.1240000000000001</v>
          </cell>
        </row>
        <row r="9978">
          <cell r="N9978">
            <v>-2.5489999999999999</v>
          </cell>
        </row>
        <row r="9979">
          <cell r="N9979">
            <v>-6.2169999999999996</v>
          </cell>
        </row>
        <row r="9980">
          <cell r="N9980">
            <v>-1.9279999999999999</v>
          </cell>
        </row>
        <row r="9981">
          <cell r="N9981">
            <v>-11.414</v>
          </cell>
        </row>
        <row r="9982">
          <cell r="N9982">
            <v>-36</v>
          </cell>
        </row>
        <row r="9983">
          <cell r="N9983">
            <v>-1.875</v>
          </cell>
        </row>
        <row r="9984">
          <cell r="N9984">
            <v>-11.718999999999999</v>
          </cell>
        </row>
        <row r="9985">
          <cell r="N9985">
            <v>-0.49299999999999999</v>
          </cell>
        </row>
        <row r="9986">
          <cell r="N9986">
            <v>-9.093</v>
          </cell>
        </row>
        <row r="9987">
          <cell r="N9987">
            <v>-12.175000000000001</v>
          </cell>
        </row>
        <row r="9988">
          <cell r="N9988">
            <v>-2.56</v>
          </cell>
        </row>
        <row r="9989">
          <cell r="N9989">
            <v>-2.8919999999999999</v>
          </cell>
        </row>
        <row r="9990">
          <cell r="N9990">
            <v>-1.74</v>
          </cell>
        </row>
        <row r="9991">
          <cell r="N9991">
            <v>-2.8159999999999998</v>
          </cell>
        </row>
        <row r="9992">
          <cell r="N9992">
            <v>-85.489000000000004</v>
          </cell>
        </row>
        <row r="9993">
          <cell r="N9993">
            <v>-2.0990000000000002</v>
          </cell>
        </row>
        <row r="9994">
          <cell r="N9994">
            <v>-1.9570000000000001</v>
          </cell>
        </row>
        <row r="9995">
          <cell r="N9995">
            <v>-1.9319999999999999</v>
          </cell>
        </row>
        <row r="9996">
          <cell r="N9996">
            <v>-2.093</v>
          </cell>
        </row>
        <row r="9997">
          <cell r="N9997">
            <v>-11.108000000000001</v>
          </cell>
        </row>
        <row r="9998">
          <cell r="N9998">
            <v>-7.7709999999999999</v>
          </cell>
        </row>
        <row r="9999">
          <cell r="N9999">
            <v>-4.0540000000000003</v>
          </cell>
        </row>
        <row r="10000">
          <cell r="N10000">
            <v>-277</v>
          </cell>
        </row>
        <row r="10001">
          <cell r="N10001">
            <v>-8.9770000000000003</v>
          </cell>
        </row>
        <row r="10002">
          <cell r="N10002">
            <v>-9.7260000000000009</v>
          </cell>
        </row>
        <row r="10003">
          <cell r="N10003">
            <v>-5.1120000000000001</v>
          </cell>
        </row>
        <row r="10004">
          <cell r="N10004">
            <v>-100</v>
          </cell>
        </row>
        <row r="10005">
          <cell r="N10005">
            <v>-19.664999999999999</v>
          </cell>
        </row>
        <row r="10006">
          <cell r="N10006">
            <v>-476.137</v>
          </cell>
        </row>
        <row r="10007">
          <cell r="N10007">
            <v>-476.137</v>
          </cell>
        </row>
        <row r="10008">
          <cell r="N10008">
            <v>-3.31</v>
          </cell>
        </row>
        <row r="10009">
          <cell r="N10009">
            <v>-4.5</v>
          </cell>
        </row>
        <row r="10010">
          <cell r="N10010">
            <v>-587.44200000000001</v>
          </cell>
        </row>
        <row r="10011">
          <cell r="N10011">
            <v>-90.403999999999996</v>
          </cell>
        </row>
        <row r="10012">
          <cell r="N10012">
            <v>-1154</v>
          </cell>
        </row>
        <row r="10013">
          <cell r="N10013">
            <v>-587.44200000000001</v>
          </cell>
        </row>
        <row r="10014">
          <cell r="N10014">
            <v>-1154</v>
          </cell>
        </row>
        <row r="10015">
          <cell r="N10015">
            <v>-1.4339999999999999</v>
          </cell>
        </row>
        <row r="10016">
          <cell r="N10016">
            <v>-7.3810000000000002</v>
          </cell>
        </row>
        <row r="10017">
          <cell r="N10017">
            <v>-14.712999999999999</v>
          </cell>
        </row>
        <row r="10018">
          <cell r="N10018">
            <v>-9.968</v>
          </cell>
        </row>
        <row r="10019">
          <cell r="N10019">
            <v>-39.643000000000001</v>
          </cell>
        </row>
        <row r="10020">
          <cell r="N10020">
            <v>-395.62900000000002</v>
          </cell>
        </row>
        <row r="10021">
          <cell r="N10021">
            <v>-277</v>
          </cell>
        </row>
        <row r="10022">
          <cell r="N10022">
            <v>-3.2360000000000002</v>
          </cell>
        </row>
        <row r="10023">
          <cell r="N10023">
            <v>-502</v>
          </cell>
        </row>
        <row r="10024">
          <cell r="N10024">
            <v>-45</v>
          </cell>
        </row>
        <row r="10025">
          <cell r="N10025">
            <v>-6</v>
          </cell>
        </row>
        <row r="10026">
          <cell r="N10026">
            <v>-8.7129999999999992</v>
          </cell>
        </row>
        <row r="10027">
          <cell r="N10027">
            <v>-9.5500000000000007</v>
          </cell>
        </row>
        <row r="10028">
          <cell r="N10028">
            <v>-20.195</v>
          </cell>
        </row>
        <row r="10029">
          <cell r="N10029">
            <v>-2.8540000000000001</v>
          </cell>
        </row>
        <row r="10030">
          <cell r="N10030">
            <v>-7.0279999999999996</v>
          </cell>
        </row>
        <row r="10031">
          <cell r="N10031">
            <v>-5</v>
          </cell>
        </row>
        <row r="10032">
          <cell r="N10032">
            <v>-9.8919999999999995</v>
          </cell>
        </row>
        <row r="10033">
          <cell r="N10033">
            <v>-0.29599999999999999</v>
          </cell>
        </row>
        <row r="10034">
          <cell r="N10034">
            <v>-0.28100000000000003</v>
          </cell>
        </row>
        <row r="10035">
          <cell r="N10035">
            <v>-2.0840000000000001</v>
          </cell>
        </row>
        <row r="10036">
          <cell r="N10036">
            <v>-20.088999999999999</v>
          </cell>
        </row>
        <row r="10037">
          <cell r="N10037">
            <v>-36</v>
          </cell>
        </row>
        <row r="10038">
          <cell r="N10038">
            <v>-5</v>
          </cell>
        </row>
        <row r="10039">
          <cell r="N10039">
            <v>-6</v>
          </cell>
        </row>
        <row r="10040">
          <cell r="N10040">
            <v>-3.3849999999999998</v>
          </cell>
        </row>
        <row r="10041">
          <cell r="N10041">
            <v>-0.36199999999999999</v>
          </cell>
        </row>
        <row r="10042">
          <cell r="N10042">
            <v>-8.8889999999999993</v>
          </cell>
        </row>
        <row r="10043">
          <cell r="N10043">
            <v>-1.9039999999999999</v>
          </cell>
        </row>
        <row r="10044">
          <cell r="N10044">
            <v>-2.2410000000000001</v>
          </cell>
        </row>
        <row r="10045">
          <cell r="N10045">
            <v>-18.715</v>
          </cell>
        </row>
        <row r="10046">
          <cell r="N10046">
            <v>-996.35699999999997</v>
          </cell>
        </row>
        <row r="10047">
          <cell r="N10047">
            <v>-1.3560000000000001</v>
          </cell>
        </row>
        <row r="10048">
          <cell r="N10048">
            <v>-0.88700000000000001</v>
          </cell>
        </row>
        <row r="10049">
          <cell r="N10049">
            <v>-1.591</v>
          </cell>
        </row>
        <row r="10050">
          <cell r="N10050">
            <v>-1.9119999999999999</v>
          </cell>
        </row>
        <row r="10051">
          <cell r="N10051">
            <v>-4.8659999999999997</v>
          </cell>
        </row>
        <row r="10052">
          <cell r="N10052">
            <v>-20</v>
          </cell>
        </row>
        <row r="10053">
          <cell r="N10053">
            <v>-2.2480000000000002</v>
          </cell>
        </row>
        <row r="10054">
          <cell r="N10054">
            <v>-14.253</v>
          </cell>
        </row>
        <row r="10055">
          <cell r="N10055">
            <v>-22</v>
          </cell>
        </row>
        <row r="10056">
          <cell r="N10056">
            <v>-2.016</v>
          </cell>
        </row>
        <row r="10057">
          <cell r="N10057">
            <v>-4.0170000000000003</v>
          </cell>
        </row>
        <row r="10058">
          <cell r="N10058">
            <v>-1.9570000000000001</v>
          </cell>
        </row>
        <row r="10059">
          <cell r="N10059">
            <v>-11.071</v>
          </cell>
        </row>
        <row r="10060">
          <cell r="N10060">
            <v>-527.89</v>
          </cell>
        </row>
        <row r="10061">
          <cell r="N10061">
            <v>-9.93</v>
          </cell>
        </row>
        <row r="10062">
          <cell r="N10062">
            <v>-11.452</v>
          </cell>
        </row>
        <row r="10063">
          <cell r="N10063">
            <v>-3.6819999999999999</v>
          </cell>
        </row>
        <row r="10064">
          <cell r="N10064">
            <v>-10.175000000000001</v>
          </cell>
        </row>
        <row r="10065">
          <cell r="N10065">
            <v>-20</v>
          </cell>
        </row>
        <row r="10066">
          <cell r="N10066">
            <v>-10.500999999999999</v>
          </cell>
        </row>
        <row r="10067">
          <cell r="N10067">
            <v>-7.1909999999999998</v>
          </cell>
        </row>
        <row r="10068">
          <cell r="N10068">
            <v>-10.691000000000001</v>
          </cell>
        </row>
        <row r="10069">
          <cell r="N10069">
            <v>-5.2030000000000003</v>
          </cell>
        </row>
        <row r="10070">
          <cell r="N10070">
            <v>-11.452</v>
          </cell>
        </row>
        <row r="10071">
          <cell r="N10071">
            <v>-527.89</v>
          </cell>
        </row>
        <row r="10072">
          <cell r="N10072">
            <v>-84.674000000000007</v>
          </cell>
        </row>
        <row r="10073">
          <cell r="N10073">
            <v>-22.57</v>
          </cell>
        </row>
        <row r="10074">
          <cell r="N10074">
            <v>-2.8149999999999999</v>
          </cell>
        </row>
        <row r="10075">
          <cell r="N10075">
            <v>-1.6359999999999999</v>
          </cell>
        </row>
        <row r="10076">
          <cell r="N10076">
            <v>-1.613</v>
          </cell>
        </row>
        <row r="10077">
          <cell r="N10077">
            <v>-1.8080000000000001</v>
          </cell>
        </row>
        <row r="10078">
          <cell r="N10078">
            <v>-277</v>
          </cell>
        </row>
        <row r="10079">
          <cell r="N10079">
            <v>-22</v>
          </cell>
        </row>
        <row r="10080">
          <cell r="N10080">
            <v>-2.1379999999999999</v>
          </cell>
        </row>
        <row r="10081">
          <cell r="N10081">
            <v>-4.0819999999999999</v>
          </cell>
        </row>
        <row r="10082">
          <cell r="N10082">
            <v>-8.8000000000000007</v>
          </cell>
        </row>
        <row r="10083">
          <cell r="N10083">
            <v>-5.6769999999999996</v>
          </cell>
        </row>
        <row r="10084">
          <cell r="N10084">
            <v>-8.0419999999999998</v>
          </cell>
        </row>
        <row r="10085">
          <cell r="N10085">
            <v>-684</v>
          </cell>
        </row>
        <row r="10086">
          <cell r="N10086">
            <v>-3.4590000000000001</v>
          </cell>
        </row>
        <row r="10087">
          <cell r="N10087">
            <v>-684</v>
          </cell>
        </row>
        <row r="10088">
          <cell r="N10088">
            <v>-1154</v>
          </cell>
        </row>
        <row r="10089">
          <cell r="N10089">
            <v>-5.5460000000000003</v>
          </cell>
        </row>
        <row r="10090">
          <cell r="N10090">
            <v>-4.1660000000000004</v>
          </cell>
        </row>
        <row r="10091">
          <cell r="N10091">
            <v>-1154</v>
          </cell>
        </row>
        <row r="10092">
          <cell r="N10092">
            <v>-2.7029999999999998</v>
          </cell>
        </row>
        <row r="10093">
          <cell r="N10093">
            <v>-6.6230000000000002</v>
          </cell>
        </row>
        <row r="10094">
          <cell r="N10094">
            <v>-21.221</v>
          </cell>
        </row>
        <row r="10095">
          <cell r="N10095">
            <v>-0.84899999999999998</v>
          </cell>
        </row>
        <row r="10096">
          <cell r="N10096">
            <v>-9.702</v>
          </cell>
        </row>
        <row r="10097">
          <cell r="N10097">
            <v>-2.93</v>
          </cell>
        </row>
        <row r="10098">
          <cell r="N10098">
            <v>-152</v>
          </cell>
        </row>
        <row r="10099">
          <cell r="N10099">
            <v>-10.159000000000001</v>
          </cell>
        </row>
        <row r="10100">
          <cell r="N10100">
            <v>-8.8019999999999996</v>
          </cell>
        </row>
        <row r="10101">
          <cell r="N10101">
            <v>-277</v>
          </cell>
        </row>
        <row r="10102">
          <cell r="N10102">
            <v>-527.58500000000004</v>
          </cell>
        </row>
        <row r="10103">
          <cell r="N10103">
            <v>-5</v>
          </cell>
        </row>
        <row r="10104">
          <cell r="N10104">
            <v>-527.58500000000004</v>
          </cell>
        </row>
        <row r="10105">
          <cell r="N10105">
            <v>-9.8320000000000007</v>
          </cell>
        </row>
        <row r="10106">
          <cell r="N10106">
            <v>-4.5990000000000002</v>
          </cell>
        </row>
        <row r="10107">
          <cell r="N10107">
            <v>-14.855</v>
          </cell>
        </row>
        <row r="10108">
          <cell r="N10108">
            <v>-10.881</v>
          </cell>
        </row>
        <row r="10109">
          <cell r="N10109">
            <v>-302</v>
          </cell>
        </row>
        <row r="10110">
          <cell r="N10110">
            <v>-7</v>
          </cell>
        </row>
        <row r="10111">
          <cell r="N10111">
            <v>-16.552</v>
          </cell>
        </row>
        <row r="10112">
          <cell r="N10112">
            <v>-11.19</v>
          </cell>
        </row>
        <row r="10113">
          <cell r="N10113">
            <v>-1.7070000000000001</v>
          </cell>
        </row>
        <row r="10114">
          <cell r="N10114">
            <v>-4.0030000000000001</v>
          </cell>
        </row>
        <row r="10115">
          <cell r="N10115">
            <v>-1.972</v>
          </cell>
        </row>
        <row r="10116">
          <cell r="N10116">
            <v>-2.3149999999999999</v>
          </cell>
        </row>
        <row r="10117">
          <cell r="N10117">
            <v>-16.623000000000001</v>
          </cell>
        </row>
        <row r="10118">
          <cell r="N10118">
            <v>-80</v>
          </cell>
        </row>
        <row r="10119">
          <cell r="N10119">
            <v>-3.1579999999999999</v>
          </cell>
        </row>
        <row r="10120">
          <cell r="N10120">
            <v>-9.74</v>
          </cell>
        </row>
        <row r="10121">
          <cell r="N10121">
            <v>-2.1659999999999999</v>
          </cell>
        </row>
        <row r="10122">
          <cell r="N10122">
            <v>-42</v>
          </cell>
        </row>
        <row r="10123">
          <cell r="N10123">
            <v>-1.83</v>
          </cell>
        </row>
        <row r="10124">
          <cell r="N10124">
            <v>-6.2850000000000001</v>
          </cell>
        </row>
        <row r="10125">
          <cell r="N10125">
            <v>-20.268999999999998</v>
          </cell>
        </row>
        <row r="10126">
          <cell r="N10126">
            <v>-1.296</v>
          </cell>
        </row>
        <row r="10127">
          <cell r="N10127">
            <v>-15.491</v>
          </cell>
        </row>
        <row r="10128">
          <cell r="N10128">
            <v>-684</v>
          </cell>
        </row>
        <row r="10129">
          <cell r="N10129">
            <v>-36</v>
          </cell>
        </row>
        <row r="10130">
          <cell r="N10130">
            <v>-12.137</v>
          </cell>
        </row>
        <row r="10131">
          <cell r="N10131">
            <v>-3.1E-2</v>
          </cell>
        </row>
        <row r="10132">
          <cell r="N10132">
            <v>-302</v>
          </cell>
        </row>
        <row r="10133">
          <cell r="N10133">
            <v>-20.268999999999998</v>
          </cell>
        </row>
        <row r="10134">
          <cell r="N10134">
            <v>-1.5009999999999999</v>
          </cell>
        </row>
        <row r="10135">
          <cell r="N10135">
            <v>-10.044</v>
          </cell>
        </row>
        <row r="10136">
          <cell r="N10136">
            <v>-13.984999999999999</v>
          </cell>
        </row>
        <row r="10137">
          <cell r="N10137">
            <v>-584.35</v>
          </cell>
        </row>
        <row r="10138">
          <cell r="N10138">
            <v>-10.425000000000001</v>
          </cell>
        </row>
        <row r="10139">
          <cell r="N10139">
            <v>-2.903</v>
          </cell>
        </row>
        <row r="10140">
          <cell r="N10140">
            <v>-1.38</v>
          </cell>
        </row>
        <row r="10141">
          <cell r="N10141">
            <v>-584.35</v>
          </cell>
        </row>
        <row r="10142">
          <cell r="N10142">
            <v>-3.31</v>
          </cell>
        </row>
        <row r="10143">
          <cell r="N10143">
            <v>-1.5609999999999999</v>
          </cell>
        </row>
        <row r="10144">
          <cell r="N10144">
            <v>-1.046</v>
          </cell>
        </row>
        <row r="10145">
          <cell r="N10145">
            <v>-6.0140000000000002</v>
          </cell>
        </row>
        <row r="10146">
          <cell r="N10146">
            <v>-4.5949999999999998</v>
          </cell>
        </row>
        <row r="10147">
          <cell r="N10147">
            <v>-2.4550000000000001</v>
          </cell>
        </row>
        <row r="10148">
          <cell r="N10148">
            <v>-5.0010000000000003</v>
          </cell>
        </row>
        <row r="10149">
          <cell r="N10149">
            <v>-2.5289999999999999</v>
          </cell>
        </row>
        <row r="10150">
          <cell r="N10150">
            <v>-3.2309999999999999</v>
          </cell>
        </row>
        <row r="10151">
          <cell r="N10151">
            <v>-10.349</v>
          </cell>
        </row>
        <row r="10152">
          <cell r="N10152">
            <v>-10.387</v>
          </cell>
        </row>
        <row r="10153">
          <cell r="N10153">
            <v>-2.2069999999999999</v>
          </cell>
        </row>
        <row r="10154">
          <cell r="N10154">
            <v>-8.8650000000000002</v>
          </cell>
        </row>
        <row r="10155">
          <cell r="N10155">
            <v>-3.5470000000000002</v>
          </cell>
        </row>
        <row r="10156">
          <cell r="N10156">
            <v>-8.92</v>
          </cell>
        </row>
        <row r="10157">
          <cell r="N10157">
            <v>-2.9750000000000001</v>
          </cell>
        </row>
        <row r="10158">
          <cell r="N10158">
            <v>-18.038</v>
          </cell>
        </row>
        <row r="10159">
          <cell r="N10159">
            <v>-1154</v>
          </cell>
        </row>
        <row r="10160">
          <cell r="N10160">
            <v>-2.9359999999999999</v>
          </cell>
        </row>
        <row r="10161">
          <cell r="N10161">
            <v>-11.337999999999999</v>
          </cell>
        </row>
        <row r="10162">
          <cell r="N10162">
            <v>-10.577</v>
          </cell>
        </row>
        <row r="10163">
          <cell r="N10163">
            <v>-2.492</v>
          </cell>
        </row>
        <row r="10164">
          <cell r="N10164">
            <v>-2.6629999999999998</v>
          </cell>
        </row>
        <row r="10165">
          <cell r="N10165">
            <v>-1.389</v>
          </cell>
        </row>
        <row r="10166">
          <cell r="N10166">
            <v>-4.9329999999999998</v>
          </cell>
        </row>
        <row r="10167">
          <cell r="N10167">
            <v>-7.2309999999999999</v>
          </cell>
        </row>
        <row r="10168">
          <cell r="N10168">
            <v>-3.4590000000000001</v>
          </cell>
        </row>
        <row r="10169">
          <cell r="N10169">
            <v>-0.57499999999999996</v>
          </cell>
        </row>
        <row r="10170">
          <cell r="N10170">
            <v>-2.6629999999999998</v>
          </cell>
        </row>
        <row r="10171">
          <cell r="N10171">
            <v>-9.3979999999999997</v>
          </cell>
        </row>
        <row r="10172">
          <cell r="N10172">
            <v>-17.613</v>
          </cell>
        </row>
        <row r="10173">
          <cell r="N10173">
            <v>-1.393</v>
          </cell>
        </row>
        <row r="10174">
          <cell r="N10174">
            <v>-7.5709999999999997</v>
          </cell>
        </row>
        <row r="10175">
          <cell r="N10175">
            <v>-684</v>
          </cell>
        </row>
        <row r="10176">
          <cell r="N10176">
            <v>-5.9470000000000001</v>
          </cell>
        </row>
        <row r="10177">
          <cell r="N10177">
            <v>-9.6259999999999994</v>
          </cell>
        </row>
        <row r="10178">
          <cell r="N10178">
            <v>-20.417000000000002</v>
          </cell>
        </row>
        <row r="10179">
          <cell r="N10179">
            <v>-5.3650000000000002</v>
          </cell>
        </row>
        <row r="10180">
          <cell r="N10180">
            <v>-531.79</v>
          </cell>
        </row>
        <row r="10181">
          <cell r="N10181">
            <v>-684</v>
          </cell>
        </row>
        <row r="10182">
          <cell r="N10182">
            <v>-1154</v>
          </cell>
        </row>
        <row r="10183">
          <cell r="N10183">
            <v>-56</v>
          </cell>
        </row>
        <row r="10184">
          <cell r="N10184">
            <v>-1.583</v>
          </cell>
        </row>
        <row r="10185">
          <cell r="N10185">
            <v>-5.4740000000000002</v>
          </cell>
        </row>
        <row r="10186">
          <cell r="N10186">
            <v>-5.8239999999999998</v>
          </cell>
        </row>
        <row r="10187">
          <cell r="N10187">
            <v>-3.05</v>
          </cell>
        </row>
        <row r="10188">
          <cell r="N10188">
            <v>-531.79</v>
          </cell>
        </row>
        <row r="10189">
          <cell r="N10189">
            <v>-6.4870000000000001</v>
          </cell>
        </row>
        <row r="10190">
          <cell r="N10190">
            <v>-8.0229999999999997</v>
          </cell>
        </row>
        <row r="10191">
          <cell r="N10191">
            <v>-7.8760000000000003</v>
          </cell>
        </row>
        <row r="10192">
          <cell r="N10192">
            <v>-513.17700000000002</v>
          </cell>
        </row>
        <row r="10193">
          <cell r="N10193">
            <v>-513.17700000000002</v>
          </cell>
        </row>
        <row r="10194">
          <cell r="N10194">
            <v>-3.9420000000000002</v>
          </cell>
        </row>
        <row r="10195">
          <cell r="N10195">
            <v>-7.6859999999999999</v>
          </cell>
        </row>
        <row r="10196">
          <cell r="N10196">
            <v>-531.79</v>
          </cell>
        </row>
        <row r="10197">
          <cell r="N10197">
            <v>-16.34</v>
          </cell>
        </row>
        <row r="10198">
          <cell r="N10198">
            <v>-7.99</v>
          </cell>
        </row>
        <row r="10199">
          <cell r="N10199">
            <v>-1.966</v>
          </cell>
        </row>
        <row r="10200">
          <cell r="N10200">
            <v>-277</v>
          </cell>
        </row>
        <row r="10201">
          <cell r="N10201">
            <v>-9.4740000000000002</v>
          </cell>
        </row>
        <row r="10202">
          <cell r="N10202">
            <v>-277</v>
          </cell>
        </row>
        <row r="10203">
          <cell r="N10203">
            <v>-277</v>
          </cell>
        </row>
        <row r="10204">
          <cell r="N10204">
            <v>-277</v>
          </cell>
        </row>
        <row r="10205">
          <cell r="N10205">
            <v>-277</v>
          </cell>
        </row>
        <row r="10206">
          <cell r="N10206">
            <v>-10.728999999999999</v>
          </cell>
        </row>
        <row r="10207">
          <cell r="N10207">
            <v>-277</v>
          </cell>
        </row>
        <row r="10208">
          <cell r="N10208">
            <v>-18.745000000000001</v>
          </cell>
        </row>
        <row r="10209">
          <cell r="N10209">
            <v>-105</v>
          </cell>
        </row>
        <row r="10210">
          <cell r="N10210">
            <v>-1.2470000000000001</v>
          </cell>
        </row>
        <row r="10211">
          <cell r="N10211">
            <v>-302</v>
          </cell>
        </row>
        <row r="10212">
          <cell r="N10212">
            <v>-302</v>
          </cell>
        </row>
        <row r="10213">
          <cell r="N10213">
            <v>-9.4359999999999999</v>
          </cell>
        </row>
        <row r="10214">
          <cell r="N10214">
            <v>-3.161</v>
          </cell>
        </row>
        <row r="10215">
          <cell r="N10215">
            <v>-177.26300000000001</v>
          </cell>
        </row>
        <row r="10216">
          <cell r="N10216">
            <v>-20</v>
          </cell>
        </row>
        <row r="10217">
          <cell r="N10217">
            <v>-684</v>
          </cell>
        </row>
        <row r="10218">
          <cell r="N10218">
            <v>-58.682000000000002</v>
          </cell>
        </row>
        <row r="10219">
          <cell r="N10219">
            <v>-684</v>
          </cell>
        </row>
        <row r="10220">
          <cell r="N10220">
            <v>-3.347</v>
          </cell>
        </row>
        <row r="10221">
          <cell r="N10221">
            <v>-9.3219999999999992</v>
          </cell>
        </row>
        <row r="10222">
          <cell r="N10222">
            <v>-5.0010000000000003</v>
          </cell>
        </row>
        <row r="10223">
          <cell r="N10223">
            <v>-4.3849999999999998</v>
          </cell>
        </row>
        <row r="10224">
          <cell r="N10224">
            <v>-10.92</v>
          </cell>
        </row>
        <row r="10225">
          <cell r="N10225">
            <v>-2.7949999999999999</v>
          </cell>
        </row>
        <row r="10226">
          <cell r="N10226">
            <v>-5.3390000000000004</v>
          </cell>
        </row>
        <row r="10227">
          <cell r="N10227">
            <v>-8.9789999999999992</v>
          </cell>
        </row>
        <row r="10228">
          <cell r="N10228">
            <v>-5.8120000000000003</v>
          </cell>
        </row>
        <row r="10229">
          <cell r="N10229">
            <v>-2.839</v>
          </cell>
        </row>
        <row r="10230">
          <cell r="N10230">
            <v>-4.2569999999999997</v>
          </cell>
        </row>
        <row r="10231">
          <cell r="N10231">
            <v>-13.491</v>
          </cell>
        </row>
        <row r="10232">
          <cell r="N10232">
            <v>-9.8539999999999992</v>
          </cell>
        </row>
        <row r="10233">
          <cell r="N10233">
            <v>-7.0960000000000001</v>
          </cell>
        </row>
        <row r="10234">
          <cell r="N10234">
            <v>-11.414</v>
          </cell>
        </row>
        <row r="10235">
          <cell r="N10235">
            <v>-1.47</v>
          </cell>
        </row>
        <row r="10236">
          <cell r="N10236">
            <v>-9.0540000000000003</v>
          </cell>
        </row>
        <row r="10237">
          <cell r="N10237">
            <v>-1.8819999999999999</v>
          </cell>
        </row>
        <row r="10238">
          <cell r="N10238">
            <v>-13.935</v>
          </cell>
        </row>
        <row r="10239">
          <cell r="N10239">
            <v>-1.68</v>
          </cell>
        </row>
        <row r="10240">
          <cell r="N10240">
            <v>-9.984</v>
          </cell>
        </row>
        <row r="10241">
          <cell r="N10241">
            <v>-3.9750000000000001</v>
          </cell>
        </row>
        <row r="10242">
          <cell r="N10242">
            <v>-11.923</v>
          </cell>
        </row>
        <row r="10243">
          <cell r="N10243">
            <v>-2.7519999999999998</v>
          </cell>
        </row>
        <row r="10244">
          <cell r="N10244">
            <v>-1.748</v>
          </cell>
        </row>
        <row r="10245">
          <cell r="N10245">
            <v>-7.0279999999999996</v>
          </cell>
        </row>
        <row r="10246">
          <cell r="N10246">
            <v>-13.086</v>
          </cell>
        </row>
        <row r="10247">
          <cell r="N10247">
            <v>-2.839</v>
          </cell>
        </row>
        <row r="10248">
          <cell r="N10248">
            <v>-2.827</v>
          </cell>
        </row>
        <row r="10249">
          <cell r="N10249">
            <v>-2.0019999999999998</v>
          </cell>
        </row>
        <row r="10250">
          <cell r="N10250">
            <v>-569.12300000000005</v>
          </cell>
        </row>
        <row r="10251">
          <cell r="N10251">
            <v>-2.2029999999999998</v>
          </cell>
        </row>
        <row r="10252">
          <cell r="N10252">
            <v>-11.224</v>
          </cell>
        </row>
        <row r="10253">
          <cell r="N10253">
            <v>-15.374000000000001</v>
          </cell>
        </row>
        <row r="10254">
          <cell r="N10254">
            <v>-3.6539999999999999</v>
          </cell>
        </row>
        <row r="10255">
          <cell r="N10255">
            <v>-9.8919999999999995</v>
          </cell>
        </row>
        <row r="10256">
          <cell r="N10256">
            <v>-2.1179999999999999</v>
          </cell>
        </row>
        <row r="10257">
          <cell r="N10257">
            <v>-3.0129999999999999</v>
          </cell>
        </row>
        <row r="10258">
          <cell r="N10258">
            <v>-2.9009999999999998</v>
          </cell>
        </row>
        <row r="10259">
          <cell r="N10259">
            <v>-15.773999999999999</v>
          </cell>
        </row>
        <row r="10260">
          <cell r="N10260">
            <v>-1.8220000000000001</v>
          </cell>
        </row>
        <row r="10261">
          <cell r="N10261">
            <v>-4.5279999999999996</v>
          </cell>
        </row>
        <row r="10262">
          <cell r="N10262">
            <v>-1.153</v>
          </cell>
        </row>
        <row r="10263">
          <cell r="N10263">
            <v>-10.615</v>
          </cell>
        </row>
        <row r="10264">
          <cell r="N10264">
            <v>-9.8160000000000007</v>
          </cell>
        </row>
        <row r="10265">
          <cell r="N10265">
            <v>-3.0230000000000001</v>
          </cell>
        </row>
        <row r="10266">
          <cell r="N10266">
            <v>-3.4620000000000002</v>
          </cell>
        </row>
        <row r="10267">
          <cell r="N10267">
            <v>-207.15100000000001</v>
          </cell>
        </row>
        <row r="10268">
          <cell r="N10268">
            <v>-4.798</v>
          </cell>
        </row>
        <row r="10269">
          <cell r="N10269">
            <v>-2.5739999999999998</v>
          </cell>
        </row>
        <row r="10270">
          <cell r="N10270">
            <v>-2.4169999999999998</v>
          </cell>
        </row>
        <row r="10271">
          <cell r="N10271">
            <v>-15</v>
          </cell>
        </row>
        <row r="10272">
          <cell r="N10272">
            <v>-5.17</v>
          </cell>
        </row>
        <row r="10273">
          <cell r="N10273">
            <v>-277</v>
          </cell>
        </row>
        <row r="10274">
          <cell r="N10274">
            <v>-2.5289999999999999</v>
          </cell>
        </row>
        <row r="10275">
          <cell r="N10275">
            <v>-11.3</v>
          </cell>
        </row>
        <row r="10276">
          <cell r="N10276">
            <v>-1154</v>
          </cell>
        </row>
        <row r="10277">
          <cell r="N10277">
            <v>-4.7300000000000004</v>
          </cell>
        </row>
        <row r="10278">
          <cell r="N10278">
            <v>-9.2070000000000007</v>
          </cell>
        </row>
        <row r="10279">
          <cell r="N10279">
            <v>-11.49</v>
          </cell>
        </row>
        <row r="10280">
          <cell r="N10280">
            <v>-3.347</v>
          </cell>
        </row>
        <row r="10281">
          <cell r="N10281">
            <v>-3.0129999999999999</v>
          </cell>
        </row>
        <row r="10282">
          <cell r="N10282">
            <v>-12.654999999999999</v>
          </cell>
        </row>
        <row r="10283">
          <cell r="N10283">
            <v>-12.099</v>
          </cell>
        </row>
        <row r="10284">
          <cell r="N10284">
            <v>-8.3119999999999994</v>
          </cell>
        </row>
        <row r="10285">
          <cell r="N10285">
            <v>-3.5289999999999999</v>
          </cell>
        </row>
        <row r="10286">
          <cell r="N10286">
            <v>-3.347</v>
          </cell>
        </row>
        <row r="10287">
          <cell r="N10287">
            <v>-10.615</v>
          </cell>
        </row>
        <row r="10288">
          <cell r="N10288">
            <v>-277</v>
          </cell>
        </row>
        <row r="10289">
          <cell r="N10289">
            <v>-529.13099999999997</v>
          </cell>
        </row>
        <row r="10290">
          <cell r="N10290">
            <v>-529.13099999999997</v>
          </cell>
        </row>
        <row r="10291">
          <cell r="N10291">
            <v>-9.4570000000000007</v>
          </cell>
        </row>
        <row r="10292">
          <cell r="N10292">
            <v>-20.934999999999999</v>
          </cell>
        </row>
        <row r="10293">
          <cell r="N10293">
            <v>-3.0939999999999999</v>
          </cell>
        </row>
        <row r="10294">
          <cell r="N10294">
            <v>-11.385999999999999</v>
          </cell>
        </row>
        <row r="10295">
          <cell r="N10295">
            <v>-0.70499999999999996</v>
          </cell>
        </row>
        <row r="10296">
          <cell r="N10296">
            <v>-684</v>
          </cell>
        </row>
        <row r="10297">
          <cell r="N10297">
            <v>-1.897</v>
          </cell>
        </row>
        <row r="10298">
          <cell r="N10298">
            <v>-277</v>
          </cell>
        </row>
        <row r="10299">
          <cell r="N10299">
            <v>-2.1429999999999998</v>
          </cell>
        </row>
        <row r="10300">
          <cell r="N10300">
            <v>-152</v>
          </cell>
        </row>
        <row r="10301">
          <cell r="N10301">
            <v>-277</v>
          </cell>
        </row>
        <row r="10302">
          <cell r="N10302">
            <v>-8.1769999999999996</v>
          </cell>
        </row>
        <row r="10303">
          <cell r="N10303">
            <v>-8.0229999999999997</v>
          </cell>
        </row>
        <row r="10304">
          <cell r="N10304">
            <v>-1236</v>
          </cell>
        </row>
        <row r="10305">
          <cell r="N10305">
            <v>-529.13099999999997</v>
          </cell>
        </row>
        <row r="10306">
          <cell r="N10306">
            <v>-20.565000000000001</v>
          </cell>
        </row>
        <row r="10307">
          <cell r="N10307">
            <v>-10.615</v>
          </cell>
        </row>
        <row r="10308">
          <cell r="N10308">
            <v>-1154</v>
          </cell>
        </row>
        <row r="10309">
          <cell r="N10309">
            <v>-2.625</v>
          </cell>
        </row>
        <row r="10310">
          <cell r="N10310">
            <v>-2.8639999999999999</v>
          </cell>
        </row>
        <row r="10311">
          <cell r="N10311">
            <v>-3.2360000000000002</v>
          </cell>
        </row>
        <row r="10312">
          <cell r="N10312">
            <v>-487</v>
          </cell>
        </row>
        <row r="10313">
          <cell r="N10313">
            <v>-2.9380000000000002</v>
          </cell>
        </row>
        <row r="10314">
          <cell r="N10314">
            <v>-15</v>
          </cell>
        </row>
        <row r="10315">
          <cell r="N10315">
            <v>-15</v>
          </cell>
        </row>
        <row r="10316">
          <cell r="N10316">
            <v>-6.0819999999999999</v>
          </cell>
        </row>
        <row r="10317">
          <cell r="N10317">
            <v>-11</v>
          </cell>
        </row>
        <row r="10318">
          <cell r="N10318">
            <v>-581.42899999999997</v>
          </cell>
        </row>
        <row r="10319">
          <cell r="N10319">
            <v>-8.0660000000000007</v>
          </cell>
        </row>
        <row r="10320">
          <cell r="N10320">
            <v>-181.17500000000001</v>
          </cell>
        </row>
        <row r="10321">
          <cell r="N10321">
            <v>-49.13</v>
          </cell>
        </row>
        <row r="10322">
          <cell r="N10322">
            <v>-859.86800000000005</v>
          </cell>
        </row>
        <row r="10323">
          <cell r="N10323">
            <v>-133.31899999999999</v>
          </cell>
        </row>
        <row r="10324">
          <cell r="N10324">
            <v>-277</v>
          </cell>
        </row>
        <row r="10325">
          <cell r="N10325">
            <v>-9.968</v>
          </cell>
        </row>
        <row r="10326">
          <cell r="N10326">
            <v>-277</v>
          </cell>
        </row>
        <row r="10327">
          <cell r="N10327">
            <v>-277</v>
          </cell>
        </row>
        <row r="10328">
          <cell r="N10328">
            <v>-105</v>
          </cell>
        </row>
        <row r="10329">
          <cell r="N10329">
            <v>-529.13099999999997</v>
          </cell>
        </row>
        <row r="10330">
          <cell r="N10330">
            <v>-2.4350000000000001</v>
          </cell>
        </row>
        <row r="10331">
          <cell r="N10331">
            <v>-3.9420000000000002</v>
          </cell>
        </row>
        <row r="10332">
          <cell r="N10332">
            <v>-8.8650000000000002</v>
          </cell>
        </row>
        <row r="10333">
          <cell r="N10333">
            <v>-4.242</v>
          </cell>
        </row>
        <row r="10334">
          <cell r="N10334">
            <v>-9.5500000000000007</v>
          </cell>
        </row>
        <row r="10335">
          <cell r="N10335">
            <v>-7.99</v>
          </cell>
        </row>
        <row r="10336">
          <cell r="N10336">
            <v>-1.794</v>
          </cell>
        </row>
        <row r="10337">
          <cell r="N10337">
            <v>-11.528</v>
          </cell>
        </row>
        <row r="10338">
          <cell r="N10338">
            <v>-8.2560000000000002</v>
          </cell>
        </row>
        <row r="10339">
          <cell r="N10339">
            <v>-0.20100000000000001</v>
          </cell>
        </row>
        <row r="10340">
          <cell r="N10340">
            <v>-529.13099999999997</v>
          </cell>
        </row>
        <row r="10341">
          <cell r="N10341">
            <v>-529.13099999999997</v>
          </cell>
        </row>
        <row r="10342">
          <cell r="N10342">
            <v>-8.5609999999999999</v>
          </cell>
        </row>
        <row r="10343">
          <cell r="N10343">
            <v>-2.83</v>
          </cell>
        </row>
        <row r="10344">
          <cell r="N10344">
            <v>-4.3929999999999998</v>
          </cell>
        </row>
        <row r="10345">
          <cell r="N10345">
            <v>-2.641</v>
          </cell>
        </row>
        <row r="10346">
          <cell r="N10346">
            <v>-7.8390000000000004</v>
          </cell>
        </row>
        <row r="10347">
          <cell r="N10347">
            <v>-2.359</v>
          </cell>
        </row>
        <row r="10348">
          <cell r="N10348">
            <v>-10.006</v>
          </cell>
        </row>
        <row r="10349">
          <cell r="N10349">
            <v>-10.425000000000001</v>
          </cell>
        </row>
        <row r="10350">
          <cell r="N10350">
            <v>-1.919</v>
          </cell>
        </row>
        <row r="10351">
          <cell r="N10351">
            <v>-11.519</v>
          </cell>
        </row>
        <row r="10352">
          <cell r="N10352">
            <v>-445.786</v>
          </cell>
        </row>
        <row r="10353">
          <cell r="N10353">
            <v>-446.84199999999998</v>
          </cell>
        </row>
        <row r="10354">
          <cell r="N10354">
            <v>-41.198</v>
          </cell>
        </row>
        <row r="10355">
          <cell r="N10355">
            <v>-195.78800000000001</v>
          </cell>
        </row>
        <row r="10356">
          <cell r="N10356">
            <v>-2.5870000000000002</v>
          </cell>
        </row>
        <row r="10357">
          <cell r="N10357">
            <v>-3.0129999999999999</v>
          </cell>
        </row>
        <row r="10358">
          <cell r="N10358">
            <v>-0.66800000000000004</v>
          </cell>
        </row>
        <row r="10359">
          <cell r="N10359">
            <v>-12.281000000000001</v>
          </cell>
        </row>
        <row r="10360">
          <cell r="N10360">
            <v>-4.649</v>
          </cell>
        </row>
        <row r="10361">
          <cell r="N10361">
            <v>-3.496</v>
          </cell>
        </row>
        <row r="10362">
          <cell r="N10362">
            <v>-13.137</v>
          </cell>
        </row>
        <row r="10363">
          <cell r="N10363">
            <v>-13.792</v>
          </cell>
        </row>
        <row r="10364">
          <cell r="N10364">
            <v>-5.609</v>
          </cell>
        </row>
        <row r="10365">
          <cell r="N10365">
            <v>-3.2450000000000001</v>
          </cell>
        </row>
        <row r="10366">
          <cell r="N10366">
            <v>-3.05</v>
          </cell>
        </row>
        <row r="10367">
          <cell r="N10367">
            <v>-3.45</v>
          </cell>
        </row>
        <row r="10368">
          <cell r="N10368">
            <v>-2.7519999999999998</v>
          </cell>
        </row>
        <row r="10369">
          <cell r="N10369">
            <v>-20.268999999999998</v>
          </cell>
        </row>
        <row r="10370">
          <cell r="N10370">
            <v>-3.31</v>
          </cell>
        </row>
        <row r="10371">
          <cell r="N10371">
            <v>-12.819000000000001</v>
          </cell>
        </row>
        <row r="10372">
          <cell r="N10372">
            <v>-302</v>
          </cell>
        </row>
        <row r="10373">
          <cell r="N10373">
            <v>-11.741</v>
          </cell>
        </row>
        <row r="10374">
          <cell r="N10374">
            <v>-3.0939999999999999</v>
          </cell>
        </row>
        <row r="10375">
          <cell r="N10375">
            <v>-2.359</v>
          </cell>
        </row>
        <row r="10376">
          <cell r="N10376">
            <v>-302</v>
          </cell>
        </row>
        <row r="10377">
          <cell r="N10377">
            <v>-1154</v>
          </cell>
        </row>
        <row r="10378">
          <cell r="N10378">
            <v>-9.3219999999999992</v>
          </cell>
        </row>
        <row r="10379">
          <cell r="N10379">
            <v>-10.234999999999999</v>
          </cell>
        </row>
        <row r="10380">
          <cell r="N10380">
            <v>-3.4590000000000001</v>
          </cell>
        </row>
        <row r="10381">
          <cell r="N10381">
            <v>-11.968</v>
          </cell>
        </row>
        <row r="10382">
          <cell r="N10382">
            <v>-11.079000000000001</v>
          </cell>
        </row>
        <row r="10383">
          <cell r="N10383">
            <v>-30.3</v>
          </cell>
        </row>
        <row r="10384">
          <cell r="N10384">
            <v>-9.2840000000000007</v>
          </cell>
        </row>
        <row r="10385">
          <cell r="N10385">
            <v>-1.8819999999999999</v>
          </cell>
        </row>
        <row r="10386">
          <cell r="N10386">
            <v>-7.343</v>
          </cell>
        </row>
        <row r="10387">
          <cell r="N10387">
            <v>-2.4350000000000001</v>
          </cell>
        </row>
        <row r="10388">
          <cell r="N10388">
            <v>-4.7590000000000003</v>
          </cell>
        </row>
        <row r="10389">
          <cell r="N10389">
            <v>-4.8659999999999997</v>
          </cell>
        </row>
        <row r="10390">
          <cell r="N10390">
            <v>-684</v>
          </cell>
        </row>
        <row r="10391">
          <cell r="N10391">
            <v>-4</v>
          </cell>
        </row>
        <row r="10392">
          <cell r="N10392">
            <v>-7.4950000000000001</v>
          </cell>
        </row>
        <row r="10393">
          <cell r="N10393">
            <v>-1058.261</v>
          </cell>
        </row>
        <row r="10394">
          <cell r="N10394">
            <v>-3.3849999999999998</v>
          </cell>
        </row>
        <row r="10395">
          <cell r="N10395">
            <v>-6.7720000000000002</v>
          </cell>
        </row>
        <row r="10396">
          <cell r="N10396">
            <v>-4.5750000000000002</v>
          </cell>
        </row>
        <row r="10397">
          <cell r="N10397">
            <v>-3.1579999999999999</v>
          </cell>
        </row>
        <row r="10398">
          <cell r="N10398">
            <v>-485.70100000000002</v>
          </cell>
        </row>
        <row r="10399">
          <cell r="N10399">
            <v>-5.7450000000000001</v>
          </cell>
        </row>
        <row r="10400">
          <cell r="N10400">
            <v>-9.5120000000000005</v>
          </cell>
        </row>
        <row r="10401">
          <cell r="N10401">
            <v>-9.1319999999999997</v>
          </cell>
        </row>
        <row r="10402">
          <cell r="N10402">
            <v>-1.8220000000000001</v>
          </cell>
        </row>
        <row r="10403">
          <cell r="N10403">
            <v>-684</v>
          </cell>
        </row>
        <row r="10404">
          <cell r="N10404">
            <v>-3.1240000000000001</v>
          </cell>
        </row>
        <row r="10405">
          <cell r="N10405">
            <v>-15</v>
          </cell>
        </row>
        <row r="10406">
          <cell r="N10406">
            <v>-108.935</v>
          </cell>
        </row>
        <row r="10407">
          <cell r="N10407">
            <v>-3.0129999999999999</v>
          </cell>
        </row>
        <row r="10408">
          <cell r="N10408">
            <v>-277</v>
          </cell>
        </row>
        <row r="10409">
          <cell r="N10409">
            <v>-277</v>
          </cell>
        </row>
        <row r="10410">
          <cell r="N10410">
            <v>-3.2360000000000002</v>
          </cell>
        </row>
        <row r="10411">
          <cell r="N10411">
            <v>-26</v>
          </cell>
        </row>
        <row r="10412">
          <cell r="N10412">
            <v>-5.8789999999999996</v>
          </cell>
        </row>
        <row r="10413">
          <cell r="N10413">
            <v>-11.262</v>
          </cell>
        </row>
        <row r="10414">
          <cell r="N10414">
            <v>-33</v>
          </cell>
        </row>
        <row r="10415">
          <cell r="N10415">
            <v>-16.236999999999998</v>
          </cell>
        </row>
        <row r="10416">
          <cell r="N10416">
            <v>-37</v>
          </cell>
        </row>
        <row r="10417">
          <cell r="N10417">
            <v>-15</v>
          </cell>
        </row>
        <row r="10418">
          <cell r="N10418">
            <v>-56</v>
          </cell>
        </row>
        <row r="10419">
          <cell r="N10419">
            <v>-55</v>
          </cell>
        </row>
        <row r="10420">
          <cell r="N10420">
            <v>-7.7619999999999996</v>
          </cell>
        </row>
        <row r="10421">
          <cell r="N10421">
            <v>-22.488</v>
          </cell>
        </row>
        <row r="10422">
          <cell r="N10422">
            <v>-4.6630000000000003</v>
          </cell>
        </row>
        <row r="10423">
          <cell r="N10423">
            <v>-14.494999999999999</v>
          </cell>
        </row>
        <row r="10424">
          <cell r="N10424">
            <v>-2.419</v>
          </cell>
        </row>
        <row r="10425">
          <cell r="N10425">
            <v>-9.8539999999999992</v>
          </cell>
        </row>
        <row r="10426">
          <cell r="N10426">
            <v>-10.691000000000001</v>
          </cell>
        </row>
        <row r="10427">
          <cell r="N10427">
            <v>-3.4220000000000002</v>
          </cell>
        </row>
        <row r="10428">
          <cell r="N10428">
            <v>-7.4340000000000002</v>
          </cell>
        </row>
        <row r="10429">
          <cell r="N10429">
            <v>-4.6859999999999999</v>
          </cell>
        </row>
        <row r="10430">
          <cell r="N10430">
            <v>-0.46200000000000002</v>
          </cell>
        </row>
        <row r="10431">
          <cell r="N10431">
            <v>-4.1349999999999998</v>
          </cell>
        </row>
        <row r="10432">
          <cell r="N10432">
            <v>-7.2290000000000001</v>
          </cell>
        </row>
        <row r="10433">
          <cell r="N10433">
            <v>-3.6819999999999999</v>
          </cell>
        </row>
        <row r="10434">
          <cell r="N10434">
            <v>-3.4590000000000001</v>
          </cell>
        </row>
        <row r="10435">
          <cell r="N10435">
            <v>-0.23400000000000001</v>
          </cell>
        </row>
        <row r="10436">
          <cell r="N10436">
            <v>-684</v>
          </cell>
        </row>
        <row r="10437">
          <cell r="N10437">
            <v>-6.4870000000000001</v>
          </cell>
        </row>
        <row r="10438">
          <cell r="N10438">
            <v>-277</v>
          </cell>
        </row>
        <row r="10439">
          <cell r="N10439">
            <v>-13.882</v>
          </cell>
        </row>
        <row r="10440">
          <cell r="N10440">
            <v>-12.327</v>
          </cell>
        </row>
        <row r="10441">
          <cell r="N10441">
            <v>-8.2560000000000002</v>
          </cell>
        </row>
        <row r="10442">
          <cell r="N10442">
            <v>-4.4560000000000004</v>
          </cell>
        </row>
        <row r="10443">
          <cell r="N10443">
            <v>-277</v>
          </cell>
        </row>
        <row r="10444">
          <cell r="N10444">
            <v>-277</v>
          </cell>
        </row>
        <row r="10445">
          <cell r="N10445">
            <v>-2.7519999999999998</v>
          </cell>
        </row>
        <row r="10446">
          <cell r="N10446">
            <v>-12.365</v>
          </cell>
        </row>
        <row r="10447">
          <cell r="N10447">
            <v>-10.349</v>
          </cell>
        </row>
        <row r="10448">
          <cell r="N10448">
            <v>-8.6430000000000007</v>
          </cell>
        </row>
        <row r="10449">
          <cell r="N10449">
            <v>-3.05</v>
          </cell>
        </row>
        <row r="10450">
          <cell r="N10450">
            <v>-277</v>
          </cell>
        </row>
        <row r="10451">
          <cell r="N10451">
            <v>-277</v>
          </cell>
        </row>
        <row r="10452">
          <cell r="N10452">
            <v>-485.70100000000002</v>
          </cell>
        </row>
        <row r="10453">
          <cell r="N10453">
            <v>-3.7189999999999999</v>
          </cell>
        </row>
        <row r="10454">
          <cell r="N10454">
            <v>-4.9470000000000001</v>
          </cell>
        </row>
        <row r="10455">
          <cell r="N10455">
            <v>-7.298</v>
          </cell>
        </row>
        <row r="10456">
          <cell r="N10456">
            <v>-0.152</v>
          </cell>
        </row>
        <row r="10457">
          <cell r="N10457">
            <v>-3.2730000000000001</v>
          </cell>
        </row>
        <row r="10458">
          <cell r="N10458">
            <v>-22.117999999999999</v>
          </cell>
        </row>
        <row r="10459">
          <cell r="N10459">
            <v>-11.375999999999999</v>
          </cell>
        </row>
        <row r="10460">
          <cell r="N10460">
            <v>-4.649</v>
          </cell>
        </row>
        <row r="10461">
          <cell r="N10461">
            <v>-14</v>
          </cell>
        </row>
        <row r="10462">
          <cell r="N10462">
            <v>-11.984999999999999</v>
          </cell>
        </row>
        <row r="10463">
          <cell r="N10463">
            <v>-9.8160000000000007</v>
          </cell>
        </row>
        <row r="10464">
          <cell r="N10464">
            <v>-2.4900000000000002</v>
          </cell>
        </row>
        <row r="10465">
          <cell r="N10465">
            <v>-10.691000000000001</v>
          </cell>
        </row>
        <row r="10466">
          <cell r="N10466">
            <v>-3.2360000000000002</v>
          </cell>
        </row>
        <row r="10467">
          <cell r="N10467">
            <v>-50</v>
          </cell>
        </row>
        <row r="10468">
          <cell r="N10468">
            <v>-5.4059999999999997</v>
          </cell>
        </row>
        <row r="10469">
          <cell r="N10469">
            <v>-1154</v>
          </cell>
        </row>
        <row r="10470">
          <cell r="N10470">
            <v>-684</v>
          </cell>
        </row>
        <row r="10471">
          <cell r="N10471">
            <v>-2.641</v>
          </cell>
        </row>
        <row r="10472">
          <cell r="N10472">
            <v>-444.34899999999999</v>
          </cell>
        </row>
        <row r="10473">
          <cell r="N10473">
            <v>-9.0549999999999997</v>
          </cell>
        </row>
        <row r="10474">
          <cell r="N10474">
            <v>-3.0369999999999999</v>
          </cell>
        </row>
        <row r="10475">
          <cell r="N10475">
            <v>-9.2070000000000007</v>
          </cell>
        </row>
        <row r="10476">
          <cell r="N10476">
            <v>-2.1280000000000001</v>
          </cell>
        </row>
        <row r="10477">
          <cell r="N10477">
            <v>-444.34899999999999</v>
          </cell>
        </row>
        <row r="10478">
          <cell r="N10478">
            <v>-14.298</v>
          </cell>
        </row>
        <row r="10479">
          <cell r="N10479">
            <v>-273.62400000000002</v>
          </cell>
        </row>
        <row r="10480">
          <cell r="N10480">
            <v>-3.8820000000000001</v>
          </cell>
        </row>
        <row r="10481">
          <cell r="N10481">
            <v>-273.62400000000002</v>
          </cell>
        </row>
        <row r="10482">
          <cell r="N10482">
            <v>-485.70100000000002</v>
          </cell>
        </row>
        <row r="10483">
          <cell r="N10483">
            <v>-10.398999999999999</v>
          </cell>
        </row>
        <row r="10484">
          <cell r="N10484">
            <v>-485.70100000000002</v>
          </cell>
        </row>
        <row r="10485">
          <cell r="N10485">
            <v>-9.2840000000000007</v>
          </cell>
        </row>
        <row r="10486">
          <cell r="N10486">
            <v>-9.968</v>
          </cell>
        </row>
        <row r="10487">
          <cell r="N10487">
            <v>-3.05</v>
          </cell>
        </row>
        <row r="10488">
          <cell r="N10488">
            <v>-11.079000000000001</v>
          </cell>
        </row>
        <row r="10489">
          <cell r="N10489">
            <v>-9.702</v>
          </cell>
        </row>
        <row r="10490">
          <cell r="N10490">
            <v>-4.0170000000000003</v>
          </cell>
        </row>
        <row r="10491">
          <cell r="N10491">
            <v>-11.946999999999999</v>
          </cell>
        </row>
        <row r="10492">
          <cell r="N10492">
            <v>-8.9789999999999992</v>
          </cell>
        </row>
        <row r="10493">
          <cell r="N10493">
            <v>-530.78499999999997</v>
          </cell>
        </row>
        <row r="10494">
          <cell r="N10494">
            <v>-0.35899999999999999</v>
          </cell>
        </row>
        <row r="10495">
          <cell r="N10495">
            <v>-2.827</v>
          </cell>
        </row>
        <row r="10496">
          <cell r="N10496">
            <v>-14</v>
          </cell>
        </row>
        <row r="10497">
          <cell r="N10497">
            <v>-277</v>
          </cell>
        </row>
        <row r="10498">
          <cell r="N10498">
            <v>-12</v>
          </cell>
        </row>
        <row r="10499">
          <cell r="N10499">
            <v>-0.32300000000000001</v>
          </cell>
        </row>
        <row r="10500">
          <cell r="N10500">
            <v>-10.082000000000001</v>
          </cell>
        </row>
        <row r="10501">
          <cell r="N10501">
            <v>-4.2770000000000001</v>
          </cell>
        </row>
        <row r="10502">
          <cell r="N10502">
            <v>-5.9470000000000001</v>
          </cell>
        </row>
        <row r="10503">
          <cell r="N10503">
            <v>-4.798</v>
          </cell>
        </row>
        <row r="10504">
          <cell r="N10504">
            <v>-9.2070000000000007</v>
          </cell>
        </row>
        <row r="10505">
          <cell r="N10505">
            <v>-4.0540000000000003</v>
          </cell>
        </row>
        <row r="10506">
          <cell r="N10506">
            <v>-0.314</v>
          </cell>
        </row>
        <row r="10507">
          <cell r="N10507">
            <v>-10.577</v>
          </cell>
        </row>
        <row r="10508">
          <cell r="N10508">
            <v>-4.3890000000000002</v>
          </cell>
        </row>
        <row r="10509">
          <cell r="N10509">
            <v>-0.375</v>
          </cell>
        </row>
        <row r="10510">
          <cell r="N10510">
            <v>-0.35299999999999998</v>
          </cell>
        </row>
        <row r="10511">
          <cell r="N10511">
            <v>-7.4340000000000002</v>
          </cell>
        </row>
        <row r="10512">
          <cell r="N10512">
            <v>-20.861000000000001</v>
          </cell>
        </row>
        <row r="10513">
          <cell r="N10513">
            <v>-12.685</v>
          </cell>
        </row>
        <row r="10514">
          <cell r="N10514">
            <v>-11.122999999999999</v>
          </cell>
        </row>
        <row r="10515">
          <cell r="N10515">
            <v>-528.83699999999999</v>
          </cell>
        </row>
        <row r="10516">
          <cell r="N10516">
            <v>-0.27700000000000002</v>
          </cell>
        </row>
        <row r="10517">
          <cell r="N10517">
            <v>-3.2730000000000001</v>
          </cell>
        </row>
        <row r="10518">
          <cell r="N10518">
            <v>-10.044</v>
          </cell>
        </row>
        <row r="10519">
          <cell r="N10519">
            <v>-8.2940000000000005</v>
          </cell>
        </row>
        <row r="10520">
          <cell r="N10520">
            <v>-0.36799999999999999</v>
          </cell>
        </row>
        <row r="10521">
          <cell r="N10521">
            <v>-1154</v>
          </cell>
        </row>
        <row r="10522">
          <cell r="N10522">
            <v>-10.728999999999999</v>
          </cell>
        </row>
        <row r="10523">
          <cell r="N10523">
            <v>-14.702</v>
          </cell>
        </row>
        <row r="10524">
          <cell r="N10524">
            <v>-10.121</v>
          </cell>
        </row>
        <row r="10525">
          <cell r="N10525">
            <v>-8.6370000000000005</v>
          </cell>
        </row>
        <row r="10526">
          <cell r="N10526">
            <v>-277</v>
          </cell>
        </row>
        <row r="10527">
          <cell r="N10527">
            <v>-4.7590000000000003</v>
          </cell>
        </row>
        <row r="10528">
          <cell r="N10528">
            <v>-2.867</v>
          </cell>
        </row>
        <row r="10529">
          <cell r="N10529">
            <v>-684</v>
          </cell>
        </row>
        <row r="10530">
          <cell r="N10530">
            <v>-4.1280000000000001</v>
          </cell>
        </row>
        <row r="10531">
          <cell r="N10531">
            <v>-4.6120000000000001</v>
          </cell>
        </row>
        <row r="10532">
          <cell r="N10532">
            <v>-9.0169999999999995</v>
          </cell>
        </row>
        <row r="10533">
          <cell r="N10533">
            <v>-2.7919999999999998</v>
          </cell>
        </row>
        <row r="10534">
          <cell r="N10534">
            <v>-11.955</v>
          </cell>
        </row>
        <row r="10535">
          <cell r="N10535">
            <v>-10.958</v>
          </cell>
        </row>
        <row r="10536">
          <cell r="N10536">
            <v>-10.597</v>
          </cell>
        </row>
        <row r="10537">
          <cell r="N10537">
            <v>-3.7559999999999998</v>
          </cell>
        </row>
        <row r="10538">
          <cell r="N10538">
            <v>-3.9420000000000002</v>
          </cell>
        </row>
        <row r="10539">
          <cell r="N10539">
            <v>-0.105</v>
          </cell>
        </row>
        <row r="10540">
          <cell r="N10540">
            <v>-9.0990000000000002</v>
          </cell>
        </row>
        <row r="10541">
          <cell r="N10541">
            <v>-9.5500000000000007</v>
          </cell>
        </row>
        <row r="10542">
          <cell r="N10542">
            <v>-1.889</v>
          </cell>
        </row>
        <row r="10543">
          <cell r="N10543">
            <v>-11.071999999999999</v>
          </cell>
        </row>
        <row r="10544">
          <cell r="N10544">
            <v>-277</v>
          </cell>
        </row>
        <row r="10545">
          <cell r="N10545">
            <v>-113.511</v>
          </cell>
        </row>
        <row r="10546">
          <cell r="N10546">
            <v>-1154</v>
          </cell>
        </row>
        <row r="10547">
          <cell r="N10547">
            <v>-0.95599999999999996</v>
          </cell>
        </row>
        <row r="10548">
          <cell r="N10548">
            <v>-14.478</v>
          </cell>
        </row>
        <row r="10549">
          <cell r="N10549">
            <v>-414.30200000000002</v>
          </cell>
        </row>
        <row r="10550">
          <cell r="N10550">
            <v>-4.492</v>
          </cell>
        </row>
        <row r="10551">
          <cell r="N10551">
            <v>-14</v>
          </cell>
        </row>
        <row r="10552">
          <cell r="N10552">
            <v>-10.766999999999999</v>
          </cell>
        </row>
        <row r="10553">
          <cell r="N10553">
            <v>-14</v>
          </cell>
        </row>
        <row r="10554">
          <cell r="N10554">
            <v>-10.311</v>
          </cell>
        </row>
        <row r="10555">
          <cell r="N10555">
            <v>-277</v>
          </cell>
        </row>
        <row r="10556">
          <cell r="N10556">
            <v>-684</v>
          </cell>
        </row>
        <row r="10557">
          <cell r="N10557">
            <v>-4.4260000000000002</v>
          </cell>
        </row>
        <row r="10558">
          <cell r="N10558">
            <v>-7.0279999999999996</v>
          </cell>
        </row>
        <row r="10559">
          <cell r="N10559">
            <v>-11.718999999999999</v>
          </cell>
        </row>
        <row r="10560">
          <cell r="N10560">
            <v>-11.566000000000001</v>
          </cell>
        </row>
        <row r="10561">
          <cell r="N10561">
            <v>-3.98</v>
          </cell>
        </row>
        <row r="10562">
          <cell r="N10562">
            <v>-2.827</v>
          </cell>
        </row>
        <row r="10563">
          <cell r="N10563">
            <v>-1154</v>
          </cell>
        </row>
        <row r="10564">
          <cell r="N10564">
            <v>-491.01900000000001</v>
          </cell>
        </row>
        <row r="10565">
          <cell r="N10565">
            <v>-3.4220000000000002</v>
          </cell>
        </row>
        <row r="10566">
          <cell r="N10566">
            <v>-11.122999999999999</v>
          </cell>
        </row>
        <row r="10567">
          <cell r="N10567">
            <v>-2.9380000000000002</v>
          </cell>
        </row>
        <row r="10568">
          <cell r="N10568">
            <v>-122</v>
          </cell>
        </row>
        <row r="10569">
          <cell r="N10569">
            <v>-3.2360000000000002</v>
          </cell>
        </row>
        <row r="10570">
          <cell r="N10570">
            <v>-11.186</v>
          </cell>
        </row>
        <row r="10571">
          <cell r="N10571">
            <v>-3.3849999999999998</v>
          </cell>
        </row>
        <row r="10572">
          <cell r="N10572">
            <v>-2.9750000000000001</v>
          </cell>
        </row>
        <row r="10573">
          <cell r="N10573">
            <v>-8.8650000000000002</v>
          </cell>
        </row>
        <row r="10574">
          <cell r="N10574">
            <v>-2.6030000000000002</v>
          </cell>
        </row>
        <row r="10575">
          <cell r="N10575">
            <v>-8.4849999999999994</v>
          </cell>
        </row>
        <row r="10576">
          <cell r="N10576">
            <v>-148.37799999999999</v>
          </cell>
        </row>
        <row r="10577">
          <cell r="N10577">
            <v>-19.972999999999999</v>
          </cell>
        </row>
        <row r="10578">
          <cell r="N10578">
            <v>-523.79</v>
          </cell>
        </row>
        <row r="10579">
          <cell r="N10579">
            <v>-155.827</v>
          </cell>
        </row>
        <row r="10580">
          <cell r="N10580">
            <v>-5.6769999999999996</v>
          </cell>
        </row>
        <row r="10581">
          <cell r="N10581">
            <v>-5.0259999999999998</v>
          </cell>
        </row>
        <row r="10582">
          <cell r="N10582">
            <v>-3.7559999999999998</v>
          </cell>
        </row>
        <row r="10583">
          <cell r="N10583">
            <v>-2.0169999999999999</v>
          </cell>
        </row>
        <row r="10584">
          <cell r="N10584">
            <v>-9.5500000000000007</v>
          </cell>
        </row>
        <row r="10585">
          <cell r="N10585">
            <v>-2.1579999999999999</v>
          </cell>
        </row>
        <row r="10586">
          <cell r="N10586">
            <v>-15</v>
          </cell>
        </row>
        <row r="10587">
          <cell r="N10587">
            <v>-4.1660000000000004</v>
          </cell>
        </row>
        <row r="10588">
          <cell r="N10588">
            <v>-20.417000000000002</v>
          </cell>
        </row>
        <row r="10589">
          <cell r="N10589">
            <v>-4.4029999999999996</v>
          </cell>
        </row>
        <row r="10590">
          <cell r="N10590">
            <v>-3</v>
          </cell>
        </row>
        <row r="10591">
          <cell r="N10591">
            <v>-4.5650000000000004</v>
          </cell>
        </row>
        <row r="10592">
          <cell r="N10592">
            <v>-1154</v>
          </cell>
        </row>
        <row r="10593">
          <cell r="N10593">
            <v>-1154</v>
          </cell>
        </row>
        <row r="10594">
          <cell r="N10594">
            <v>-1154</v>
          </cell>
        </row>
        <row r="10595">
          <cell r="N10595">
            <v>-3.05</v>
          </cell>
        </row>
        <row r="10596">
          <cell r="N10596">
            <v>-4.7249999999999996</v>
          </cell>
        </row>
        <row r="10597">
          <cell r="N10597">
            <v>-9.74</v>
          </cell>
        </row>
        <row r="10598">
          <cell r="N10598">
            <v>-0.86599999999999999</v>
          </cell>
        </row>
        <row r="10599">
          <cell r="N10599">
            <v>-9.8539999999999992</v>
          </cell>
        </row>
        <row r="10600">
          <cell r="N10600">
            <v>-2.5179999999999998</v>
          </cell>
        </row>
        <row r="10601">
          <cell r="N10601">
            <v>-9.5120000000000005</v>
          </cell>
        </row>
        <row r="10602">
          <cell r="N10602">
            <v>-6.0000000000000001E-3</v>
          </cell>
        </row>
        <row r="10603">
          <cell r="N10603">
            <v>-20.713000000000001</v>
          </cell>
        </row>
        <row r="10604">
          <cell r="N10604">
            <v>-4.6859999999999999</v>
          </cell>
        </row>
        <row r="10605">
          <cell r="N10605">
            <v>-245.27799999999999</v>
          </cell>
        </row>
        <row r="10606">
          <cell r="N10606">
            <v>-3.3849999999999998</v>
          </cell>
        </row>
        <row r="10607">
          <cell r="N10607">
            <v>-150</v>
          </cell>
        </row>
        <row r="10608">
          <cell r="N10608">
            <v>-5.2119999999999997</v>
          </cell>
        </row>
        <row r="10609">
          <cell r="N10609">
            <v>-10.196999999999999</v>
          </cell>
        </row>
        <row r="10610">
          <cell r="N10610">
            <v>-5.8789999999999996</v>
          </cell>
        </row>
        <row r="10611">
          <cell r="N10611">
            <v>-13.715999999999999</v>
          </cell>
        </row>
        <row r="10612">
          <cell r="N10612">
            <v>-8.0000000000000002E-3</v>
          </cell>
        </row>
        <row r="10613">
          <cell r="N10613">
            <v>-3.4220000000000002</v>
          </cell>
        </row>
        <row r="10614">
          <cell r="N10614">
            <v>-10.349</v>
          </cell>
        </row>
        <row r="10615">
          <cell r="N10615">
            <v>-3.8220000000000001</v>
          </cell>
        </row>
        <row r="10616">
          <cell r="N10616">
            <v>-1.9490000000000001</v>
          </cell>
        </row>
        <row r="10617">
          <cell r="N10617">
            <v>-12.962</v>
          </cell>
        </row>
        <row r="10618">
          <cell r="N10618">
            <v>-567.24199999999996</v>
          </cell>
        </row>
        <row r="10619">
          <cell r="N10619">
            <v>-10.273</v>
          </cell>
        </row>
        <row r="10620">
          <cell r="N10620">
            <v>-10.728999999999999</v>
          </cell>
        </row>
        <row r="10621">
          <cell r="N10621">
            <v>-5.0949999999999998</v>
          </cell>
        </row>
        <row r="10622">
          <cell r="N10622">
            <v>-10.539</v>
          </cell>
        </row>
        <row r="10623">
          <cell r="N10623">
            <v>-12</v>
          </cell>
        </row>
        <row r="10624">
          <cell r="N10624">
            <v>-103</v>
          </cell>
        </row>
        <row r="10625">
          <cell r="N10625">
            <v>-11.528</v>
          </cell>
        </row>
        <row r="10626">
          <cell r="N10626">
            <v>-3.1240000000000001</v>
          </cell>
        </row>
        <row r="10627">
          <cell r="N10627">
            <v>-9.702</v>
          </cell>
        </row>
        <row r="10628">
          <cell r="N10628">
            <v>-1.2E-2</v>
          </cell>
        </row>
        <row r="10629">
          <cell r="N10629">
            <v>-2.9380000000000002</v>
          </cell>
        </row>
        <row r="10630">
          <cell r="N10630">
            <v>-10.653</v>
          </cell>
        </row>
        <row r="10631">
          <cell r="N10631">
            <v>-3.6080000000000001</v>
          </cell>
        </row>
        <row r="10632">
          <cell r="N10632">
            <v>-11.43</v>
          </cell>
        </row>
        <row r="10633">
          <cell r="N10633">
            <v>-47</v>
          </cell>
        </row>
        <row r="10634">
          <cell r="N10634">
            <v>-9.6259999999999994</v>
          </cell>
        </row>
        <row r="10635">
          <cell r="N10635">
            <v>-16</v>
          </cell>
        </row>
        <row r="10636">
          <cell r="N10636">
            <v>-277</v>
          </cell>
        </row>
        <row r="10637">
          <cell r="N10637">
            <v>-642.27</v>
          </cell>
        </row>
        <row r="10638">
          <cell r="N10638">
            <v>-277</v>
          </cell>
        </row>
        <row r="10639">
          <cell r="N10639">
            <v>-277</v>
          </cell>
        </row>
        <row r="10640">
          <cell r="N10640">
            <v>-277</v>
          </cell>
        </row>
        <row r="10641">
          <cell r="N10641">
            <v>-529.13099999999997</v>
          </cell>
        </row>
        <row r="10642">
          <cell r="N10642">
            <v>-1.68</v>
          </cell>
        </row>
        <row r="10643">
          <cell r="N10643">
            <v>-302</v>
          </cell>
        </row>
        <row r="10644">
          <cell r="N10644">
            <v>-3.3620000000000001</v>
          </cell>
        </row>
        <row r="10645">
          <cell r="N10645">
            <v>-684</v>
          </cell>
        </row>
        <row r="10646">
          <cell r="N10646">
            <v>-1.8520000000000001</v>
          </cell>
        </row>
        <row r="10647">
          <cell r="N10647">
            <v>-11</v>
          </cell>
        </row>
        <row r="10648">
          <cell r="N10648">
            <v>-519.89700000000005</v>
          </cell>
        </row>
        <row r="10649">
          <cell r="N10649">
            <v>-47</v>
          </cell>
        </row>
        <row r="10650">
          <cell r="N10650">
            <v>-9.4359999999999999</v>
          </cell>
        </row>
        <row r="10651">
          <cell r="N10651">
            <v>-7</v>
          </cell>
        </row>
        <row r="10652">
          <cell r="N10652">
            <v>-10.263999999999999</v>
          </cell>
        </row>
        <row r="10653">
          <cell r="N10653">
            <v>-60</v>
          </cell>
        </row>
        <row r="10654">
          <cell r="N10654">
            <v>-12</v>
          </cell>
        </row>
        <row r="10655">
          <cell r="N10655">
            <v>-3.161</v>
          </cell>
        </row>
        <row r="10656">
          <cell r="N10656">
            <v>-11.911</v>
          </cell>
        </row>
        <row r="10657">
          <cell r="N10657">
            <v>-6.8310000000000004</v>
          </cell>
        </row>
        <row r="10658">
          <cell r="N10658">
            <v>-2.7890000000000001</v>
          </cell>
        </row>
        <row r="10659">
          <cell r="N10659">
            <v>-9.2070000000000007</v>
          </cell>
        </row>
        <row r="10660">
          <cell r="N10660">
            <v>-5.8120000000000003</v>
          </cell>
        </row>
        <row r="10661">
          <cell r="N10661">
            <v>-0.47099999999999997</v>
          </cell>
        </row>
        <row r="10662">
          <cell r="N10662">
            <v>-1.24</v>
          </cell>
        </row>
        <row r="10663">
          <cell r="N10663">
            <v>-15</v>
          </cell>
        </row>
        <row r="10664">
          <cell r="N10664">
            <v>-3.57</v>
          </cell>
        </row>
        <row r="10665">
          <cell r="N10665">
            <v>-8.1039999999999992</v>
          </cell>
        </row>
        <row r="10666">
          <cell r="N10666">
            <v>-10.92</v>
          </cell>
        </row>
        <row r="10667">
          <cell r="N10667">
            <v>-1154</v>
          </cell>
        </row>
        <row r="10668">
          <cell r="N10668">
            <v>-3.794</v>
          </cell>
        </row>
        <row r="10669">
          <cell r="N10669">
            <v>-4.0679999999999996</v>
          </cell>
        </row>
        <row r="10670">
          <cell r="N10670">
            <v>-36</v>
          </cell>
        </row>
        <row r="10671">
          <cell r="N10671">
            <v>-14.164</v>
          </cell>
        </row>
        <row r="10672">
          <cell r="N10672">
            <v>-10.996</v>
          </cell>
        </row>
        <row r="10673">
          <cell r="N10673">
            <v>-1.9790000000000001</v>
          </cell>
        </row>
        <row r="10674">
          <cell r="N10674">
            <v>-9.5879999999999992</v>
          </cell>
        </row>
        <row r="10675">
          <cell r="N10675">
            <v>-10.539</v>
          </cell>
        </row>
        <row r="10676">
          <cell r="N10676">
            <v>-2.4340000000000002</v>
          </cell>
        </row>
        <row r="10677">
          <cell r="N10677">
            <v>-7.952</v>
          </cell>
        </row>
        <row r="10678">
          <cell r="N10678">
            <v>-18</v>
          </cell>
        </row>
        <row r="10679">
          <cell r="N10679">
            <v>-684</v>
          </cell>
        </row>
        <row r="10680">
          <cell r="N10680">
            <v>-11</v>
          </cell>
        </row>
        <row r="10681">
          <cell r="N10681">
            <v>-4.3490000000000002</v>
          </cell>
        </row>
        <row r="10682">
          <cell r="N10682">
            <v>-3.161</v>
          </cell>
        </row>
        <row r="10683">
          <cell r="N10683">
            <v>-18</v>
          </cell>
        </row>
        <row r="10684">
          <cell r="N10684">
            <v>-8.827</v>
          </cell>
        </row>
        <row r="10685">
          <cell r="N10685">
            <v>-4.24</v>
          </cell>
        </row>
        <row r="10686">
          <cell r="N10686">
            <v>-10.981</v>
          </cell>
        </row>
        <row r="10687">
          <cell r="N10687">
            <v>-7.7039999999999997</v>
          </cell>
        </row>
        <row r="10688">
          <cell r="N10688">
            <v>-8.0280000000000005</v>
          </cell>
        </row>
        <row r="10689">
          <cell r="N10689">
            <v>-4.5659999999999998</v>
          </cell>
        </row>
        <row r="10690">
          <cell r="N10690">
            <v>-7</v>
          </cell>
        </row>
        <row r="10691">
          <cell r="N10691">
            <v>-4.6120000000000001</v>
          </cell>
        </row>
        <row r="10692">
          <cell r="N10692">
            <v>-14.757</v>
          </cell>
        </row>
        <row r="10693">
          <cell r="N10693">
            <v>-20.713000000000001</v>
          </cell>
        </row>
        <row r="10694">
          <cell r="N10694">
            <v>-1154</v>
          </cell>
        </row>
        <row r="10695">
          <cell r="N10695">
            <v>-7.9139999999999997</v>
          </cell>
        </row>
        <row r="10696">
          <cell r="N10696">
            <v>-2.698</v>
          </cell>
        </row>
        <row r="10697">
          <cell r="N10697">
            <v>-7.8380000000000001</v>
          </cell>
        </row>
        <row r="10698">
          <cell r="N10698">
            <v>-8.1419999999999995</v>
          </cell>
        </row>
        <row r="10699">
          <cell r="N10699">
            <v>-3.0870000000000002</v>
          </cell>
        </row>
        <row r="10700">
          <cell r="N10700">
            <v>-9.5120000000000005</v>
          </cell>
        </row>
        <row r="10701">
          <cell r="N10701">
            <v>-2.0299999999999998</v>
          </cell>
        </row>
        <row r="10702">
          <cell r="N10702">
            <v>-3.31</v>
          </cell>
        </row>
        <row r="10703">
          <cell r="N10703">
            <v>-4.4560000000000004</v>
          </cell>
        </row>
        <row r="10704">
          <cell r="N10704">
            <v>-277</v>
          </cell>
        </row>
        <row r="10705">
          <cell r="N10705">
            <v>-277</v>
          </cell>
        </row>
        <row r="10706">
          <cell r="N10706">
            <v>-2.7149999999999999</v>
          </cell>
        </row>
        <row r="10707">
          <cell r="N10707">
            <v>-10.958</v>
          </cell>
        </row>
        <row r="10708">
          <cell r="N10708">
            <v>-18</v>
          </cell>
        </row>
        <row r="10709">
          <cell r="N10709">
            <v>-1.7549999999999999</v>
          </cell>
        </row>
        <row r="10710">
          <cell r="N10710">
            <v>-0.78</v>
          </cell>
        </row>
        <row r="10711">
          <cell r="N10711">
            <v>-4.5119999999999996</v>
          </cell>
        </row>
        <row r="10712">
          <cell r="N10712">
            <v>-13.042999999999999</v>
          </cell>
        </row>
        <row r="10713">
          <cell r="N10713">
            <v>-1.7549999999999999</v>
          </cell>
        </row>
        <row r="10714">
          <cell r="N10714">
            <v>-15</v>
          </cell>
        </row>
        <row r="10715">
          <cell r="N10715">
            <v>-684</v>
          </cell>
        </row>
        <row r="10716">
          <cell r="N10716">
            <v>-21</v>
          </cell>
        </row>
        <row r="10717">
          <cell r="N10717">
            <v>-6.0869999999999997</v>
          </cell>
        </row>
        <row r="10718">
          <cell r="N10718">
            <v>-0.127</v>
          </cell>
        </row>
        <row r="10719">
          <cell r="N10719">
            <v>-3.7189999999999999</v>
          </cell>
        </row>
        <row r="10720">
          <cell r="N10720">
            <v>-10.728999999999999</v>
          </cell>
        </row>
        <row r="10721">
          <cell r="N10721">
            <v>-10.539</v>
          </cell>
        </row>
        <row r="10722">
          <cell r="N10722">
            <v>-3.2360000000000002</v>
          </cell>
        </row>
        <row r="10723">
          <cell r="N10723">
            <v>-1.105</v>
          </cell>
        </row>
        <row r="10724">
          <cell r="N10724">
            <v>-530.90300000000002</v>
          </cell>
        </row>
        <row r="10725">
          <cell r="N10725">
            <v>-122.682</v>
          </cell>
        </row>
        <row r="10726">
          <cell r="N10726">
            <v>-14.702</v>
          </cell>
        </row>
        <row r="10727">
          <cell r="N10727">
            <v>-232.054</v>
          </cell>
        </row>
        <row r="10728">
          <cell r="N10728">
            <v>-1.8069999999999999</v>
          </cell>
        </row>
        <row r="10729">
          <cell r="N10729">
            <v>-4.1710000000000003</v>
          </cell>
        </row>
        <row r="10730">
          <cell r="N10730">
            <v>-3.0790000000000002</v>
          </cell>
        </row>
        <row r="10731">
          <cell r="N10731">
            <v>-155.41399999999999</v>
          </cell>
        </row>
        <row r="10732">
          <cell r="N10732">
            <v>-9.702</v>
          </cell>
        </row>
        <row r="10733">
          <cell r="N10733">
            <v>-2.9750000000000001</v>
          </cell>
        </row>
        <row r="10734">
          <cell r="N10734">
            <v>-10.349</v>
          </cell>
        </row>
        <row r="10735">
          <cell r="N10735">
            <v>-0.20100000000000001</v>
          </cell>
        </row>
        <row r="10736">
          <cell r="N10736">
            <v>-9.7780000000000005</v>
          </cell>
        </row>
        <row r="10737">
          <cell r="N10737">
            <v>-10.116</v>
          </cell>
        </row>
        <row r="10738">
          <cell r="N10738">
            <v>-12.997999999999999</v>
          </cell>
        </row>
        <row r="10739">
          <cell r="N10739">
            <v>-4.4130000000000003</v>
          </cell>
        </row>
        <row r="10740">
          <cell r="N10740">
            <v>-2.0310000000000001</v>
          </cell>
        </row>
        <row r="10741">
          <cell r="N10741">
            <v>-12.042</v>
          </cell>
        </row>
        <row r="10742">
          <cell r="N10742">
            <v>-1154</v>
          </cell>
        </row>
        <row r="10743">
          <cell r="N10743">
            <v>-3.6819999999999999</v>
          </cell>
        </row>
        <row r="10744">
          <cell r="N10744">
            <v>-1154</v>
          </cell>
        </row>
        <row r="10745">
          <cell r="N10745">
            <v>-46</v>
          </cell>
        </row>
        <row r="10746">
          <cell r="N10746">
            <v>-12.909000000000001</v>
          </cell>
        </row>
        <row r="10747">
          <cell r="N10747">
            <v>-684</v>
          </cell>
        </row>
        <row r="10748">
          <cell r="N10748">
            <v>-0.32100000000000001</v>
          </cell>
        </row>
        <row r="10749">
          <cell r="N10749">
            <v>-277</v>
          </cell>
        </row>
        <row r="10750">
          <cell r="N10750">
            <v>-277</v>
          </cell>
        </row>
        <row r="10751">
          <cell r="N10751">
            <v>-277</v>
          </cell>
        </row>
        <row r="10752">
          <cell r="N10752">
            <v>-504.78800000000001</v>
          </cell>
        </row>
        <row r="10753">
          <cell r="N10753">
            <v>-584.35</v>
          </cell>
        </row>
        <row r="10754">
          <cell r="N10754">
            <v>-578.50699999999995</v>
          </cell>
        </row>
        <row r="10755">
          <cell r="N10755">
            <v>-9.093</v>
          </cell>
        </row>
        <row r="10756">
          <cell r="N10756">
            <v>-5.782</v>
          </cell>
        </row>
        <row r="10757">
          <cell r="N10757">
            <v>-11.795</v>
          </cell>
        </row>
        <row r="10758">
          <cell r="N10758">
            <v>-10.196999999999999</v>
          </cell>
        </row>
        <row r="10759">
          <cell r="N10759">
            <v>-4.6710000000000003</v>
          </cell>
        </row>
        <row r="10760">
          <cell r="N10760">
            <v>-2.8959999999999999</v>
          </cell>
        </row>
        <row r="10761">
          <cell r="N10761">
            <v>-20.713000000000001</v>
          </cell>
        </row>
        <row r="10762">
          <cell r="N10762">
            <v>-4.7229999999999999</v>
          </cell>
        </row>
        <row r="10763">
          <cell r="N10763">
            <v>-11.034000000000001</v>
          </cell>
        </row>
        <row r="10764">
          <cell r="N10764">
            <v>-3.1240000000000001</v>
          </cell>
        </row>
        <row r="10765">
          <cell r="N10765">
            <v>-9.8160000000000007</v>
          </cell>
        </row>
        <row r="10766">
          <cell r="N10766">
            <v>-10.291</v>
          </cell>
        </row>
        <row r="10767">
          <cell r="N10767">
            <v>-25.934999999999999</v>
          </cell>
        </row>
        <row r="10768">
          <cell r="N10768">
            <v>-11.224</v>
          </cell>
        </row>
        <row r="10769">
          <cell r="N10769">
            <v>-11.375999999999999</v>
          </cell>
        </row>
        <row r="10770">
          <cell r="N10770">
            <v>-1.123</v>
          </cell>
        </row>
        <row r="10771">
          <cell r="N10771">
            <v>-1.837</v>
          </cell>
        </row>
        <row r="10772">
          <cell r="N10772">
            <v>-4.6420000000000003</v>
          </cell>
        </row>
        <row r="10773">
          <cell r="N10773">
            <v>-95</v>
          </cell>
        </row>
        <row r="10774">
          <cell r="N10774">
            <v>-3.9209999999999998</v>
          </cell>
        </row>
        <row r="10775">
          <cell r="N10775">
            <v>-150</v>
          </cell>
        </row>
        <row r="10776">
          <cell r="N10776">
            <v>-10.881</v>
          </cell>
        </row>
        <row r="10777">
          <cell r="N10777">
            <v>-8</v>
          </cell>
        </row>
        <row r="10778">
          <cell r="N10778">
            <v>-2.7149999999999999</v>
          </cell>
        </row>
        <row r="10779">
          <cell r="N10779">
            <v>-10.273</v>
          </cell>
        </row>
        <row r="10780">
          <cell r="N10780">
            <v>-5</v>
          </cell>
        </row>
        <row r="10781">
          <cell r="N10781">
            <v>-4</v>
          </cell>
        </row>
        <row r="10782">
          <cell r="N10782">
            <v>-10.196999999999999</v>
          </cell>
        </row>
        <row r="10783">
          <cell r="N10783">
            <v>-8</v>
          </cell>
        </row>
        <row r="10784">
          <cell r="N10784">
            <v>-4</v>
          </cell>
        </row>
        <row r="10785">
          <cell r="N10785">
            <v>-118</v>
          </cell>
        </row>
        <row r="10786">
          <cell r="N10786">
            <v>-11.224</v>
          </cell>
        </row>
        <row r="10787">
          <cell r="N10787">
            <v>-3.8220000000000001</v>
          </cell>
        </row>
        <row r="10788">
          <cell r="N10788">
            <v>-9.968</v>
          </cell>
        </row>
        <row r="10789">
          <cell r="N10789">
            <v>-3.9049999999999998</v>
          </cell>
        </row>
        <row r="10790">
          <cell r="N10790">
            <v>-2.9750000000000001</v>
          </cell>
        </row>
        <row r="10791">
          <cell r="N10791">
            <v>-59.244</v>
          </cell>
        </row>
        <row r="10792">
          <cell r="N10792">
            <v>-870.125</v>
          </cell>
        </row>
        <row r="10793">
          <cell r="N10793">
            <v>-3.1240000000000001</v>
          </cell>
        </row>
        <row r="10794">
          <cell r="N10794">
            <v>-13</v>
          </cell>
        </row>
        <row r="10795">
          <cell r="N10795">
            <v>-14.029</v>
          </cell>
        </row>
        <row r="10796">
          <cell r="N10796">
            <v>-2.4119999999999999</v>
          </cell>
        </row>
        <row r="10797">
          <cell r="N10797">
            <v>-5</v>
          </cell>
        </row>
        <row r="10798">
          <cell r="N10798">
            <v>-15</v>
          </cell>
        </row>
        <row r="10799">
          <cell r="N10799">
            <v>-103</v>
          </cell>
        </row>
        <row r="10800">
          <cell r="N10800">
            <v>-9.8539999999999992</v>
          </cell>
        </row>
        <row r="10801">
          <cell r="N10801">
            <v>-9.1310000000000002</v>
          </cell>
        </row>
        <row r="10802">
          <cell r="N10802">
            <v>-7.2309999999999999</v>
          </cell>
        </row>
        <row r="10803">
          <cell r="N10803">
            <v>-5</v>
          </cell>
        </row>
        <row r="10804">
          <cell r="N10804">
            <v>-4.5449999999999999</v>
          </cell>
        </row>
        <row r="10805">
          <cell r="N10805">
            <v>-11.429</v>
          </cell>
        </row>
        <row r="10806">
          <cell r="N10806">
            <v>-4.3</v>
          </cell>
        </row>
        <row r="10807">
          <cell r="N10807">
            <v>-2.4049999999999998</v>
          </cell>
        </row>
        <row r="10808">
          <cell r="N10808">
            <v>-1154</v>
          </cell>
        </row>
        <row r="10809">
          <cell r="N10809">
            <v>-1154</v>
          </cell>
        </row>
        <row r="10810">
          <cell r="N10810">
            <v>-684</v>
          </cell>
        </row>
        <row r="10811">
          <cell r="N10811">
            <v>-8.3119999999999994</v>
          </cell>
        </row>
        <row r="10812">
          <cell r="N10812">
            <v>-231</v>
          </cell>
        </row>
        <row r="10813">
          <cell r="N10813">
            <v>-10.444000000000001</v>
          </cell>
        </row>
        <row r="10814">
          <cell r="N10814">
            <v>-18</v>
          </cell>
        </row>
        <row r="10815">
          <cell r="N10815">
            <v>-8.5229999999999997</v>
          </cell>
        </row>
        <row r="10816">
          <cell r="N10816">
            <v>-12</v>
          </cell>
        </row>
        <row r="10817">
          <cell r="N10817">
            <v>-6.0140000000000002</v>
          </cell>
        </row>
        <row r="10818">
          <cell r="N10818">
            <v>-13.087999999999999</v>
          </cell>
        </row>
        <row r="10819">
          <cell r="N10819">
            <v>-684</v>
          </cell>
        </row>
        <row r="10820">
          <cell r="N10820">
            <v>-277</v>
          </cell>
        </row>
        <row r="10821">
          <cell r="N10821">
            <v>-3.7160000000000002</v>
          </cell>
        </row>
        <row r="10822">
          <cell r="N10822">
            <v>-302</v>
          </cell>
        </row>
        <row r="10823">
          <cell r="N10823">
            <v>-4.1660000000000004</v>
          </cell>
        </row>
        <row r="10824">
          <cell r="N10824">
            <v>-0.16700000000000001</v>
          </cell>
        </row>
        <row r="10825">
          <cell r="N10825">
            <v>-3.1240000000000001</v>
          </cell>
        </row>
        <row r="10826">
          <cell r="N10826">
            <v>-277</v>
          </cell>
        </row>
        <row r="10827">
          <cell r="N10827">
            <v>-277</v>
          </cell>
        </row>
        <row r="10828">
          <cell r="N10828">
            <v>-2.9750000000000001</v>
          </cell>
        </row>
        <row r="10829">
          <cell r="N10829">
            <v>-2.827</v>
          </cell>
        </row>
        <row r="10830">
          <cell r="N10830">
            <v>-3.2360000000000002</v>
          </cell>
        </row>
        <row r="10831">
          <cell r="N10831">
            <v>-10.51</v>
          </cell>
        </row>
        <row r="10832">
          <cell r="N10832">
            <v>-302</v>
          </cell>
        </row>
        <row r="10833">
          <cell r="N10833">
            <v>-11.516999999999999</v>
          </cell>
        </row>
        <row r="10834">
          <cell r="N10834">
            <v>-9.984</v>
          </cell>
        </row>
        <row r="10835">
          <cell r="N10835">
            <v>-3.161</v>
          </cell>
        </row>
        <row r="10836">
          <cell r="N10836">
            <v>-3.31</v>
          </cell>
        </row>
        <row r="10837">
          <cell r="N10837">
            <v>-7.99</v>
          </cell>
        </row>
        <row r="10838">
          <cell r="N10838">
            <v>-3.6819999999999999</v>
          </cell>
        </row>
        <row r="10839">
          <cell r="N10839">
            <v>-7.4189999999999996</v>
          </cell>
        </row>
        <row r="10840">
          <cell r="N10840">
            <v>-8.6370000000000005</v>
          </cell>
        </row>
        <row r="10841">
          <cell r="N10841">
            <v>-0.46800000000000003</v>
          </cell>
        </row>
        <row r="10842">
          <cell r="N10842">
            <v>-2E-3</v>
          </cell>
        </row>
        <row r="10843">
          <cell r="N10843">
            <v>-0.98299999999999998</v>
          </cell>
        </row>
        <row r="10844">
          <cell r="N10844">
            <v>-1.748</v>
          </cell>
        </row>
        <row r="10845">
          <cell r="N10845">
            <v>-12.997999999999999</v>
          </cell>
        </row>
        <row r="10846">
          <cell r="N10846">
            <v>-1.9790000000000001</v>
          </cell>
        </row>
        <row r="10847">
          <cell r="N10847">
            <v>-3.6779999999999999</v>
          </cell>
        </row>
        <row r="10848">
          <cell r="N10848">
            <v>-1.8069999999999999</v>
          </cell>
        </row>
        <row r="10849">
          <cell r="N10849">
            <v>-4.8840000000000003</v>
          </cell>
        </row>
        <row r="10850">
          <cell r="N10850">
            <v>-10.958</v>
          </cell>
        </row>
        <row r="10851">
          <cell r="N10851">
            <v>-3.0129999999999999</v>
          </cell>
        </row>
        <row r="10852">
          <cell r="N10852">
            <v>-9.702</v>
          </cell>
        </row>
        <row r="10853">
          <cell r="N10853">
            <v>-9.4149999999999991</v>
          </cell>
        </row>
        <row r="10854">
          <cell r="N10854">
            <v>-514.06299999999999</v>
          </cell>
        </row>
        <row r="10855">
          <cell r="N10855">
            <v>-3.9420000000000002</v>
          </cell>
        </row>
        <row r="10856">
          <cell r="N10856">
            <v>-20.786999999999999</v>
          </cell>
        </row>
        <row r="10857">
          <cell r="N10857">
            <v>-9.5030000000000001</v>
          </cell>
        </row>
        <row r="10858">
          <cell r="N10858">
            <v>-13.042999999999999</v>
          </cell>
        </row>
        <row r="10859">
          <cell r="N10859">
            <v>-7.3049999999999997</v>
          </cell>
        </row>
        <row r="10860">
          <cell r="N10860">
            <v>-1.792</v>
          </cell>
        </row>
        <row r="10861">
          <cell r="N10861">
            <v>-35.453000000000003</v>
          </cell>
        </row>
        <row r="10862">
          <cell r="N10862">
            <v>-2.915</v>
          </cell>
        </row>
        <row r="10863">
          <cell r="N10863">
            <v>-514.06299999999999</v>
          </cell>
        </row>
        <row r="10864">
          <cell r="N10864">
            <v>-16</v>
          </cell>
        </row>
        <row r="10865">
          <cell r="N10865">
            <v>-1.1779999999999999</v>
          </cell>
        </row>
        <row r="10866">
          <cell r="N10866">
            <v>-16</v>
          </cell>
        </row>
        <row r="10867">
          <cell r="N10867">
            <v>-7</v>
          </cell>
        </row>
        <row r="10868">
          <cell r="N10868">
            <v>-592.05899999999997</v>
          </cell>
        </row>
        <row r="10869">
          <cell r="N10869">
            <v>-587.94100000000003</v>
          </cell>
        </row>
        <row r="10870">
          <cell r="N10870">
            <v>-16</v>
          </cell>
        </row>
        <row r="10871">
          <cell r="N10871">
            <v>-14</v>
          </cell>
        </row>
        <row r="10872">
          <cell r="N10872">
            <v>-14</v>
          </cell>
        </row>
        <row r="10873">
          <cell r="N10873">
            <v>-22</v>
          </cell>
        </row>
        <row r="10874">
          <cell r="N10874">
            <v>-66</v>
          </cell>
        </row>
        <row r="10875">
          <cell r="N10875">
            <v>-18</v>
          </cell>
        </row>
        <row r="10876">
          <cell r="N10876">
            <v>-21</v>
          </cell>
        </row>
        <row r="10877">
          <cell r="N10877">
            <v>-35</v>
          </cell>
        </row>
        <row r="10878">
          <cell r="N10878">
            <v>-7.03</v>
          </cell>
        </row>
        <row r="10879">
          <cell r="N10879">
            <v>-4.97</v>
          </cell>
        </row>
        <row r="10880">
          <cell r="N10880">
            <v>-20.966999999999999</v>
          </cell>
        </row>
        <row r="10881">
          <cell r="N10881">
            <v>-343.61200000000002</v>
          </cell>
        </row>
        <row r="10882">
          <cell r="N10882">
            <v>-3.153</v>
          </cell>
        </row>
        <row r="10883">
          <cell r="N10883">
            <v>-185.6</v>
          </cell>
        </row>
        <row r="10884">
          <cell r="N10884">
            <v>-17.263000000000002</v>
          </cell>
        </row>
        <row r="10885">
          <cell r="N10885">
            <v>-4.359</v>
          </cell>
        </row>
        <row r="10886">
          <cell r="N10886">
            <v>-2.0419999999999998</v>
          </cell>
        </row>
        <row r="10887">
          <cell r="N10887">
            <v>-15</v>
          </cell>
        </row>
        <row r="10888">
          <cell r="N10888">
            <v>-62.5</v>
          </cell>
        </row>
        <row r="10889">
          <cell r="N10889">
            <v>-22.298999999999999</v>
          </cell>
        </row>
        <row r="10890">
          <cell r="N10890">
            <v>-97.700999999999993</v>
          </cell>
        </row>
        <row r="10891">
          <cell r="N10891">
            <v>-10.8</v>
          </cell>
        </row>
        <row r="10892">
          <cell r="N10892">
            <v>-5</v>
          </cell>
        </row>
        <row r="10893">
          <cell r="N10893">
            <v>-18</v>
          </cell>
        </row>
        <row r="10894">
          <cell r="N10894">
            <v>-12</v>
          </cell>
        </row>
        <row r="10895">
          <cell r="N10895">
            <v>-2</v>
          </cell>
        </row>
        <row r="10896">
          <cell r="N10896">
            <v>-16</v>
          </cell>
        </row>
        <row r="10897">
          <cell r="N10897">
            <v>-17</v>
          </cell>
        </row>
        <row r="10898">
          <cell r="N10898">
            <v>-15</v>
          </cell>
        </row>
        <row r="10899">
          <cell r="N10899">
            <v>-267.05</v>
          </cell>
        </row>
        <row r="10900">
          <cell r="N10900">
            <v>-25.6</v>
          </cell>
        </row>
        <row r="10901">
          <cell r="N10901">
            <v>-73.7</v>
          </cell>
        </row>
        <row r="10902">
          <cell r="N10902">
            <v>-150.518</v>
          </cell>
        </row>
        <row r="10903">
          <cell r="N10903">
            <v>-31.908000000000001</v>
          </cell>
        </row>
        <row r="10904">
          <cell r="N10904">
            <v>-36.561</v>
          </cell>
        </row>
        <row r="10905">
          <cell r="N10905">
            <v>-14.167999999999999</v>
          </cell>
        </row>
        <row r="10906">
          <cell r="N10906">
            <v>-98.382000000000005</v>
          </cell>
        </row>
        <row r="10907">
          <cell r="N10907">
            <v>-38.200000000000003</v>
          </cell>
        </row>
        <row r="10908">
          <cell r="N10908">
            <v>-110.85</v>
          </cell>
        </row>
        <row r="10909">
          <cell r="N10909">
            <v>-38.35</v>
          </cell>
        </row>
        <row r="10910">
          <cell r="N10910">
            <v>-89.4</v>
          </cell>
        </row>
        <row r="10911">
          <cell r="N10911">
            <v>-80.150000000000006</v>
          </cell>
        </row>
        <row r="10912">
          <cell r="N10912">
            <v>-81.400000000000006</v>
          </cell>
        </row>
        <row r="10913">
          <cell r="N10913">
            <v>-121.35</v>
          </cell>
        </row>
        <row r="10914">
          <cell r="N10914">
            <v>-53</v>
          </cell>
        </row>
        <row r="10915">
          <cell r="N10915">
            <v>-47.65</v>
          </cell>
        </row>
        <row r="10916">
          <cell r="N10916">
            <v>-29</v>
          </cell>
        </row>
        <row r="10917">
          <cell r="N10917">
            <v>-61</v>
          </cell>
        </row>
        <row r="10918">
          <cell r="N10918">
            <v>-564.09799999999996</v>
          </cell>
        </row>
        <row r="10919">
          <cell r="N10919">
            <v>-300</v>
          </cell>
        </row>
        <row r="10920">
          <cell r="N10920">
            <v>-401.47</v>
          </cell>
        </row>
        <row r="10921">
          <cell r="N10921">
            <v>-403.28800000000001</v>
          </cell>
        </row>
        <row r="10922">
          <cell r="N10922">
            <v>-100</v>
          </cell>
        </row>
        <row r="10923">
          <cell r="N10923">
            <v>-41.759</v>
          </cell>
        </row>
        <row r="10924">
          <cell r="N10924">
            <v>-130.87899999999999</v>
          </cell>
        </row>
        <row r="10925">
          <cell r="N10925">
            <v>-556.34400000000005</v>
          </cell>
        </row>
        <row r="10926">
          <cell r="N10926">
            <v>-277</v>
          </cell>
        </row>
        <row r="10927">
          <cell r="N10927">
            <v>-556.34400000000005</v>
          </cell>
        </row>
        <row r="10928">
          <cell r="N10928">
            <v>-277</v>
          </cell>
        </row>
        <row r="10929">
          <cell r="N10929">
            <v>-46.48</v>
          </cell>
        </row>
        <row r="10930">
          <cell r="N10930">
            <v>-592.37300000000005</v>
          </cell>
        </row>
        <row r="10931">
          <cell r="N10931">
            <v>-294.95699999999999</v>
          </cell>
        </row>
        <row r="10932">
          <cell r="N10932">
            <v>-986.16800000000001</v>
          </cell>
        </row>
        <row r="10933">
          <cell r="N10933">
            <v>-294.95800000000003</v>
          </cell>
        </row>
        <row r="10934">
          <cell r="N10934">
            <v>-277</v>
          </cell>
        </row>
        <row r="10935">
          <cell r="N10935">
            <v>-249.52600000000001</v>
          </cell>
        </row>
        <row r="10936">
          <cell r="N10936">
            <v>-543.12099999999998</v>
          </cell>
        </row>
        <row r="10937">
          <cell r="N10937">
            <v>-9.173</v>
          </cell>
        </row>
        <row r="10938">
          <cell r="N10938">
            <v>-9.9559999999999995</v>
          </cell>
        </row>
        <row r="10939">
          <cell r="N10939">
            <v>-8.3629999999999995</v>
          </cell>
        </row>
        <row r="10940">
          <cell r="N10940">
            <v>-79.748000000000005</v>
          </cell>
        </row>
        <row r="10941">
          <cell r="N10941">
            <v>-2</v>
          </cell>
        </row>
        <row r="10942">
          <cell r="N10942">
            <v>-9</v>
          </cell>
        </row>
        <row r="10943">
          <cell r="N10943">
            <v>-2</v>
          </cell>
        </row>
        <row r="10944">
          <cell r="N10944">
            <v>-2</v>
          </cell>
        </row>
        <row r="10945">
          <cell r="N10945">
            <v>-1</v>
          </cell>
        </row>
        <row r="10946">
          <cell r="N10946">
            <v>-12</v>
          </cell>
        </row>
        <row r="10947">
          <cell r="N10947">
            <v>-11</v>
          </cell>
        </row>
        <row r="10948">
          <cell r="N10948">
            <v>-34.649000000000001</v>
          </cell>
        </row>
        <row r="10949">
          <cell r="N10949">
            <v>-277</v>
          </cell>
        </row>
        <row r="10950">
          <cell r="N10950">
            <v>-215</v>
          </cell>
        </row>
        <row r="10951">
          <cell r="N10951">
            <v>-277</v>
          </cell>
        </row>
        <row r="10952">
          <cell r="N10952">
            <v>-232.298</v>
          </cell>
        </row>
        <row r="10953">
          <cell r="N10953">
            <v>-415.30700000000002</v>
          </cell>
        </row>
        <row r="10954">
          <cell r="N10954">
            <v>-591.56399999999996</v>
          </cell>
        </row>
        <row r="10955">
          <cell r="N10955">
            <v>-298</v>
          </cell>
        </row>
        <row r="10956">
          <cell r="N10956">
            <v>-20</v>
          </cell>
        </row>
        <row r="10957">
          <cell r="N10957">
            <v>-4.8</v>
          </cell>
        </row>
        <row r="10958">
          <cell r="N10958">
            <v>-0.63100000000000001</v>
          </cell>
        </row>
        <row r="10959">
          <cell r="N10959">
            <v>-6.3689999999999998</v>
          </cell>
        </row>
        <row r="10960">
          <cell r="N10960">
            <v>-41.4</v>
          </cell>
        </row>
        <row r="10961">
          <cell r="N10961">
            <v>-14.35</v>
          </cell>
        </row>
        <row r="10962">
          <cell r="N10962">
            <v>-31.8</v>
          </cell>
        </row>
        <row r="10963">
          <cell r="N10963">
            <v>-13.8</v>
          </cell>
        </row>
        <row r="10964">
          <cell r="N10964">
            <v>-49.997</v>
          </cell>
        </row>
        <row r="10965">
          <cell r="N10965">
            <v>-37.927</v>
          </cell>
        </row>
        <row r="10966">
          <cell r="N10966">
            <v>-21.972999999999999</v>
          </cell>
        </row>
        <row r="10967">
          <cell r="N10967">
            <v>-17.3</v>
          </cell>
        </row>
        <row r="10968">
          <cell r="N10968">
            <v>-59.296999999999997</v>
          </cell>
        </row>
        <row r="10969">
          <cell r="N10969">
            <v>-16.472999999999999</v>
          </cell>
        </row>
        <row r="10970">
          <cell r="N10970">
            <v>-37.75</v>
          </cell>
        </row>
        <row r="10971">
          <cell r="N10971">
            <v>17.818999999999999</v>
          </cell>
        </row>
        <row r="10972">
          <cell r="N10972">
            <v>14.859</v>
          </cell>
        </row>
        <row r="10973">
          <cell r="N10973">
            <v>100</v>
          </cell>
        </row>
        <row r="10974">
          <cell r="N10974">
            <v>31.337</v>
          </cell>
        </row>
        <row r="10975">
          <cell r="N10975">
            <v>8.673</v>
          </cell>
        </row>
        <row r="10976">
          <cell r="N10976">
            <v>21.411999999999999</v>
          </cell>
        </row>
        <row r="10977">
          <cell r="N10977">
            <v>1.1819999999999999</v>
          </cell>
        </row>
        <row r="10978">
          <cell r="N10978">
            <v>1204.136</v>
          </cell>
        </row>
        <row r="10979">
          <cell r="N10979">
            <v>162</v>
          </cell>
        </row>
        <row r="10980">
          <cell r="N10980">
            <v>11.734999999999999</v>
          </cell>
        </row>
        <row r="10981">
          <cell r="N10981">
            <v>29.245999999999999</v>
          </cell>
        </row>
        <row r="10982">
          <cell r="N10982">
            <v>38.655999999999999</v>
          </cell>
        </row>
        <row r="10983">
          <cell r="N10983">
            <v>41.753999999999998</v>
          </cell>
        </row>
        <row r="10984">
          <cell r="N10984">
            <v>0.46899999999999997</v>
          </cell>
        </row>
        <row r="10985">
          <cell r="N10985">
            <v>10.090999999999999</v>
          </cell>
        </row>
        <row r="10986">
          <cell r="N10986">
            <v>26.524999999999999</v>
          </cell>
        </row>
        <row r="10987">
          <cell r="N10987">
            <v>1.81</v>
          </cell>
        </row>
        <row r="10988">
          <cell r="N10988">
            <v>13.727</v>
          </cell>
        </row>
        <row r="10989">
          <cell r="N10989">
            <v>28.751999999999999</v>
          </cell>
        </row>
        <row r="10990">
          <cell r="N10990">
            <v>10.467000000000001</v>
          </cell>
        </row>
        <row r="10991">
          <cell r="N10991">
            <v>30.283999999999999</v>
          </cell>
        </row>
        <row r="10992">
          <cell r="N10992">
            <v>2.4820000000000002</v>
          </cell>
        </row>
        <row r="10993">
          <cell r="N10993">
            <v>11.356</v>
          </cell>
        </row>
        <row r="10994">
          <cell r="N10994">
            <v>31.652999999999999</v>
          </cell>
        </row>
        <row r="10995">
          <cell r="N10995">
            <v>34.162999999999997</v>
          </cell>
        </row>
        <row r="10996">
          <cell r="N10996">
            <v>34.302</v>
          </cell>
        </row>
        <row r="10997">
          <cell r="N10997">
            <v>24.245999999999999</v>
          </cell>
        </row>
        <row r="10998">
          <cell r="N10998">
            <v>14.629</v>
          </cell>
        </row>
        <row r="10999">
          <cell r="N10999">
            <v>2475.3000000000002</v>
          </cell>
        </row>
        <row r="11000">
          <cell r="N11000">
            <v>732</v>
          </cell>
        </row>
        <row r="11001">
          <cell r="N11001">
            <v>732</v>
          </cell>
        </row>
        <row r="11002">
          <cell r="N11002">
            <v>85</v>
          </cell>
        </row>
        <row r="11003">
          <cell r="N11003">
            <v>100</v>
          </cell>
        </row>
        <row r="11004">
          <cell r="N11004">
            <v>350</v>
          </cell>
        </row>
        <row r="11005">
          <cell r="N11005">
            <v>1.44</v>
          </cell>
        </row>
        <row r="11006">
          <cell r="N11006">
            <v>17.891999999999999</v>
          </cell>
        </row>
        <row r="11007">
          <cell r="N11007">
            <v>3.0619999999999998</v>
          </cell>
        </row>
        <row r="11008">
          <cell r="N11008">
            <v>8.9969999999999999</v>
          </cell>
        </row>
        <row r="11009">
          <cell r="N11009">
            <v>1.2789999999999999</v>
          </cell>
        </row>
        <row r="11010">
          <cell r="N11010">
            <v>0.16900000000000001</v>
          </cell>
        </row>
        <row r="11011">
          <cell r="N11011">
            <v>9.6739999999999995</v>
          </cell>
        </row>
        <row r="11012">
          <cell r="N11012">
            <v>5.5949999999999998</v>
          </cell>
        </row>
        <row r="11013">
          <cell r="N11013">
            <v>9.8369999999999997</v>
          </cell>
        </row>
        <row r="11014">
          <cell r="N11014">
            <v>60</v>
          </cell>
        </row>
        <row r="11015">
          <cell r="N11015">
            <v>12</v>
          </cell>
        </row>
        <row r="11016">
          <cell r="N11016">
            <v>13.701000000000001</v>
          </cell>
        </row>
        <row r="11017">
          <cell r="N11017">
            <v>14.430999999999999</v>
          </cell>
        </row>
        <row r="11018">
          <cell r="N11018">
            <v>24.869</v>
          </cell>
        </row>
        <row r="11019">
          <cell r="N11019">
            <v>4.0000000000000001E-3</v>
          </cell>
        </row>
        <row r="11020">
          <cell r="N11020">
            <v>6.0000000000000001E-3</v>
          </cell>
        </row>
        <row r="11021">
          <cell r="N11021">
            <v>8.9999999999999993E-3</v>
          </cell>
        </row>
        <row r="11022">
          <cell r="N11022">
            <v>8.9999999999999993E-3</v>
          </cell>
        </row>
        <row r="11023">
          <cell r="N11023">
            <v>4.0000000000000001E-3</v>
          </cell>
        </row>
        <row r="11024">
          <cell r="N11024">
            <v>0.01</v>
          </cell>
        </row>
        <row r="11025">
          <cell r="N11025">
            <v>5.0000000000000001E-3</v>
          </cell>
        </row>
        <row r="11026">
          <cell r="N11026">
            <v>1E-3</v>
          </cell>
        </row>
        <row r="11027">
          <cell r="N11027">
            <v>231</v>
          </cell>
        </row>
        <row r="11028">
          <cell r="N11028">
            <v>231</v>
          </cell>
        </row>
        <row r="11029">
          <cell r="N11029">
            <v>100</v>
          </cell>
        </row>
        <row r="11030">
          <cell r="N11030">
            <v>33</v>
          </cell>
        </row>
        <row r="11031">
          <cell r="N11031">
            <v>684</v>
          </cell>
        </row>
        <row r="11032">
          <cell r="N11032">
            <v>3.1989999999999998</v>
          </cell>
        </row>
        <row r="11033">
          <cell r="N11033">
            <v>3500</v>
          </cell>
        </row>
        <row r="11034">
          <cell r="N11034">
            <v>277</v>
          </cell>
        </row>
        <row r="11035">
          <cell r="N11035">
            <v>1154</v>
          </cell>
        </row>
        <row r="11036">
          <cell r="N11036">
            <v>100</v>
          </cell>
        </row>
        <row r="11037">
          <cell r="N11037">
            <v>3.1579999999999999</v>
          </cell>
        </row>
        <row r="11038">
          <cell r="N11038">
            <v>9.5500000000000007</v>
          </cell>
        </row>
        <row r="11039">
          <cell r="N11039">
            <v>1154</v>
          </cell>
        </row>
        <row r="11040">
          <cell r="N11040">
            <v>1154</v>
          </cell>
        </row>
        <row r="11041">
          <cell r="N11041">
            <v>4.4130000000000003</v>
          </cell>
        </row>
        <row r="11042">
          <cell r="N11042">
            <v>5940</v>
          </cell>
        </row>
        <row r="11043">
          <cell r="N11043">
            <v>2.0310000000000001</v>
          </cell>
        </row>
      </sheetData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Assumptions"/>
      <sheetName val="2.Profit Reco from Version V"/>
      <sheetName val="3.P&amp;L_Comp_F06&amp;F07"/>
      <sheetName val="4.Qtrly P&amp;L Reduced Volume"/>
      <sheetName val="5.Qtrly P&amp;L Full Volume"/>
      <sheetName val="6.Yarn Reqmt_Full Volume"/>
      <sheetName val="7Yarn Reqmt_Reduced Volume"/>
      <sheetName val="3.Activiy Cost"/>
      <sheetName val="8 Monthly Sales"/>
      <sheetName val="9 Sales Price in $"/>
      <sheetName val="8.Buyerwise Contribution"/>
      <sheetName val="9.Product Profitability"/>
      <sheetName val="10Yarn Rates"/>
      <sheetName val="11Yarn Recovery"/>
      <sheetName val="12 P&amp;L_F07 old"/>
      <sheetName val="WGSR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  <sheetName val="Capacity"/>
      <sheetName val="9 Sales Price in $"/>
      <sheetName val="Fixed Cos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Sheet1"/>
      <sheetName val="Working"/>
      <sheetName val="debt schedule"/>
      <sheetName val="Excise on RM"/>
    </sheetNames>
    <sheetDataSet>
      <sheetData sheetId="0"/>
      <sheetData sheetId="1"/>
      <sheetData sheetId="2">
        <row r="4">
          <cell r="AB4" t="str">
            <v>Key3</v>
          </cell>
        </row>
      </sheetData>
      <sheetData sheetId="3">
        <row r="4">
          <cell r="AB4" t="str">
            <v>Key3</v>
          </cell>
        </row>
      </sheetData>
      <sheetData sheetId="4"/>
      <sheetData sheetId="5" refreshError="1">
        <row r="4">
          <cell r="K4" t="str">
            <v>Key -3</v>
          </cell>
        </row>
        <row r="109">
          <cell r="K109" t="str">
            <v>ExportTargetWaverlyUSABath76x142L</v>
          </cell>
          <cell r="L109">
            <v>0</v>
          </cell>
          <cell r="M109">
            <v>2.5000000000000001E-3</v>
          </cell>
          <cell r="N109">
            <v>6.5000000000000002E-2</v>
          </cell>
          <cell r="O109">
            <v>1.4999999999999999E-2</v>
          </cell>
          <cell r="Q109">
            <v>8.2500000000000004E-2</v>
          </cell>
          <cell r="R109">
            <v>0.91749999999999998</v>
          </cell>
        </row>
        <row r="110">
          <cell r="K110" t="str">
            <v>ExportTargetWaverlyUSABath76x142M</v>
          </cell>
          <cell r="L110">
            <v>0</v>
          </cell>
          <cell r="M110">
            <v>2.5000000000000001E-3</v>
          </cell>
          <cell r="N110">
            <v>6.5000000000000002E-2</v>
          </cell>
          <cell r="O110">
            <v>1.4999999999999999E-2</v>
          </cell>
          <cell r="Q110">
            <v>8.2500000000000004E-2</v>
          </cell>
          <cell r="R110">
            <v>0.91749999999999998</v>
          </cell>
        </row>
        <row r="111">
          <cell r="K111" t="str">
            <v>ExportTargetWaverlyUSABath76x142D</v>
          </cell>
          <cell r="L111">
            <v>0</v>
          </cell>
          <cell r="M111">
            <v>2.5000000000000001E-3</v>
          </cell>
          <cell r="N111">
            <v>6.5000000000000002E-2</v>
          </cell>
          <cell r="O111">
            <v>1.4999999999999999E-2</v>
          </cell>
          <cell r="Q111">
            <v>8.2500000000000004E-2</v>
          </cell>
          <cell r="R111">
            <v>0.91749999999999998</v>
          </cell>
        </row>
        <row r="112">
          <cell r="K112" t="str">
            <v>ExportTargetWaverlyUSAHand41x76L</v>
          </cell>
          <cell r="L112">
            <v>0</v>
          </cell>
          <cell r="M112">
            <v>2.5000000000000001E-3</v>
          </cell>
          <cell r="N112">
            <v>6.5000000000000002E-2</v>
          </cell>
          <cell r="O112">
            <v>1.4999999999999999E-2</v>
          </cell>
          <cell r="Q112">
            <v>8.2500000000000004E-2</v>
          </cell>
          <cell r="R112">
            <v>0.91749999999999998</v>
          </cell>
        </row>
        <row r="113">
          <cell r="K113" t="str">
            <v>ExportTargetWaverlyUSAHand41x76M</v>
          </cell>
          <cell r="L113">
            <v>0</v>
          </cell>
          <cell r="M113">
            <v>2.5000000000000001E-3</v>
          </cell>
          <cell r="N113">
            <v>6.5000000000000002E-2</v>
          </cell>
          <cell r="O113">
            <v>1.4999999999999999E-2</v>
          </cell>
          <cell r="Q113">
            <v>8.2500000000000004E-2</v>
          </cell>
          <cell r="R113">
            <v>0.91749999999999998</v>
          </cell>
        </row>
        <row r="114">
          <cell r="K114" t="str">
            <v>ExportTargetWaverlyUSAHand41x76D</v>
          </cell>
          <cell r="L114">
            <v>0</v>
          </cell>
          <cell r="M114">
            <v>2.5000000000000001E-3</v>
          </cell>
          <cell r="N114">
            <v>6.5000000000000002E-2</v>
          </cell>
          <cell r="O114">
            <v>1.4999999999999999E-2</v>
          </cell>
          <cell r="Q114">
            <v>8.2500000000000004E-2</v>
          </cell>
          <cell r="R114">
            <v>0.91749999999999998</v>
          </cell>
        </row>
        <row r="115">
          <cell r="K115" t="str">
            <v>ExportTargetWaverlyUSAWash30x30L</v>
          </cell>
          <cell r="L115">
            <v>0</v>
          </cell>
          <cell r="M115">
            <v>2.5000000000000001E-3</v>
          </cell>
          <cell r="N115">
            <v>6.5000000000000002E-2</v>
          </cell>
          <cell r="O115">
            <v>1.4999999999999999E-2</v>
          </cell>
          <cell r="Q115">
            <v>8.2500000000000004E-2</v>
          </cell>
          <cell r="R115">
            <v>0.91749999999999998</v>
          </cell>
        </row>
        <row r="116">
          <cell r="K116" t="str">
            <v>ExportTargetWaverlyUSAWash30x30M</v>
          </cell>
          <cell r="L116">
            <v>0</v>
          </cell>
          <cell r="M116">
            <v>2.5000000000000001E-3</v>
          </cell>
          <cell r="N116">
            <v>6.5000000000000002E-2</v>
          </cell>
          <cell r="O116">
            <v>1.4999999999999999E-2</v>
          </cell>
          <cell r="Q116">
            <v>8.2500000000000004E-2</v>
          </cell>
          <cell r="R116">
            <v>0.91749999999999998</v>
          </cell>
        </row>
        <row r="117">
          <cell r="K117" t="str">
            <v>ExportTargetWaverlyUSAWash30x30D</v>
          </cell>
          <cell r="L117">
            <v>0</v>
          </cell>
          <cell r="M117">
            <v>2.5000000000000001E-3</v>
          </cell>
          <cell r="N117">
            <v>6.5000000000000002E-2</v>
          </cell>
          <cell r="O117">
            <v>1.4999999999999999E-2</v>
          </cell>
          <cell r="Q117">
            <v>8.2500000000000004E-2</v>
          </cell>
          <cell r="R117">
            <v>0.91749999999999998</v>
          </cell>
        </row>
        <row r="118">
          <cell r="K118" t="str">
            <v>ExportWalmartHome TrendsUSABath76x132L</v>
          </cell>
          <cell r="L118">
            <v>0</v>
          </cell>
          <cell r="M118">
            <v>2.5000000000000001E-3</v>
          </cell>
          <cell r="N118">
            <v>6.5000000000000002E-2</v>
          </cell>
          <cell r="O118">
            <v>1.4999999999999999E-2</v>
          </cell>
          <cell r="Q118">
            <v>8.2500000000000004E-2</v>
          </cell>
          <cell r="R118">
            <v>0.91749999999999998</v>
          </cell>
        </row>
        <row r="119">
          <cell r="K119" t="str">
            <v>ExportWalmartHome TrendsUSABath76x132M</v>
          </cell>
          <cell r="L119">
            <v>0</v>
          </cell>
          <cell r="M119">
            <v>2.5000000000000001E-3</v>
          </cell>
          <cell r="N119">
            <v>6.5000000000000002E-2</v>
          </cell>
          <cell r="O119">
            <v>1.4999999999999999E-2</v>
          </cell>
          <cell r="Q119">
            <v>8.2500000000000004E-2</v>
          </cell>
          <cell r="R119">
            <v>0.91749999999999998</v>
          </cell>
        </row>
        <row r="120">
          <cell r="K120" t="str">
            <v>ExportWalmartHome TrendsUSABath76x132D</v>
          </cell>
          <cell r="L120">
            <v>0</v>
          </cell>
          <cell r="M120">
            <v>2.5000000000000001E-3</v>
          </cell>
          <cell r="N120">
            <v>6.5000000000000002E-2</v>
          </cell>
          <cell r="O120">
            <v>1.4999999999999999E-2</v>
          </cell>
          <cell r="Q120">
            <v>8.2500000000000004E-2</v>
          </cell>
          <cell r="R120">
            <v>0.91749999999999998</v>
          </cell>
        </row>
        <row r="121">
          <cell r="K121" t="str">
            <v>ExportWalmartHome TrendsUSAHand41x69L</v>
          </cell>
          <cell r="L121">
            <v>0</v>
          </cell>
          <cell r="M121">
            <v>2.5000000000000001E-3</v>
          </cell>
          <cell r="N121">
            <v>6.5000000000000002E-2</v>
          </cell>
          <cell r="O121">
            <v>1.4999999999999999E-2</v>
          </cell>
          <cell r="Q121">
            <v>8.2500000000000004E-2</v>
          </cell>
          <cell r="R121">
            <v>0.91749999999999998</v>
          </cell>
        </row>
        <row r="122">
          <cell r="K122" t="str">
            <v>ExportWalmartHome TrendsUSAHand41x69M</v>
          </cell>
          <cell r="L122">
            <v>0</v>
          </cell>
          <cell r="M122">
            <v>2.5000000000000001E-3</v>
          </cell>
          <cell r="N122">
            <v>6.5000000000000002E-2</v>
          </cell>
          <cell r="O122">
            <v>1.4999999999999999E-2</v>
          </cell>
          <cell r="Q122">
            <v>8.2500000000000004E-2</v>
          </cell>
          <cell r="R122">
            <v>0.91749999999999998</v>
          </cell>
        </row>
        <row r="123">
          <cell r="K123" t="str">
            <v>ExportWalmartHome TrendsUSAHand41x69D</v>
          </cell>
          <cell r="L123">
            <v>0</v>
          </cell>
          <cell r="M123">
            <v>2.5000000000000001E-3</v>
          </cell>
          <cell r="N123">
            <v>6.5000000000000002E-2</v>
          </cell>
          <cell r="O123">
            <v>1.4999999999999999E-2</v>
          </cell>
          <cell r="Q123">
            <v>8.2500000000000004E-2</v>
          </cell>
          <cell r="R123">
            <v>0.91749999999999998</v>
          </cell>
        </row>
        <row r="124">
          <cell r="K124" t="str">
            <v>ExportWalmartHome TrendsUSAWash33x33L</v>
          </cell>
          <cell r="L124">
            <v>0</v>
          </cell>
          <cell r="M124">
            <v>2.5000000000000001E-3</v>
          </cell>
          <cell r="N124">
            <v>6.5000000000000002E-2</v>
          </cell>
          <cell r="O124">
            <v>1.4999999999999999E-2</v>
          </cell>
          <cell r="Q124">
            <v>8.2500000000000004E-2</v>
          </cell>
          <cell r="R124">
            <v>0.91749999999999998</v>
          </cell>
        </row>
        <row r="125">
          <cell r="K125" t="str">
            <v>ExportWalmartHome TrendsUSAWash33x33M</v>
          </cell>
          <cell r="L125">
            <v>0</v>
          </cell>
          <cell r="M125">
            <v>2.5000000000000001E-3</v>
          </cell>
          <cell r="N125">
            <v>6.5000000000000002E-2</v>
          </cell>
          <cell r="O125">
            <v>1.4999999999999999E-2</v>
          </cell>
          <cell r="Q125">
            <v>8.2500000000000004E-2</v>
          </cell>
          <cell r="R125">
            <v>0.91749999999999998</v>
          </cell>
        </row>
        <row r="126">
          <cell r="K126" t="str">
            <v>ExportWalmartHome TrendsUSAWash33x33D</v>
          </cell>
          <cell r="L126">
            <v>0</v>
          </cell>
          <cell r="M126">
            <v>2.5000000000000001E-3</v>
          </cell>
          <cell r="N126">
            <v>6.5000000000000002E-2</v>
          </cell>
          <cell r="O126">
            <v>1.4999999999999999E-2</v>
          </cell>
          <cell r="Q126">
            <v>8.2500000000000004E-2</v>
          </cell>
          <cell r="R126">
            <v>0.91749999999999998</v>
          </cell>
        </row>
        <row r="127">
          <cell r="K127" t="str">
            <v>ExportMill WorkingCannon LandmarkUSABath76x137L</v>
          </cell>
          <cell r="L127">
            <v>0</v>
          </cell>
          <cell r="M127">
            <v>2.5000000000000001E-3</v>
          </cell>
          <cell r="N127">
            <v>6.5000000000000002E-2</v>
          </cell>
          <cell r="O127">
            <v>1.4999999999999999E-2</v>
          </cell>
          <cell r="Q127">
            <v>8.2500000000000004E-2</v>
          </cell>
          <cell r="R127">
            <v>0.91749999999999998</v>
          </cell>
        </row>
        <row r="128">
          <cell r="K128" t="str">
            <v>ExportMill WorkingCannon LandmarkUSABath76x137M</v>
          </cell>
          <cell r="L128">
            <v>0</v>
          </cell>
          <cell r="M128">
            <v>2.5000000000000001E-3</v>
          </cell>
          <cell r="N128">
            <v>6.5000000000000002E-2</v>
          </cell>
          <cell r="O128">
            <v>1.4999999999999999E-2</v>
          </cell>
          <cell r="Q128">
            <v>8.2500000000000004E-2</v>
          </cell>
          <cell r="R128">
            <v>0.91749999999999998</v>
          </cell>
        </row>
        <row r="129">
          <cell r="K129" t="str">
            <v>ExportMill WorkingCannon LandmarkUSABath76x137D</v>
          </cell>
          <cell r="L129">
            <v>0</v>
          </cell>
          <cell r="M129">
            <v>2.5000000000000001E-3</v>
          </cell>
          <cell r="N129">
            <v>6.5000000000000002E-2</v>
          </cell>
          <cell r="O129">
            <v>1.4999999999999999E-2</v>
          </cell>
          <cell r="Q129">
            <v>8.2500000000000004E-2</v>
          </cell>
          <cell r="R129">
            <v>0.91749999999999998</v>
          </cell>
        </row>
        <row r="130">
          <cell r="K130" t="str">
            <v>ExportMill WorkingCannon LandmarkUSAHand41x76L</v>
          </cell>
          <cell r="L130">
            <v>0</v>
          </cell>
          <cell r="M130">
            <v>2.5000000000000001E-3</v>
          </cell>
          <cell r="N130">
            <v>6.5000000000000002E-2</v>
          </cell>
          <cell r="O130">
            <v>1.4999999999999999E-2</v>
          </cell>
          <cell r="Q130">
            <v>8.2500000000000004E-2</v>
          </cell>
          <cell r="R130">
            <v>0.91749999999999998</v>
          </cell>
        </row>
        <row r="131">
          <cell r="K131" t="str">
            <v>ExportMill WorkingCannon LandmarkUSAHand41x76M</v>
          </cell>
          <cell r="L131">
            <v>0</v>
          </cell>
          <cell r="M131">
            <v>2.5000000000000001E-3</v>
          </cell>
          <cell r="N131">
            <v>6.5000000000000002E-2</v>
          </cell>
          <cell r="O131">
            <v>1.4999999999999999E-2</v>
          </cell>
          <cell r="Q131">
            <v>8.2500000000000004E-2</v>
          </cell>
          <cell r="R131">
            <v>0.91749999999999998</v>
          </cell>
        </row>
        <row r="132">
          <cell r="K132" t="str">
            <v>ExportMill WorkingCannon LandmarkUSAHand41x76D</v>
          </cell>
          <cell r="L132">
            <v>0</v>
          </cell>
          <cell r="M132">
            <v>2.5000000000000001E-3</v>
          </cell>
          <cell r="N132">
            <v>6.5000000000000002E-2</v>
          </cell>
          <cell r="O132">
            <v>1.4999999999999999E-2</v>
          </cell>
          <cell r="Q132">
            <v>8.2500000000000004E-2</v>
          </cell>
          <cell r="R132">
            <v>0.91749999999999998</v>
          </cell>
        </row>
        <row r="133">
          <cell r="K133" t="str">
            <v>ExportMill WorkingCannon LandmarkUSAWash33x33L</v>
          </cell>
          <cell r="L133">
            <v>0</v>
          </cell>
          <cell r="M133">
            <v>2.5000000000000001E-3</v>
          </cell>
          <cell r="N133">
            <v>6.5000000000000002E-2</v>
          </cell>
          <cell r="O133">
            <v>1.4999999999999999E-2</v>
          </cell>
          <cell r="Q133">
            <v>8.2500000000000004E-2</v>
          </cell>
          <cell r="R133">
            <v>0.91749999999999998</v>
          </cell>
        </row>
        <row r="134">
          <cell r="K134" t="str">
            <v>ExportMill WorkingCannon LandmarkUSAWash33x33M</v>
          </cell>
          <cell r="L134">
            <v>0</v>
          </cell>
          <cell r="M134">
            <v>2.5000000000000001E-3</v>
          </cell>
          <cell r="N134">
            <v>6.5000000000000002E-2</v>
          </cell>
          <cell r="O134">
            <v>1.4999999999999999E-2</v>
          </cell>
          <cell r="Q134">
            <v>8.2500000000000004E-2</v>
          </cell>
          <cell r="R134">
            <v>0.91749999999999998</v>
          </cell>
        </row>
        <row r="135">
          <cell r="K135" t="str">
            <v>ExportMill WorkingCannon LandmarkUSAWash33x33D</v>
          </cell>
          <cell r="L135">
            <v>0</v>
          </cell>
          <cell r="M135">
            <v>2.5000000000000001E-3</v>
          </cell>
          <cell r="N135">
            <v>6.5000000000000002E-2</v>
          </cell>
          <cell r="O135">
            <v>1.4999999999999999E-2</v>
          </cell>
          <cell r="Q135">
            <v>8.2500000000000004E-2</v>
          </cell>
          <cell r="R135">
            <v>0.91749999999999998</v>
          </cell>
        </row>
        <row r="136">
          <cell r="K136" t="str">
            <v>ExportMill WorkingCannon MilestoneUSABath76x137L</v>
          </cell>
          <cell r="L136">
            <v>0</v>
          </cell>
          <cell r="M136">
            <v>2.5000000000000001E-3</v>
          </cell>
          <cell r="N136">
            <v>6.5000000000000002E-2</v>
          </cell>
          <cell r="O136">
            <v>1.4999999999999999E-2</v>
          </cell>
          <cell r="Q136">
            <v>8.2500000000000004E-2</v>
          </cell>
          <cell r="R136">
            <v>0.91749999999999998</v>
          </cell>
        </row>
        <row r="137">
          <cell r="K137" t="str">
            <v>ExportMill WorkingCannon MilestoneUSABath76x137M</v>
          </cell>
          <cell r="L137">
            <v>0</v>
          </cell>
          <cell r="M137">
            <v>2.5000000000000001E-3</v>
          </cell>
          <cell r="N137">
            <v>6.5000000000000002E-2</v>
          </cell>
          <cell r="O137">
            <v>1.4999999999999999E-2</v>
          </cell>
          <cell r="Q137">
            <v>8.2500000000000004E-2</v>
          </cell>
          <cell r="R137">
            <v>0.91749999999999998</v>
          </cell>
        </row>
        <row r="138">
          <cell r="K138" t="str">
            <v>ExportMill WorkingCannon MilestoneUSABath76x137D</v>
          </cell>
          <cell r="L138">
            <v>0</v>
          </cell>
          <cell r="M138">
            <v>2.5000000000000001E-3</v>
          </cell>
          <cell r="N138">
            <v>6.5000000000000002E-2</v>
          </cell>
          <cell r="O138">
            <v>1.4999999999999999E-2</v>
          </cell>
          <cell r="Q138">
            <v>8.2500000000000004E-2</v>
          </cell>
          <cell r="R138">
            <v>0.91749999999999998</v>
          </cell>
        </row>
        <row r="139">
          <cell r="K139" t="str">
            <v>ExportMill WorkingCannon MilestoneUSAHand41x76L</v>
          </cell>
          <cell r="L139">
            <v>0</v>
          </cell>
          <cell r="M139">
            <v>2.5000000000000001E-3</v>
          </cell>
          <cell r="N139">
            <v>6.5000000000000002E-2</v>
          </cell>
          <cell r="O139">
            <v>1.4999999999999999E-2</v>
          </cell>
          <cell r="Q139">
            <v>8.2500000000000004E-2</v>
          </cell>
          <cell r="R139">
            <v>0.91749999999999998</v>
          </cell>
        </row>
        <row r="140">
          <cell r="K140" t="str">
            <v>ExportMill WorkingCannon MilestoneUSAHand41x76M</v>
          </cell>
          <cell r="L140">
            <v>0</v>
          </cell>
          <cell r="M140">
            <v>2.5000000000000001E-3</v>
          </cell>
          <cell r="N140">
            <v>6.5000000000000002E-2</v>
          </cell>
          <cell r="O140">
            <v>1.4999999999999999E-2</v>
          </cell>
          <cell r="Q140">
            <v>8.2500000000000004E-2</v>
          </cell>
          <cell r="R140">
            <v>0.91749999999999998</v>
          </cell>
        </row>
        <row r="141">
          <cell r="K141" t="str">
            <v>ExportMill WorkingCannon MilestoneUSAHand41x76D</v>
          </cell>
          <cell r="L141">
            <v>0</v>
          </cell>
          <cell r="M141">
            <v>2.5000000000000001E-3</v>
          </cell>
          <cell r="N141">
            <v>6.5000000000000002E-2</v>
          </cell>
          <cell r="O141">
            <v>1.4999999999999999E-2</v>
          </cell>
          <cell r="Q141">
            <v>8.2500000000000004E-2</v>
          </cell>
          <cell r="R141">
            <v>0.91749999999999998</v>
          </cell>
        </row>
        <row r="142">
          <cell r="K142" t="str">
            <v>ExportMill WorkingCannon MilestoneUSAWash33x33L</v>
          </cell>
          <cell r="L142">
            <v>0</v>
          </cell>
          <cell r="M142">
            <v>2.5000000000000001E-3</v>
          </cell>
          <cell r="N142">
            <v>6.5000000000000002E-2</v>
          </cell>
          <cell r="O142">
            <v>1.4999999999999999E-2</v>
          </cell>
          <cell r="Q142">
            <v>8.2500000000000004E-2</v>
          </cell>
          <cell r="R142">
            <v>0.91749999999999998</v>
          </cell>
        </row>
        <row r="143">
          <cell r="K143" t="str">
            <v>ExportMill WorkingCannon MilestoneUSAWash33x33M</v>
          </cell>
          <cell r="L143">
            <v>0</v>
          </cell>
          <cell r="M143">
            <v>2.5000000000000001E-3</v>
          </cell>
          <cell r="N143">
            <v>6.5000000000000002E-2</v>
          </cell>
          <cell r="O143">
            <v>1.4999999999999999E-2</v>
          </cell>
          <cell r="Q143">
            <v>8.2500000000000004E-2</v>
          </cell>
          <cell r="R143">
            <v>0.91749999999999998</v>
          </cell>
        </row>
        <row r="144">
          <cell r="K144" t="str">
            <v>ExportMill WorkingCannon MilestoneUSAWash33x33D</v>
          </cell>
          <cell r="L144">
            <v>0</v>
          </cell>
          <cell r="M144">
            <v>2.5000000000000001E-3</v>
          </cell>
          <cell r="N144">
            <v>6.5000000000000002E-2</v>
          </cell>
          <cell r="O144">
            <v>1.4999999999999999E-2</v>
          </cell>
          <cell r="Q144">
            <v>8.2500000000000004E-2</v>
          </cell>
          <cell r="R144">
            <v>0.91749999999999998</v>
          </cell>
        </row>
        <row r="145">
          <cell r="K145" t="str">
            <v>ExportWelspun USAEsplamaUSABath76x137L</v>
          </cell>
          <cell r="L145">
            <v>0</v>
          </cell>
          <cell r="M145">
            <v>2.5000000000000001E-3</v>
          </cell>
          <cell r="N145">
            <v>6.5000000000000002E-2</v>
          </cell>
          <cell r="O145">
            <v>1.4999999999999999E-2</v>
          </cell>
          <cell r="Q145">
            <v>8.2500000000000004E-2</v>
          </cell>
          <cell r="R145">
            <v>0.91749999999999998</v>
          </cell>
        </row>
        <row r="146">
          <cell r="K146" t="str">
            <v>ExportWelspun USAEsplamaUSABath76x137M</v>
          </cell>
          <cell r="L146">
            <v>0</v>
          </cell>
          <cell r="M146">
            <v>2.5000000000000001E-3</v>
          </cell>
          <cell r="N146">
            <v>6.5000000000000002E-2</v>
          </cell>
          <cell r="O146">
            <v>1.4999999999999999E-2</v>
          </cell>
          <cell r="Q146">
            <v>8.2500000000000004E-2</v>
          </cell>
          <cell r="R146">
            <v>0.91749999999999998</v>
          </cell>
        </row>
        <row r="147">
          <cell r="K147" t="str">
            <v>ExportWelspun USAEsplamaUSABath76x137D</v>
          </cell>
          <cell r="L147">
            <v>0</v>
          </cell>
          <cell r="M147">
            <v>2.5000000000000001E-3</v>
          </cell>
          <cell r="N147">
            <v>6.5000000000000002E-2</v>
          </cell>
          <cell r="O147">
            <v>1.4999999999999999E-2</v>
          </cell>
          <cell r="Q147">
            <v>8.2500000000000004E-2</v>
          </cell>
          <cell r="R147">
            <v>0.91749999999999998</v>
          </cell>
        </row>
        <row r="148">
          <cell r="K148" t="str">
            <v>ExportWelspun USAEsplamaUSAHand41x71L</v>
          </cell>
          <cell r="L148">
            <v>0</v>
          </cell>
          <cell r="M148">
            <v>2.5000000000000001E-3</v>
          </cell>
          <cell r="N148">
            <v>6.5000000000000002E-2</v>
          </cell>
          <cell r="O148">
            <v>1.4999999999999999E-2</v>
          </cell>
          <cell r="Q148">
            <v>8.2500000000000004E-2</v>
          </cell>
          <cell r="R148">
            <v>0.91749999999999998</v>
          </cell>
        </row>
        <row r="149">
          <cell r="K149" t="str">
            <v>ExportWelspun USAEsplamaUSAHand41x71M</v>
          </cell>
          <cell r="L149">
            <v>0</v>
          </cell>
          <cell r="M149">
            <v>2.5000000000000001E-3</v>
          </cell>
          <cell r="N149">
            <v>6.5000000000000002E-2</v>
          </cell>
          <cell r="O149">
            <v>1.4999999999999999E-2</v>
          </cell>
          <cell r="Q149">
            <v>8.2500000000000004E-2</v>
          </cell>
          <cell r="R149">
            <v>0.91749999999999998</v>
          </cell>
        </row>
        <row r="150">
          <cell r="K150" t="str">
            <v>ExportWelspun USAEsplamaUSAHand41x71D</v>
          </cell>
          <cell r="L150">
            <v>0</v>
          </cell>
          <cell r="M150">
            <v>2.5000000000000001E-3</v>
          </cell>
          <cell r="N150">
            <v>6.5000000000000002E-2</v>
          </cell>
          <cell r="O150">
            <v>1.4999999999999999E-2</v>
          </cell>
          <cell r="Q150">
            <v>8.2500000000000004E-2</v>
          </cell>
          <cell r="R150">
            <v>0.91749999999999998</v>
          </cell>
        </row>
        <row r="151">
          <cell r="K151" t="str">
            <v>ExportWelspun USAEsplamaUSAWash33x33L</v>
          </cell>
          <cell r="L151">
            <v>0</v>
          </cell>
          <cell r="M151">
            <v>2.5000000000000001E-3</v>
          </cell>
          <cell r="N151">
            <v>6.5000000000000002E-2</v>
          </cell>
          <cell r="O151">
            <v>1.4999999999999999E-2</v>
          </cell>
          <cell r="Q151">
            <v>8.2500000000000004E-2</v>
          </cell>
          <cell r="R151">
            <v>0.91749999999999998</v>
          </cell>
        </row>
        <row r="152">
          <cell r="K152" t="str">
            <v>ExportWelspun USAEsplamaUSAWash33x33M</v>
          </cell>
          <cell r="L152">
            <v>0</v>
          </cell>
          <cell r="M152">
            <v>2.5000000000000001E-3</v>
          </cell>
          <cell r="N152">
            <v>6.5000000000000002E-2</v>
          </cell>
          <cell r="O152">
            <v>1.4999999999999999E-2</v>
          </cell>
          <cell r="Q152">
            <v>8.2500000000000004E-2</v>
          </cell>
          <cell r="R152">
            <v>0.91749999999999998</v>
          </cell>
        </row>
        <row r="153">
          <cell r="K153" t="str">
            <v>ExportWelspun USAEsplamaUSAWash33x33D</v>
          </cell>
          <cell r="L153">
            <v>0</v>
          </cell>
          <cell r="M153">
            <v>2.5000000000000001E-3</v>
          </cell>
          <cell r="N153">
            <v>6.5000000000000002E-2</v>
          </cell>
          <cell r="O153">
            <v>1.4999999999999999E-2</v>
          </cell>
          <cell r="Q153">
            <v>8.2500000000000004E-2</v>
          </cell>
          <cell r="R153">
            <v>0.91749999999999998</v>
          </cell>
        </row>
        <row r="154">
          <cell r="K154" t="str">
            <v>ExportLNTManorUSABath76x147L</v>
          </cell>
          <cell r="L154">
            <v>0</v>
          </cell>
          <cell r="M154">
            <v>2.5000000000000001E-3</v>
          </cell>
          <cell r="N154">
            <v>6.5000000000000002E-2</v>
          </cell>
          <cell r="O154">
            <v>1.4999999999999999E-2</v>
          </cell>
          <cell r="Q154">
            <v>8.2500000000000004E-2</v>
          </cell>
          <cell r="R154">
            <v>0.91749999999999998</v>
          </cell>
        </row>
        <row r="155">
          <cell r="K155" t="str">
            <v>ExportLNTManorUSABath76x147M</v>
          </cell>
          <cell r="L155">
            <v>0</v>
          </cell>
          <cell r="M155">
            <v>2.5000000000000001E-3</v>
          </cell>
          <cell r="N155">
            <v>6.5000000000000002E-2</v>
          </cell>
          <cell r="O155">
            <v>1.4999999999999999E-2</v>
          </cell>
          <cell r="Q155">
            <v>8.2500000000000004E-2</v>
          </cell>
          <cell r="R155">
            <v>0.91749999999999998</v>
          </cell>
        </row>
        <row r="156">
          <cell r="K156" t="str">
            <v>ExportLNTManorUSABath76x147D</v>
          </cell>
          <cell r="L156">
            <v>0</v>
          </cell>
          <cell r="M156">
            <v>2.5000000000000001E-3</v>
          </cell>
          <cell r="N156">
            <v>6.5000000000000002E-2</v>
          </cell>
          <cell r="O156">
            <v>1.4999999999999999E-2</v>
          </cell>
          <cell r="Q156">
            <v>8.2500000000000004E-2</v>
          </cell>
          <cell r="R156">
            <v>0.91749999999999998</v>
          </cell>
        </row>
        <row r="157">
          <cell r="K157" t="str">
            <v>ExportLNTManorUSAHand51x76L</v>
          </cell>
          <cell r="L157">
            <v>0</v>
          </cell>
          <cell r="M157">
            <v>2.5000000000000001E-3</v>
          </cell>
          <cell r="N157">
            <v>6.5000000000000002E-2</v>
          </cell>
          <cell r="O157">
            <v>1.4999999999999999E-2</v>
          </cell>
          <cell r="Q157">
            <v>8.2500000000000004E-2</v>
          </cell>
          <cell r="R157">
            <v>0.91749999999999998</v>
          </cell>
        </row>
        <row r="158">
          <cell r="K158" t="str">
            <v>ExportLNTManorUSAHand51x76M</v>
          </cell>
          <cell r="L158">
            <v>0</v>
          </cell>
          <cell r="M158">
            <v>2.5000000000000001E-3</v>
          </cell>
          <cell r="N158">
            <v>6.5000000000000002E-2</v>
          </cell>
          <cell r="O158">
            <v>1.4999999999999999E-2</v>
          </cell>
          <cell r="Q158">
            <v>8.2500000000000004E-2</v>
          </cell>
          <cell r="R158">
            <v>0.91749999999999998</v>
          </cell>
        </row>
        <row r="159">
          <cell r="K159" t="str">
            <v>ExportLNTManorUSAHand51x76D</v>
          </cell>
          <cell r="L159">
            <v>0</v>
          </cell>
          <cell r="M159">
            <v>2.5000000000000001E-3</v>
          </cell>
          <cell r="N159">
            <v>6.5000000000000002E-2</v>
          </cell>
          <cell r="O159">
            <v>1.4999999999999999E-2</v>
          </cell>
          <cell r="Q159">
            <v>8.2500000000000004E-2</v>
          </cell>
          <cell r="R159">
            <v>0.91749999999999998</v>
          </cell>
        </row>
        <row r="160">
          <cell r="K160" t="str">
            <v>ExportLNTManorUSAWash33x33L</v>
          </cell>
          <cell r="L160">
            <v>0</v>
          </cell>
          <cell r="M160">
            <v>2.5000000000000001E-3</v>
          </cell>
          <cell r="N160">
            <v>6.5000000000000002E-2</v>
          </cell>
          <cell r="O160">
            <v>1.4999999999999999E-2</v>
          </cell>
          <cell r="Q160">
            <v>8.2500000000000004E-2</v>
          </cell>
          <cell r="R160">
            <v>0.91749999999999998</v>
          </cell>
        </row>
        <row r="161">
          <cell r="K161" t="str">
            <v>ExportLNTManorUSAWash33x33M</v>
          </cell>
          <cell r="L161">
            <v>0</v>
          </cell>
          <cell r="M161">
            <v>2.5000000000000001E-3</v>
          </cell>
          <cell r="N161">
            <v>6.5000000000000002E-2</v>
          </cell>
          <cell r="O161">
            <v>1.4999999999999999E-2</v>
          </cell>
          <cell r="Q161">
            <v>8.2500000000000004E-2</v>
          </cell>
          <cell r="R161">
            <v>0.91749999999999998</v>
          </cell>
        </row>
        <row r="162">
          <cell r="K162" t="str">
            <v>ExportLNTManorUSAWash33x33D</v>
          </cell>
          <cell r="L162">
            <v>0</v>
          </cell>
          <cell r="M162">
            <v>2.5000000000000001E-3</v>
          </cell>
          <cell r="N162">
            <v>6.5000000000000002E-2</v>
          </cell>
          <cell r="O162">
            <v>1.4999999999999999E-2</v>
          </cell>
          <cell r="Q162">
            <v>8.2500000000000004E-2</v>
          </cell>
          <cell r="R162">
            <v>0.91749999999999998</v>
          </cell>
        </row>
        <row r="163">
          <cell r="K163" t="str">
            <v>ExportLNTNewUSABath76x147L</v>
          </cell>
          <cell r="L163">
            <v>0</v>
          </cell>
          <cell r="M163">
            <v>2.5000000000000001E-3</v>
          </cell>
          <cell r="N163">
            <v>6.5000000000000002E-2</v>
          </cell>
          <cell r="O163">
            <v>1.4999999999999999E-2</v>
          </cell>
          <cell r="Q163">
            <v>8.2500000000000004E-2</v>
          </cell>
          <cell r="R163">
            <v>0.91749999999999998</v>
          </cell>
        </row>
        <row r="164">
          <cell r="K164" t="str">
            <v>ExportLNTNewUSABath76x147M</v>
          </cell>
          <cell r="L164">
            <v>0</v>
          </cell>
          <cell r="M164">
            <v>2.5000000000000001E-3</v>
          </cell>
          <cell r="N164">
            <v>6.5000000000000002E-2</v>
          </cell>
          <cell r="O164">
            <v>1.4999999999999999E-2</v>
          </cell>
          <cell r="Q164">
            <v>8.2500000000000004E-2</v>
          </cell>
          <cell r="R164">
            <v>0.91749999999999998</v>
          </cell>
        </row>
        <row r="165">
          <cell r="K165" t="str">
            <v>ExportLNTNewUSABath76x147D</v>
          </cell>
          <cell r="L165">
            <v>0</v>
          </cell>
          <cell r="M165">
            <v>2.5000000000000001E-3</v>
          </cell>
          <cell r="N165">
            <v>6.5000000000000002E-2</v>
          </cell>
          <cell r="O165">
            <v>1.4999999999999999E-2</v>
          </cell>
          <cell r="Q165">
            <v>8.2500000000000004E-2</v>
          </cell>
          <cell r="R165">
            <v>0.91749999999999998</v>
          </cell>
        </row>
        <row r="166">
          <cell r="K166" t="str">
            <v>ExportLNTNewUSAHand51x76L</v>
          </cell>
          <cell r="L166">
            <v>0</v>
          </cell>
          <cell r="M166">
            <v>2.5000000000000001E-3</v>
          </cell>
          <cell r="N166">
            <v>6.5000000000000002E-2</v>
          </cell>
          <cell r="O166">
            <v>1.4999999999999999E-2</v>
          </cell>
          <cell r="Q166">
            <v>8.2500000000000004E-2</v>
          </cell>
          <cell r="R166">
            <v>0.91749999999999998</v>
          </cell>
        </row>
        <row r="167">
          <cell r="K167" t="str">
            <v>ExportLNTNewUSAHand51x76M</v>
          </cell>
          <cell r="L167">
            <v>0</v>
          </cell>
          <cell r="M167">
            <v>2.5000000000000001E-3</v>
          </cell>
          <cell r="N167">
            <v>6.5000000000000002E-2</v>
          </cell>
          <cell r="O167">
            <v>1.4999999999999999E-2</v>
          </cell>
          <cell r="Q167">
            <v>8.2500000000000004E-2</v>
          </cell>
          <cell r="R167">
            <v>0.91749999999999998</v>
          </cell>
        </row>
        <row r="168">
          <cell r="K168" t="str">
            <v>ExportLNTNewUSAHand51x76D</v>
          </cell>
          <cell r="L168">
            <v>0</v>
          </cell>
          <cell r="M168">
            <v>2.5000000000000001E-3</v>
          </cell>
          <cell r="N168">
            <v>6.5000000000000002E-2</v>
          </cell>
          <cell r="O168">
            <v>1.4999999999999999E-2</v>
          </cell>
          <cell r="Q168">
            <v>8.2500000000000004E-2</v>
          </cell>
          <cell r="R168">
            <v>0.91749999999999998</v>
          </cell>
        </row>
        <row r="169">
          <cell r="K169" t="str">
            <v>ExportLNTNewUSAWash33x33L</v>
          </cell>
          <cell r="L169">
            <v>0</v>
          </cell>
          <cell r="M169">
            <v>2.5000000000000001E-3</v>
          </cell>
          <cell r="N169">
            <v>6.5000000000000002E-2</v>
          </cell>
          <cell r="O169">
            <v>1.4999999999999999E-2</v>
          </cell>
          <cell r="Q169">
            <v>8.2500000000000004E-2</v>
          </cell>
          <cell r="R169">
            <v>0.91749999999999998</v>
          </cell>
        </row>
        <row r="170">
          <cell r="K170" t="str">
            <v>ExportLNTNewUSAWash33x33M</v>
          </cell>
          <cell r="L170">
            <v>0</v>
          </cell>
          <cell r="M170">
            <v>2.5000000000000001E-3</v>
          </cell>
          <cell r="N170">
            <v>6.5000000000000002E-2</v>
          </cell>
          <cell r="O170">
            <v>1.4999999999999999E-2</v>
          </cell>
          <cell r="Q170">
            <v>8.2500000000000004E-2</v>
          </cell>
          <cell r="R170">
            <v>0.91749999999999998</v>
          </cell>
        </row>
        <row r="171">
          <cell r="K171" t="str">
            <v>ExportLNTNewUSAWash33x33D</v>
          </cell>
          <cell r="L171">
            <v>0</v>
          </cell>
          <cell r="M171">
            <v>2.5000000000000001E-3</v>
          </cell>
          <cell r="N171">
            <v>6.5000000000000002E-2</v>
          </cell>
          <cell r="O171">
            <v>1.4999999999999999E-2</v>
          </cell>
          <cell r="Q171">
            <v>8.2500000000000004E-2</v>
          </cell>
          <cell r="R171">
            <v>0.91749999999999998</v>
          </cell>
        </row>
        <row r="172">
          <cell r="K172" t="str">
            <v>ExportKohlsBig One StripeUSABath76x137L</v>
          </cell>
          <cell r="L172">
            <v>0</v>
          </cell>
          <cell r="M172">
            <v>2.5000000000000001E-3</v>
          </cell>
          <cell r="N172">
            <v>6.5000000000000002E-2</v>
          </cell>
          <cell r="O172">
            <v>1.4999999999999999E-2</v>
          </cell>
          <cell r="Q172">
            <v>8.2500000000000004E-2</v>
          </cell>
          <cell r="R172">
            <v>0.91749999999999998</v>
          </cell>
        </row>
        <row r="173">
          <cell r="K173" t="str">
            <v>ExportKohlsBig One StripeUSABath76x137M</v>
          </cell>
          <cell r="L173">
            <v>0</v>
          </cell>
          <cell r="M173">
            <v>2.5000000000000001E-3</v>
          </cell>
          <cell r="N173">
            <v>6.5000000000000002E-2</v>
          </cell>
          <cell r="O173">
            <v>1.4999999999999999E-2</v>
          </cell>
          <cell r="Q173">
            <v>8.2500000000000004E-2</v>
          </cell>
          <cell r="R173">
            <v>0.91749999999999998</v>
          </cell>
        </row>
        <row r="174">
          <cell r="K174" t="str">
            <v>ExportKohlsBig One StripeUSABath76x137D</v>
          </cell>
          <cell r="L174">
            <v>0</v>
          </cell>
          <cell r="M174">
            <v>2.5000000000000001E-3</v>
          </cell>
          <cell r="N174">
            <v>6.5000000000000002E-2</v>
          </cell>
          <cell r="O174">
            <v>1.4999999999999999E-2</v>
          </cell>
          <cell r="Q174">
            <v>8.2500000000000004E-2</v>
          </cell>
          <cell r="R174">
            <v>0.91749999999999998</v>
          </cell>
        </row>
        <row r="175">
          <cell r="K175" t="str">
            <v>ExportKohlsBig One StripeUSAHand41x71L</v>
          </cell>
          <cell r="L175">
            <v>0</v>
          </cell>
          <cell r="M175">
            <v>2.5000000000000001E-3</v>
          </cell>
          <cell r="N175">
            <v>6.5000000000000002E-2</v>
          </cell>
          <cell r="O175">
            <v>1.4999999999999999E-2</v>
          </cell>
          <cell r="Q175">
            <v>8.2500000000000004E-2</v>
          </cell>
          <cell r="R175">
            <v>0.91749999999999998</v>
          </cell>
        </row>
        <row r="176">
          <cell r="K176" t="str">
            <v>ExportKohlsBig One StripeUSAHand41x71M</v>
          </cell>
          <cell r="L176">
            <v>0</v>
          </cell>
          <cell r="M176">
            <v>2.5000000000000001E-3</v>
          </cell>
          <cell r="N176">
            <v>6.5000000000000002E-2</v>
          </cell>
          <cell r="O176">
            <v>1.4999999999999999E-2</v>
          </cell>
          <cell r="Q176">
            <v>8.2500000000000004E-2</v>
          </cell>
          <cell r="R176">
            <v>0.91749999999999998</v>
          </cell>
        </row>
        <row r="177">
          <cell r="K177" t="str">
            <v>ExportKohlsBig One StripeUSAHand41x71D</v>
          </cell>
          <cell r="L177">
            <v>0</v>
          </cell>
          <cell r="M177">
            <v>2.5000000000000001E-3</v>
          </cell>
          <cell r="N177">
            <v>6.5000000000000002E-2</v>
          </cell>
          <cell r="O177">
            <v>1.4999999999999999E-2</v>
          </cell>
          <cell r="Q177">
            <v>8.2500000000000004E-2</v>
          </cell>
          <cell r="R177">
            <v>0.91749999999999998</v>
          </cell>
        </row>
        <row r="178">
          <cell r="K178" t="str">
            <v>ExportKohlsBig One StripeUSAWash30x30L</v>
          </cell>
          <cell r="L178">
            <v>0</v>
          </cell>
          <cell r="M178">
            <v>2.5000000000000001E-3</v>
          </cell>
          <cell r="N178">
            <v>6.5000000000000002E-2</v>
          </cell>
          <cell r="O178">
            <v>1.4999999999999999E-2</v>
          </cell>
          <cell r="Q178">
            <v>8.2500000000000004E-2</v>
          </cell>
          <cell r="R178">
            <v>0.91749999999999998</v>
          </cell>
        </row>
        <row r="179">
          <cell r="K179" t="str">
            <v>ExportKohlsBig One StripeUSAWash30x30M</v>
          </cell>
          <cell r="L179">
            <v>0</v>
          </cell>
          <cell r="M179">
            <v>2.5000000000000001E-3</v>
          </cell>
          <cell r="N179">
            <v>6.5000000000000002E-2</v>
          </cell>
          <cell r="O179">
            <v>1.4999999999999999E-2</v>
          </cell>
          <cell r="Q179">
            <v>8.2500000000000004E-2</v>
          </cell>
          <cell r="R179">
            <v>0.91749999999999998</v>
          </cell>
        </row>
        <row r="180">
          <cell r="K180" t="str">
            <v>ExportKohlsBig One StripeUSAWash30x30D</v>
          </cell>
          <cell r="L180">
            <v>0</v>
          </cell>
          <cell r="M180">
            <v>2.5000000000000001E-3</v>
          </cell>
          <cell r="N180">
            <v>6.5000000000000002E-2</v>
          </cell>
          <cell r="O180">
            <v>1.4999999999999999E-2</v>
          </cell>
          <cell r="Q180">
            <v>8.2500000000000004E-2</v>
          </cell>
          <cell r="R180">
            <v>0.91749999999999998</v>
          </cell>
        </row>
        <row r="181">
          <cell r="K181" t="str">
            <v>ExportKohlsBig One SolidUSABath76x137L</v>
          </cell>
          <cell r="L181">
            <v>0</v>
          </cell>
          <cell r="M181">
            <v>2.5000000000000001E-3</v>
          </cell>
          <cell r="N181">
            <v>6.5000000000000002E-2</v>
          </cell>
          <cell r="O181">
            <v>1.4999999999999999E-2</v>
          </cell>
          <cell r="Q181">
            <v>8.2500000000000004E-2</v>
          </cell>
          <cell r="R181">
            <v>0.91749999999999998</v>
          </cell>
        </row>
        <row r="182">
          <cell r="K182" t="str">
            <v>ExportKohlsBig One SolidUSABath76x137M</v>
          </cell>
          <cell r="L182">
            <v>0</v>
          </cell>
          <cell r="M182">
            <v>2.5000000000000001E-3</v>
          </cell>
          <cell r="N182">
            <v>6.5000000000000002E-2</v>
          </cell>
          <cell r="O182">
            <v>1.4999999999999999E-2</v>
          </cell>
          <cell r="Q182">
            <v>8.2500000000000004E-2</v>
          </cell>
          <cell r="R182">
            <v>0.91749999999999998</v>
          </cell>
        </row>
        <row r="183">
          <cell r="K183" t="str">
            <v>ExportKohlsBig One SolidUSABath76x137D</v>
          </cell>
          <cell r="L183">
            <v>0</v>
          </cell>
          <cell r="M183">
            <v>2.5000000000000001E-3</v>
          </cell>
          <cell r="N183">
            <v>6.5000000000000002E-2</v>
          </cell>
          <cell r="O183">
            <v>1.4999999999999999E-2</v>
          </cell>
          <cell r="Q183">
            <v>8.2500000000000004E-2</v>
          </cell>
          <cell r="R183">
            <v>0.91749999999999998</v>
          </cell>
        </row>
        <row r="184">
          <cell r="K184" t="str">
            <v>ExportKohlsBig One SolidUSAHand41x71L</v>
          </cell>
          <cell r="L184">
            <v>0</v>
          </cell>
          <cell r="M184">
            <v>2.5000000000000001E-3</v>
          </cell>
          <cell r="N184">
            <v>6.5000000000000002E-2</v>
          </cell>
          <cell r="O184">
            <v>1.4999999999999999E-2</v>
          </cell>
          <cell r="Q184">
            <v>8.2500000000000004E-2</v>
          </cell>
          <cell r="R184">
            <v>0.91749999999999998</v>
          </cell>
        </row>
        <row r="185">
          <cell r="K185" t="str">
            <v>ExportKohlsBig One SolidUSAHand41x71M</v>
          </cell>
          <cell r="L185">
            <v>0</v>
          </cell>
          <cell r="M185">
            <v>2.5000000000000001E-3</v>
          </cell>
          <cell r="N185">
            <v>6.5000000000000002E-2</v>
          </cell>
          <cell r="O185">
            <v>1.4999999999999999E-2</v>
          </cell>
          <cell r="Q185">
            <v>8.2500000000000004E-2</v>
          </cell>
          <cell r="R185">
            <v>0.91749999999999998</v>
          </cell>
        </row>
        <row r="186">
          <cell r="K186" t="str">
            <v>ExportKohlsBig One SolidUSAHand41x71D</v>
          </cell>
          <cell r="L186">
            <v>0</v>
          </cell>
          <cell r="M186">
            <v>2.5000000000000001E-3</v>
          </cell>
          <cell r="N186">
            <v>6.5000000000000002E-2</v>
          </cell>
          <cell r="O186">
            <v>1.4999999999999999E-2</v>
          </cell>
          <cell r="Q186">
            <v>8.2500000000000004E-2</v>
          </cell>
          <cell r="R186">
            <v>0.91749999999999998</v>
          </cell>
        </row>
        <row r="187">
          <cell r="K187" t="str">
            <v>ExportKohlsBig One SolidUSAWash30x30L</v>
          </cell>
          <cell r="L187">
            <v>0</v>
          </cell>
          <cell r="M187">
            <v>2.5000000000000001E-3</v>
          </cell>
          <cell r="N187">
            <v>6.5000000000000002E-2</v>
          </cell>
          <cell r="O187">
            <v>1.4999999999999999E-2</v>
          </cell>
          <cell r="Q187">
            <v>8.2500000000000004E-2</v>
          </cell>
          <cell r="R187">
            <v>0.91749999999999998</v>
          </cell>
        </row>
        <row r="188">
          <cell r="K188" t="str">
            <v>ExportKohlsBig One SolidUSAWash30x30M</v>
          </cell>
          <cell r="L188">
            <v>0</v>
          </cell>
          <cell r="M188">
            <v>2.5000000000000001E-3</v>
          </cell>
          <cell r="N188">
            <v>6.5000000000000002E-2</v>
          </cell>
          <cell r="O188">
            <v>1.4999999999999999E-2</v>
          </cell>
          <cell r="Q188">
            <v>8.2500000000000004E-2</v>
          </cell>
          <cell r="R188">
            <v>0.91749999999999998</v>
          </cell>
        </row>
        <row r="189">
          <cell r="K189" t="str">
            <v>ExportKohlsBig One SolidUSAWash30x30D</v>
          </cell>
          <cell r="L189">
            <v>0</v>
          </cell>
          <cell r="M189">
            <v>2.5000000000000001E-3</v>
          </cell>
          <cell r="N189">
            <v>6.5000000000000002E-2</v>
          </cell>
          <cell r="O189">
            <v>1.4999999999999999E-2</v>
          </cell>
          <cell r="Q189">
            <v>8.2500000000000004E-2</v>
          </cell>
          <cell r="R189">
            <v>0.91749999999999998</v>
          </cell>
        </row>
        <row r="190">
          <cell r="K190" t="str">
            <v>ExportIst New Buyer00Bath76x137L</v>
          </cell>
          <cell r="L190">
            <v>0</v>
          </cell>
          <cell r="M190">
            <v>2.5000000000000001E-3</v>
          </cell>
          <cell r="N190">
            <v>6.5000000000000002E-2</v>
          </cell>
          <cell r="O190">
            <v>1.4999999999999999E-2</v>
          </cell>
          <cell r="Q190">
            <v>8.2500000000000004E-2</v>
          </cell>
          <cell r="R190">
            <v>0.91749999999999998</v>
          </cell>
        </row>
        <row r="191">
          <cell r="K191" t="str">
            <v>ExportIst New Buyer00Bath76x137M</v>
          </cell>
          <cell r="L191">
            <v>0</v>
          </cell>
          <cell r="M191">
            <v>2.5000000000000001E-3</v>
          </cell>
          <cell r="N191">
            <v>6.5000000000000002E-2</v>
          </cell>
          <cell r="O191">
            <v>1.4999999999999999E-2</v>
          </cell>
          <cell r="Q191">
            <v>8.2500000000000004E-2</v>
          </cell>
          <cell r="R191">
            <v>0.91749999999999998</v>
          </cell>
        </row>
        <row r="192">
          <cell r="K192" t="str">
            <v>ExportIst New Buyer00Bath76x137D</v>
          </cell>
          <cell r="L192">
            <v>0</v>
          </cell>
          <cell r="M192">
            <v>2.5000000000000001E-3</v>
          </cell>
          <cell r="N192">
            <v>6.5000000000000002E-2</v>
          </cell>
          <cell r="O192">
            <v>1.4999999999999999E-2</v>
          </cell>
          <cell r="Q192">
            <v>8.2500000000000004E-2</v>
          </cell>
          <cell r="R192">
            <v>0.91749999999999998</v>
          </cell>
        </row>
        <row r="193">
          <cell r="K193" t="str">
            <v>ExportIst New Buyer00Hand41x76L</v>
          </cell>
          <cell r="L193">
            <v>0</v>
          </cell>
          <cell r="M193">
            <v>2.5000000000000001E-3</v>
          </cell>
          <cell r="N193">
            <v>6.5000000000000002E-2</v>
          </cell>
          <cell r="O193">
            <v>1.4999999999999999E-2</v>
          </cell>
          <cell r="Q193">
            <v>8.2500000000000004E-2</v>
          </cell>
          <cell r="R193">
            <v>0.91749999999999998</v>
          </cell>
        </row>
        <row r="194">
          <cell r="K194" t="str">
            <v>ExportIst New Buyer00Hand41x76M</v>
          </cell>
          <cell r="L194">
            <v>0</v>
          </cell>
          <cell r="M194">
            <v>2.5000000000000001E-3</v>
          </cell>
          <cell r="N194">
            <v>6.5000000000000002E-2</v>
          </cell>
          <cell r="O194">
            <v>1.4999999999999999E-2</v>
          </cell>
          <cell r="Q194">
            <v>8.2500000000000004E-2</v>
          </cell>
          <cell r="R194">
            <v>0.91749999999999998</v>
          </cell>
        </row>
        <row r="195">
          <cell r="K195" t="str">
            <v>ExportIst New Buyer00Hand41x76D</v>
          </cell>
          <cell r="L195">
            <v>0</v>
          </cell>
          <cell r="M195">
            <v>2.5000000000000001E-3</v>
          </cell>
          <cell r="N195">
            <v>6.5000000000000002E-2</v>
          </cell>
          <cell r="O195">
            <v>1.4999999999999999E-2</v>
          </cell>
          <cell r="Q195">
            <v>8.2500000000000004E-2</v>
          </cell>
          <cell r="R195">
            <v>0.91749999999999998</v>
          </cell>
        </row>
        <row r="196">
          <cell r="K196" t="str">
            <v>ExportIst New Buyer00Wash33x33L</v>
          </cell>
          <cell r="L196">
            <v>0</v>
          </cell>
          <cell r="M196">
            <v>2.5000000000000001E-3</v>
          </cell>
          <cell r="N196">
            <v>6.5000000000000002E-2</v>
          </cell>
          <cell r="O196">
            <v>1.4999999999999999E-2</v>
          </cell>
          <cell r="Q196">
            <v>8.2500000000000004E-2</v>
          </cell>
          <cell r="R196">
            <v>0.91749999999999998</v>
          </cell>
        </row>
        <row r="197">
          <cell r="K197" t="str">
            <v>ExportIst New Buyer00Wash33x33M</v>
          </cell>
          <cell r="L197">
            <v>0</v>
          </cell>
          <cell r="M197">
            <v>2.5000000000000001E-3</v>
          </cell>
          <cell r="N197">
            <v>6.5000000000000002E-2</v>
          </cell>
          <cell r="O197">
            <v>1.4999999999999999E-2</v>
          </cell>
          <cell r="Q197">
            <v>8.2500000000000004E-2</v>
          </cell>
          <cell r="R197">
            <v>0.91749999999999998</v>
          </cell>
        </row>
        <row r="198">
          <cell r="K198" t="str">
            <v>ExportIst New Buyer00Wash33x33D</v>
          </cell>
          <cell r="L198">
            <v>0</v>
          </cell>
          <cell r="M198">
            <v>2.5000000000000001E-3</v>
          </cell>
          <cell r="N198">
            <v>6.5000000000000002E-2</v>
          </cell>
          <cell r="O198">
            <v>1.4999999999999999E-2</v>
          </cell>
          <cell r="Q198">
            <v>8.2500000000000004E-2</v>
          </cell>
          <cell r="R198">
            <v>0.91749999999999998</v>
          </cell>
        </row>
        <row r="199">
          <cell r="K199" t="str">
            <v>Export2nd New Buyer00Bath76x137L</v>
          </cell>
          <cell r="L199">
            <v>0</v>
          </cell>
          <cell r="M199">
            <v>2.5000000000000001E-3</v>
          </cell>
          <cell r="N199">
            <v>6.5000000000000002E-2</v>
          </cell>
          <cell r="O199">
            <v>1.4999999999999999E-2</v>
          </cell>
          <cell r="Q199">
            <v>8.2500000000000004E-2</v>
          </cell>
          <cell r="R199">
            <v>0.91749999999999998</v>
          </cell>
        </row>
        <row r="200">
          <cell r="K200" t="str">
            <v>Export2nd New Buyer00Bath76x137M</v>
          </cell>
          <cell r="L200">
            <v>0</v>
          </cell>
          <cell r="M200">
            <v>2.5000000000000001E-3</v>
          </cell>
          <cell r="N200">
            <v>6.5000000000000002E-2</v>
          </cell>
          <cell r="O200">
            <v>1.4999999999999999E-2</v>
          </cell>
          <cell r="Q200">
            <v>8.2500000000000004E-2</v>
          </cell>
          <cell r="R200">
            <v>0.91749999999999998</v>
          </cell>
        </row>
        <row r="201">
          <cell r="K201" t="str">
            <v>Export2nd New Buyer00Bath76x137D</v>
          </cell>
          <cell r="L201">
            <v>0</v>
          </cell>
          <cell r="M201">
            <v>2.5000000000000001E-3</v>
          </cell>
          <cell r="N201">
            <v>6.5000000000000002E-2</v>
          </cell>
          <cell r="O201">
            <v>1.4999999999999999E-2</v>
          </cell>
          <cell r="Q201">
            <v>8.2500000000000004E-2</v>
          </cell>
          <cell r="R201">
            <v>0.91749999999999998</v>
          </cell>
        </row>
        <row r="202">
          <cell r="K202" t="str">
            <v>Export2nd New Buyer00Hand41x76L</v>
          </cell>
          <cell r="L202">
            <v>0</v>
          </cell>
          <cell r="M202">
            <v>2.5000000000000001E-3</v>
          </cell>
          <cell r="N202">
            <v>6.5000000000000002E-2</v>
          </cell>
          <cell r="O202">
            <v>1.4999999999999999E-2</v>
          </cell>
          <cell r="Q202">
            <v>8.2500000000000004E-2</v>
          </cell>
          <cell r="R202">
            <v>0.91749999999999998</v>
          </cell>
        </row>
        <row r="203">
          <cell r="K203" t="str">
            <v>Export2nd New Buyer00Hand41x76M</v>
          </cell>
          <cell r="L203">
            <v>0</v>
          </cell>
          <cell r="M203">
            <v>2.5000000000000001E-3</v>
          </cell>
          <cell r="N203">
            <v>6.5000000000000002E-2</v>
          </cell>
          <cell r="O203">
            <v>1.4999999999999999E-2</v>
          </cell>
          <cell r="Q203">
            <v>8.2500000000000004E-2</v>
          </cell>
          <cell r="R203">
            <v>0.91749999999999998</v>
          </cell>
        </row>
        <row r="204">
          <cell r="K204" t="str">
            <v>Export2nd New Buyer00Hand41x76D</v>
          </cell>
          <cell r="L204">
            <v>0</v>
          </cell>
          <cell r="M204">
            <v>2.5000000000000001E-3</v>
          </cell>
          <cell r="N204">
            <v>6.5000000000000002E-2</v>
          </cell>
          <cell r="O204">
            <v>1.4999999999999999E-2</v>
          </cell>
          <cell r="Q204">
            <v>8.2500000000000004E-2</v>
          </cell>
          <cell r="R204">
            <v>0.91749999999999998</v>
          </cell>
        </row>
        <row r="205">
          <cell r="K205" t="str">
            <v>Export2nd New Buyer00Wash33x33L</v>
          </cell>
          <cell r="L205">
            <v>0</v>
          </cell>
          <cell r="M205">
            <v>2.5000000000000001E-3</v>
          </cell>
          <cell r="N205">
            <v>6.5000000000000002E-2</v>
          </cell>
          <cell r="O205">
            <v>1.4999999999999999E-2</v>
          </cell>
          <cell r="Q205">
            <v>8.2500000000000004E-2</v>
          </cell>
          <cell r="R205">
            <v>0.91749999999999998</v>
          </cell>
        </row>
        <row r="206">
          <cell r="K206" t="str">
            <v>Export2nd New Buyer00Wash33x33M</v>
          </cell>
          <cell r="L206">
            <v>0</v>
          </cell>
          <cell r="M206">
            <v>2.5000000000000001E-3</v>
          </cell>
          <cell r="N206">
            <v>6.5000000000000002E-2</v>
          </cell>
          <cell r="O206">
            <v>1.4999999999999999E-2</v>
          </cell>
          <cell r="Q206">
            <v>8.2500000000000004E-2</v>
          </cell>
          <cell r="R206">
            <v>0.91749999999999998</v>
          </cell>
        </row>
        <row r="207">
          <cell r="K207" t="str">
            <v>Export2nd New Buyer00Wash33x33D</v>
          </cell>
          <cell r="L207">
            <v>0</v>
          </cell>
          <cell r="M207">
            <v>2.5000000000000001E-3</v>
          </cell>
          <cell r="N207">
            <v>6.5000000000000002E-2</v>
          </cell>
          <cell r="O207">
            <v>1.4999999999999999E-2</v>
          </cell>
          <cell r="Q207">
            <v>8.2500000000000004E-2</v>
          </cell>
          <cell r="R207">
            <v>0.91749999999999998</v>
          </cell>
        </row>
        <row r="208">
          <cell r="K208" t="str">
            <v>Export3rd New Buyer00Bath0x0L</v>
          </cell>
          <cell r="L208">
            <v>0</v>
          </cell>
          <cell r="M208">
            <v>2.5000000000000001E-3</v>
          </cell>
          <cell r="N208">
            <v>6.5000000000000002E-2</v>
          </cell>
          <cell r="O208">
            <v>1.4999999999999999E-2</v>
          </cell>
          <cell r="Q208">
            <v>8.2500000000000004E-2</v>
          </cell>
          <cell r="R208">
            <v>0.91749999999999998</v>
          </cell>
        </row>
        <row r="209">
          <cell r="K209" t="str">
            <v>Export3rd New Buyer00Bath0x0M</v>
          </cell>
          <cell r="L209">
            <v>0</v>
          </cell>
          <cell r="M209">
            <v>2.5000000000000001E-3</v>
          </cell>
          <cell r="N209">
            <v>6.5000000000000002E-2</v>
          </cell>
          <cell r="O209">
            <v>1.4999999999999999E-2</v>
          </cell>
          <cell r="Q209">
            <v>8.2500000000000004E-2</v>
          </cell>
          <cell r="R209">
            <v>0.91749999999999998</v>
          </cell>
        </row>
        <row r="210">
          <cell r="K210" t="str">
            <v>Export3rd New Buyer00Bath0x0D</v>
          </cell>
          <cell r="L210">
            <v>0</v>
          </cell>
          <cell r="M210">
            <v>2.5000000000000001E-3</v>
          </cell>
          <cell r="N210">
            <v>6.5000000000000002E-2</v>
          </cell>
          <cell r="O210">
            <v>1.4999999999999999E-2</v>
          </cell>
          <cell r="Q210">
            <v>8.2500000000000004E-2</v>
          </cell>
          <cell r="R210">
            <v>0.91749999999999998</v>
          </cell>
        </row>
        <row r="213">
          <cell r="K213" t="str">
            <v>ExportTargetWaverlyUSABath76x142L</v>
          </cell>
          <cell r="L213">
            <v>0</v>
          </cell>
          <cell r="M213">
            <v>2.5000000000000001E-3</v>
          </cell>
          <cell r="N213">
            <v>6.5000000000000002E-2</v>
          </cell>
          <cell r="O213">
            <v>1.4999999999999999E-2</v>
          </cell>
          <cell r="Q213">
            <v>8.2500000000000004E-2</v>
          </cell>
          <cell r="R213">
            <v>0.91749999999999998</v>
          </cell>
        </row>
        <row r="214">
          <cell r="K214" t="str">
            <v>ExportTargetWaverlyUSABath76x142M</v>
          </cell>
          <cell r="L214">
            <v>0</v>
          </cell>
          <cell r="M214">
            <v>2.5000000000000001E-3</v>
          </cell>
          <cell r="N214">
            <v>6.5000000000000002E-2</v>
          </cell>
          <cell r="O214">
            <v>1.4999999999999999E-2</v>
          </cell>
          <cell r="Q214">
            <v>8.2500000000000004E-2</v>
          </cell>
          <cell r="R214">
            <v>0.91749999999999998</v>
          </cell>
        </row>
        <row r="215">
          <cell r="K215" t="str">
            <v>ExportTargetWaverlyUSABath76x142D</v>
          </cell>
          <cell r="L215">
            <v>0</v>
          </cell>
          <cell r="M215">
            <v>2.5000000000000001E-3</v>
          </cell>
          <cell r="N215">
            <v>6.5000000000000002E-2</v>
          </cell>
          <cell r="O215">
            <v>1.4999999999999999E-2</v>
          </cell>
          <cell r="Q215">
            <v>8.2500000000000004E-2</v>
          </cell>
          <cell r="R215">
            <v>0.91749999999999998</v>
          </cell>
        </row>
        <row r="216">
          <cell r="K216" t="str">
            <v>ExportTargetWaverlyUSAHand41x76L</v>
          </cell>
          <cell r="L216" t="str">
            <v>Key -2</v>
          </cell>
          <cell r="M216">
            <v>2.5000000000000001E-3</v>
          </cell>
          <cell r="N216">
            <v>6.5000000000000002E-2</v>
          </cell>
          <cell r="O216">
            <v>1.4999999999999999E-2</v>
          </cell>
          <cell r="Q216">
            <v>8.2500000000000004E-2</v>
          </cell>
          <cell r="R216">
            <v>0.91749999999999998</v>
          </cell>
        </row>
        <row r="217">
          <cell r="K217" t="str">
            <v>ExportTargetWaverlyUSAHand41x76M</v>
          </cell>
          <cell r="L217">
            <v>0</v>
          </cell>
          <cell r="M217">
            <v>2.5000000000000001E-3</v>
          </cell>
          <cell r="N217">
            <v>6.5000000000000002E-2</v>
          </cell>
          <cell r="O217">
            <v>1.4999999999999999E-2</v>
          </cell>
          <cell r="Q217">
            <v>8.2500000000000004E-2</v>
          </cell>
          <cell r="R217">
            <v>0.91749999999999998</v>
          </cell>
        </row>
        <row r="218">
          <cell r="K218" t="str">
            <v>ExportTargetWaverlyUSAHand41x76D</v>
          </cell>
          <cell r="L218">
            <v>0</v>
          </cell>
          <cell r="M218">
            <v>2.5000000000000001E-3</v>
          </cell>
          <cell r="N218">
            <v>6.5000000000000002E-2</v>
          </cell>
          <cell r="O218">
            <v>1.4999999999999999E-2</v>
          </cell>
          <cell r="Q218">
            <v>8.2500000000000004E-2</v>
          </cell>
          <cell r="R218">
            <v>0.91749999999999998</v>
          </cell>
        </row>
        <row r="219">
          <cell r="K219" t="str">
            <v>ExportTargetWaverlyUSAWash30x30L</v>
          </cell>
          <cell r="L219">
            <v>0</v>
          </cell>
          <cell r="M219">
            <v>2.5000000000000001E-3</v>
          </cell>
          <cell r="N219">
            <v>6.5000000000000002E-2</v>
          </cell>
          <cell r="O219">
            <v>1.4999999999999999E-2</v>
          </cell>
          <cell r="Q219">
            <v>8.2500000000000004E-2</v>
          </cell>
          <cell r="R219">
            <v>0.91749999999999998</v>
          </cell>
        </row>
        <row r="220">
          <cell r="K220" t="str">
            <v>ExportTargetWaverlyUSAWash30x30M</v>
          </cell>
          <cell r="L220">
            <v>0</v>
          </cell>
          <cell r="M220">
            <v>2.5000000000000001E-3</v>
          </cell>
          <cell r="N220">
            <v>6.5000000000000002E-2</v>
          </cell>
          <cell r="O220">
            <v>1.4999999999999999E-2</v>
          </cell>
          <cell r="Q220">
            <v>8.2500000000000004E-2</v>
          </cell>
          <cell r="R220">
            <v>0.91749999999999998</v>
          </cell>
        </row>
        <row r="221">
          <cell r="K221" t="str">
            <v>ExportTargetWaverlyUSAWash30x30D</v>
          </cell>
          <cell r="L221">
            <v>0</v>
          </cell>
          <cell r="M221">
            <v>2.5000000000000001E-3</v>
          </cell>
          <cell r="N221">
            <v>6.5000000000000002E-2</v>
          </cell>
          <cell r="O221">
            <v>1.4999999999999999E-2</v>
          </cell>
          <cell r="Q221">
            <v>8.2500000000000004E-2</v>
          </cell>
          <cell r="R221">
            <v>0.91749999999999998</v>
          </cell>
        </row>
        <row r="222">
          <cell r="K222" t="str">
            <v>ExportWalmartHome TrendsUSABath76x132L</v>
          </cell>
          <cell r="L222">
            <v>0</v>
          </cell>
          <cell r="M222">
            <v>2.5000000000000001E-3</v>
          </cell>
          <cell r="N222">
            <v>6.5000000000000002E-2</v>
          </cell>
          <cell r="O222">
            <v>1.4999999999999999E-2</v>
          </cell>
          <cell r="Q222">
            <v>8.2500000000000004E-2</v>
          </cell>
          <cell r="R222">
            <v>0.91749999999999998</v>
          </cell>
        </row>
        <row r="223">
          <cell r="K223" t="str">
            <v>ExportWalmartHome TrendsUSABath76x132M</v>
          </cell>
          <cell r="L223">
            <v>0</v>
          </cell>
          <cell r="M223">
            <v>2.5000000000000001E-3</v>
          </cell>
          <cell r="N223">
            <v>6.5000000000000002E-2</v>
          </cell>
          <cell r="O223">
            <v>1.4999999999999999E-2</v>
          </cell>
          <cell r="Q223">
            <v>8.2500000000000004E-2</v>
          </cell>
          <cell r="R223">
            <v>0.91749999999999998</v>
          </cell>
        </row>
        <row r="224">
          <cell r="K224" t="str">
            <v>ExportWalmartHome TrendsUSABath76x132D</v>
          </cell>
          <cell r="L224">
            <v>0</v>
          </cell>
          <cell r="M224">
            <v>2.5000000000000001E-3</v>
          </cell>
          <cell r="N224">
            <v>6.5000000000000002E-2</v>
          </cell>
          <cell r="O224">
            <v>1.4999999999999999E-2</v>
          </cell>
          <cell r="Q224">
            <v>8.2500000000000004E-2</v>
          </cell>
          <cell r="R224">
            <v>0.91749999999999998</v>
          </cell>
        </row>
        <row r="225">
          <cell r="K225" t="str">
            <v>ExportWalmartHome TrendsUSAHand41x69L</v>
          </cell>
          <cell r="L225">
            <v>0</v>
          </cell>
          <cell r="M225">
            <v>2.5000000000000001E-3</v>
          </cell>
          <cell r="N225">
            <v>6.5000000000000002E-2</v>
          </cell>
          <cell r="O225">
            <v>1.4999999999999999E-2</v>
          </cell>
          <cell r="Q225">
            <v>8.2500000000000004E-2</v>
          </cell>
          <cell r="R225">
            <v>0.91749999999999998</v>
          </cell>
        </row>
        <row r="226">
          <cell r="K226" t="str">
            <v>ExportWalmartHome TrendsUSAHand41x69M</v>
          </cell>
          <cell r="L226">
            <v>0</v>
          </cell>
          <cell r="M226">
            <v>2.5000000000000001E-3</v>
          </cell>
          <cell r="N226">
            <v>6.5000000000000002E-2</v>
          </cell>
          <cell r="O226">
            <v>1.4999999999999999E-2</v>
          </cell>
          <cell r="Q226">
            <v>8.2500000000000004E-2</v>
          </cell>
          <cell r="R226">
            <v>0.91749999999999998</v>
          </cell>
        </row>
        <row r="227">
          <cell r="K227" t="str">
            <v>ExportWalmartHome TrendsUSAHand41x69D</v>
          </cell>
          <cell r="L227">
            <v>0</v>
          </cell>
          <cell r="M227">
            <v>2.5000000000000001E-3</v>
          </cell>
          <cell r="N227">
            <v>6.5000000000000002E-2</v>
          </cell>
          <cell r="O227">
            <v>1.4999999999999999E-2</v>
          </cell>
          <cell r="Q227">
            <v>8.2500000000000004E-2</v>
          </cell>
          <cell r="R227">
            <v>0.91749999999999998</v>
          </cell>
        </row>
        <row r="228">
          <cell r="K228" t="str">
            <v>ExportWalmartHome TrendsUSAWash33x33L</v>
          </cell>
          <cell r="L228">
            <v>0</v>
          </cell>
          <cell r="M228">
            <v>2.5000000000000001E-3</v>
          </cell>
          <cell r="N228">
            <v>6.5000000000000002E-2</v>
          </cell>
          <cell r="O228">
            <v>1.4999999999999999E-2</v>
          </cell>
          <cell r="Q228">
            <v>8.2500000000000004E-2</v>
          </cell>
          <cell r="R228">
            <v>0.91749999999999998</v>
          </cell>
        </row>
        <row r="229">
          <cell r="K229" t="str">
            <v>ExportWalmartHome TrendsUSAWash33x33M</v>
          </cell>
          <cell r="L229">
            <v>0</v>
          </cell>
          <cell r="M229">
            <v>2.5000000000000001E-3</v>
          </cell>
          <cell r="N229">
            <v>6.5000000000000002E-2</v>
          </cell>
          <cell r="O229">
            <v>1.4999999999999999E-2</v>
          </cell>
          <cell r="Q229">
            <v>8.2500000000000004E-2</v>
          </cell>
          <cell r="R229">
            <v>0.91749999999999998</v>
          </cell>
        </row>
        <row r="230">
          <cell r="K230" t="str">
            <v>ExportWalmartHome TrendsUSAWash33x33D</v>
          </cell>
          <cell r="L230">
            <v>0</v>
          </cell>
          <cell r="M230">
            <v>2.5000000000000001E-3</v>
          </cell>
          <cell r="N230">
            <v>6.5000000000000002E-2</v>
          </cell>
          <cell r="O230">
            <v>1.4999999999999999E-2</v>
          </cell>
          <cell r="Q230">
            <v>8.2500000000000004E-2</v>
          </cell>
          <cell r="R230">
            <v>0.91749999999999998</v>
          </cell>
        </row>
        <row r="231">
          <cell r="K231" t="str">
            <v>ExportMill WorkingCannon LandmarkUSABath76x137L</v>
          </cell>
          <cell r="L231">
            <v>0</v>
          </cell>
          <cell r="M231">
            <v>2.5000000000000001E-3</v>
          </cell>
          <cell r="N231">
            <v>6.5000000000000002E-2</v>
          </cell>
          <cell r="O231">
            <v>1.4999999999999999E-2</v>
          </cell>
          <cell r="Q231">
            <v>8.2500000000000004E-2</v>
          </cell>
          <cell r="R231">
            <v>0.91749999999999998</v>
          </cell>
        </row>
        <row r="232">
          <cell r="K232" t="str">
            <v>ExportMill WorkingCannon LandmarkUSABath76x137M</v>
          </cell>
          <cell r="L232">
            <v>0</v>
          </cell>
          <cell r="M232">
            <v>2.5000000000000001E-3</v>
          </cell>
          <cell r="N232">
            <v>6.5000000000000002E-2</v>
          </cell>
          <cell r="O232">
            <v>1.4999999999999999E-2</v>
          </cell>
          <cell r="Q232">
            <v>8.2500000000000004E-2</v>
          </cell>
          <cell r="R232">
            <v>0.91749999999999998</v>
          </cell>
        </row>
        <row r="233">
          <cell r="K233" t="str">
            <v>ExportMill WorkingCannon LandmarkUSABath76x137D</v>
          </cell>
          <cell r="L233">
            <v>0</v>
          </cell>
          <cell r="M233">
            <v>2.5000000000000001E-3</v>
          </cell>
          <cell r="N233">
            <v>6.5000000000000002E-2</v>
          </cell>
          <cell r="O233">
            <v>1.4999999999999999E-2</v>
          </cell>
          <cell r="Q233">
            <v>8.2500000000000004E-2</v>
          </cell>
          <cell r="R233">
            <v>0.91749999999999998</v>
          </cell>
        </row>
        <row r="234">
          <cell r="K234" t="str">
            <v>ExportMill WorkingCannon LandmarkUSAHand41x76L</v>
          </cell>
          <cell r="L234">
            <v>0</v>
          </cell>
          <cell r="M234">
            <v>2.5000000000000001E-3</v>
          </cell>
          <cell r="N234">
            <v>6.5000000000000002E-2</v>
          </cell>
          <cell r="O234">
            <v>1.4999999999999999E-2</v>
          </cell>
          <cell r="Q234">
            <v>8.2500000000000004E-2</v>
          </cell>
          <cell r="R234">
            <v>0.91749999999999998</v>
          </cell>
        </row>
        <row r="235">
          <cell r="K235" t="str">
            <v>ExportMill WorkingCannon LandmarkUSAHand41x76M</v>
          </cell>
          <cell r="L235">
            <v>0</v>
          </cell>
          <cell r="M235">
            <v>2.5000000000000001E-3</v>
          </cell>
          <cell r="N235">
            <v>6.5000000000000002E-2</v>
          </cell>
          <cell r="O235">
            <v>1.4999999999999999E-2</v>
          </cell>
          <cell r="Q235">
            <v>8.2500000000000004E-2</v>
          </cell>
          <cell r="R235">
            <v>0.91749999999999998</v>
          </cell>
        </row>
        <row r="236">
          <cell r="K236" t="str">
            <v>ExportMill WorkingCannon LandmarkUSAHand41x76D</v>
          </cell>
          <cell r="L236">
            <v>0</v>
          </cell>
          <cell r="M236">
            <v>2.5000000000000001E-3</v>
          </cell>
          <cell r="N236">
            <v>6.5000000000000002E-2</v>
          </cell>
          <cell r="O236">
            <v>1.4999999999999999E-2</v>
          </cell>
          <cell r="Q236">
            <v>8.2500000000000004E-2</v>
          </cell>
          <cell r="R236">
            <v>0.91749999999999998</v>
          </cell>
        </row>
        <row r="237">
          <cell r="K237" t="str">
            <v>ExportMill WorkingCannon LandmarkUSAWash33x33L</v>
          </cell>
          <cell r="L237">
            <v>0</v>
          </cell>
          <cell r="M237">
            <v>2.5000000000000001E-3</v>
          </cell>
          <cell r="N237">
            <v>6.5000000000000002E-2</v>
          </cell>
          <cell r="O237">
            <v>1.4999999999999999E-2</v>
          </cell>
          <cell r="Q237">
            <v>8.2500000000000004E-2</v>
          </cell>
          <cell r="R237">
            <v>0.91749999999999998</v>
          </cell>
        </row>
        <row r="238">
          <cell r="K238" t="str">
            <v>ExportMill WorkingCannon LandmarkUSAWash33x33M</v>
          </cell>
          <cell r="L238">
            <v>0</v>
          </cell>
          <cell r="M238">
            <v>2.5000000000000001E-3</v>
          </cell>
          <cell r="N238">
            <v>6.5000000000000002E-2</v>
          </cell>
          <cell r="O238">
            <v>1.4999999999999999E-2</v>
          </cell>
          <cell r="Q238">
            <v>8.2500000000000004E-2</v>
          </cell>
          <cell r="R238">
            <v>0.91749999999999998</v>
          </cell>
        </row>
        <row r="239">
          <cell r="K239" t="str">
            <v>ExportMill WorkingCannon LandmarkUSAWash33x33D</v>
          </cell>
          <cell r="L239">
            <v>0</v>
          </cell>
          <cell r="M239">
            <v>2.5000000000000001E-3</v>
          </cell>
          <cell r="N239">
            <v>6.5000000000000002E-2</v>
          </cell>
          <cell r="O239">
            <v>1.4999999999999999E-2</v>
          </cell>
          <cell r="Q239">
            <v>8.2500000000000004E-2</v>
          </cell>
          <cell r="R239">
            <v>0.91749999999999998</v>
          </cell>
        </row>
        <row r="240">
          <cell r="K240" t="str">
            <v>ExportMill WorkingCannon MilestoneUSABath76x137L</v>
          </cell>
          <cell r="L240">
            <v>0</v>
          </cell>
          <cell r="M240">
            <v>2.5000000000000001E-3</v>
          </cell>
          <cell r="N240">
            <v>6.5000000000000002E-2</v>
          </cell>
          <cell r="O240">
            <v>1.4999999999999999E-2</v>
          </cell>
          <cell r="Q240">
            <v>8.2500000000000004E-2</v>
          </cell>
          <cell r="R240">
            <v>0.91749999999999998</v>
          </cell>
        </row>
        <row r="241">
          <cell r="K241" t="str">
            <v>ExportMill WorkingCannon MilestoneUSABath76x137M</v>
          </cell>
          <cell r="L241">
            <v>0</v>
          </cell>
          <cell r="M241">
            <v>2.5000000000000001E-3</v>
          </cell>
          <cell r="N241">
            <v>6.5000000000000002E-2</v>
          </cell>
          <cell r="O241">
            <v>1.4999999999999999E-2</v>
          </cell>
          <cell r="Q241">
            <v>8.2500000000000004E-2</v>
          </cell>
          <cell r="R241">
            <v>0.91749999999999998</v>
          </cell>
        </row>
        <row r="242">
          <cell r="K242" t="str">
            <v>ExportMill WorkingCannon MilestoneUSABath76x137D</v>
          </cell>
          <cell r="L242">
            <v>0</v>
          </cell>
          <cell r="M242">
            <v>2.5000000000000001E-3</v>
          </cell>
          <cell r="N242">
            <v>6.5000000000000002E-2</v>
          </cell>
          <cell r="O242">
            <v>1.4999999999999999E-2</v>
          </cell>
          <cell r="Q242">
            <v>8.2500000000000004E-2</v>
          </cell>
          <cell r="R242">
            <v>0.91749999999999998</v>
          </cell>
        </row>
        <row r="243">
          <cell r="K243" t="str">
            <v>ExportMill WorkingCannon MilestoneUSAHand41x76L</v>
          </cell>
          <cell r="L243">
            <v>0</v>
          </cell>
          <cell r="M243">
            <v>2.5000000000000001E-3</v>
          </cell>
          <cell r="N243">
            <v>6.5000000000000002E-2</v>
          </cell>
          <cell r="O243">
            <v>1.4999999999999999E-2</v>
          </cell>
          <cell r="Q243">
            <v>8.2500000000000004E-2</v>
          </cell>
          <cell r="R243">
            <v>0.91749999999999998</v>
          </cell>
        </row>
        <row r="244">
          <cell r="K244" t="str">
            <v>ExportMill WorkingCannon MilestoneUSAHand41x76M</v>
          </cell>
          <cell r="L244">
            <v>0</v>
          </cell>
          <cell r="M244">
            <v>2.5000000000000001E-3</v>
          </cell>
          <cell r="N244">
            <v>6.5000000000000002E-2</v>
          </cell>
          <cell r="O244">
            <v>1.4999999999999999E-2</v>
          </cell>
          <cell r="Q244">
            <v>8.2500000000000004E-2</v>
          </cell>
          <cell r="R244">
            <v>0.91749999999999998</v>
          </cell>
        </row>
        <row r="245">
          <cell r="K245" t="str">
            <v>ExportMill WorkingCannon MilestoneUSAHand41x76D</v>
          </cell>
          <cell r="L245">
            <v>0</v>
          </cell>
          <cell r="M245">
            <v>2.5000000000000001E-3</v>
          </cell>
          <cell r="N245">
            <v>6.5000000000000002E-2</v>
          </cell>
          <cell r="O245">
            <v>1.4999999999999999E-2</v>
          </cell>
          <cell r="Q245">
            <v>8.2500000000000004E-2</v>
          </cell>
          <cell r="R245">
            <v>0.91749999999999998</v>
          </cell>
        </row>
        <row r="246">
          <cell r="K246" t="str">
            <v>ExportMill WorkingCannon MilestoneUSAWash33x33L</v>
          </cell>
          <cell r="L246">
            <v>0</v>
          </cell>
          <cell r="M246">
            <v>2.5000000000000001E-3</v>
          </cell>
          <cell r="N246">
            <v>6.5000000000000002E-2</v>
          </cell>
          <cell r="O246">
            <v>1.4999999999999999E-2</v>
          </cell>
          <cell r="Q246">
            <v>8.2500000000000004E-2</v>
          </cell>
          <cell r="R246">
            <v>0.91749999999999998</v>
          </cell>
        </row>
        <row r="247">
          <cell r="K247" t="str">
            <v>ExportMill WorkingCannon MilestoneUSAWash33x33M</v>
          </cell>
          <cell r="L247">
            <v>0</v>
          </cell>
          <cell r="M247">
            <v>2.5000000000000001E-3</v>
          </cell>
          <cell r="N247">
            <v>6.5000000000000002E-2</v>
          </cell>
          <cell r="O247">
            <v>1.4999999999999999E-2</v>
          </cell>
          <cell r="Q247">
            <v>8.2500000000000004E-2</v>
          </cell>
          <cell r="R247">
            <v>0.91749999999999998</v>
          </cell>
        </row>
        <row r="248">
          <cell r="K248" t="str">
            <v>ExportMill WorkingCannon MilestoneUSAWash33x33D</v>
          </cell>
          <cell r="L248">
            <v>0</v>
          </cell>
          <cell r="M248">
            <v>2.5000000000000001E-3</v>
          </cell>
          <cell r="N248">
            <v>6.5000000000000002E-2</v>
          </cell>
          <cell r="O248">
            <v>1.4999999999999999E-2</v>
          </cell>
          <cell r="Q248">
            <v>8.2500000000000004E-2</v>
          </cell>
          <cell r="R248">
            <v>0.91749999999999998</v>
          </cell>
        </row>
        <row r="249">
          <cell r="K249" t="str">
            <v>ExportWelspun USAEsplamaUSABath76x137L</v>
          </cell>
          <cell r="L249">
            <v>0</v>
          </cell>
          <cell r="M249">
            <v>2.5000000000000001E-3</v>
          </cell>
          <cell r="N249">
            <v>6.5000000000000002E-2</v>
          </cell>
          <cell r="O249">
            <v>1.4999999999999999E-2</v>
          </cell>
          <cell r="Q249">
            <v>8.2500000000000004E-2</v>
          </cell>
          <cell r="R249">
            <v>0.91749999999999998</v>
          </cell>
        </row>
        <row r="250">
          <cell r="K250" t="str">
            <v>ExportWelspun USAEsplamaUSABath76x137M</v>
          </cell>
          <cell r="L250">
            <v>0</v>
          </cell>
          <cell r="M250">
            <v>2.5000000000000001E-3</v>
          </cell>
          <cell r="N250">
            <v>6.5000000000000002E-2</v>
          </cell>
          <cell r="O250">
            <v>1.4999999999999999E-2</v>
          </cell>
          <cell r="Q250">
            <v>8.2500000000000004E-2</v>
          </cell>
          <cell r="R250">
            <v>0.91749999999999998</v>
          </cell>
        </row>
        <row r="251">
          <cell r="K251" t="str">
            <v>ExportWelspun USAEsplamaUSABath76x137D</v>
          </cell>
          <cell r="L251">
            <v>0</v>
          </cell>
          <cell r="M251">
            <v>2.5000000000000001E-3</v>
          </cell>
          <cell r="N251">
            <v>6.5000000000000002E-2</v>
          </cell>
          <cell r="O251">
            <v>1.4999999999999999E-2</v>
          </cell>
          <cell r="Q251">
            <v>8.2500000000000004E-2</v>
          </cell>
          <cell r="R251">
            <v>0.91749999999999998</v>
          </cell>
        </row>
        <row r="252">
          <cell r="K252" t="str">
            <v>ExportWelspun USAEsplamaUSAHand41x71L</v>
          </cell>
          <cell r="L252">
            <v>0</v>
          </cell>
          <cell r="M252">
            <v>2.5000000000000001E-3</v>
          </cell>
          <cell r="N252">
            <v>6.5000000000000002E-2</v>
          </cell>
          <cell r="O252">
            <v>1.4999999999999999E-2</v>
          </cell>
          <cell r="Q252">
            <v>8.2500000000000004E-2</v>
          </cell>
          <cell r="R252">
            <v>0.91749999999999998</v>
          </cell>
        </row>
        <row r="253">
          <cell r="K253" t="str">
            <v>ExportWelspun USAEsplamaUSAHand41x71M</v>
          </cell>
          <cell r="L253">
            <v>0</v>
          </cell>
          <cell r="M253">
            <v>2.5000000000000001E-3</v>
          </cell>
          <cell r="N253">
            <v>6.5000000000000002E-2</v>
          </cell>
          <cell r="O253">
            <v>1.4999999999999999E-2</v>
          </cell>
          <cell r="Q253">
            <v>8.2500000000000004E-2</v>
          </cell>
          <cell r="R253">
            <v>0.91749999999999998</v>
          </cell>
        </row>
        <row r="254">
          <cell r="K254" t="str">
            <v>ExportWelspun USAEsplamaUSAHand41x71D</v>
          </cell>
          <cell r="L254">
            <v>0</v>
          </cell>
          <cell r="M254">
            <v>2.5000000000000001E-3</v>
          </cell>
          <cell r="N254">
            <v>6.5000000000000002E-2</v>
          </cell>
          <cell r="O254">
            <v>1.4999999999999999E-2</v>
          </cell>
          <cell r="Q254">
            <v>8.2500000000000004E-2</v>
          </cell>
          <cell r="R254">
            <v>0.91749999999999998</v>
          </cell>
        </row>
        <row r="255">
          <cell r="K255" t="str">
            <v>ExportWelspun USAEsplamaUSAWash33x33L</v>
          </cell>
          <cell r="L255">
            <v>0</v>
          </cell>
          <cell r="M255">
            <v>2.5000000000000001E-3</v>
          </cell>
          <cell r="N255">
            <v>6.5000000000000002E-2</v>
          </cell>
          <cell r="O255">
            <v>1.4999999999999999E-2</v>
          </cell>
          <cell r="Q255">
            <v>8.2500000000000004E-2</v>
          </cell>
          <cell r="R255">
            <v>0.91749999999999998</v>
          </cell>
        </row>
        <row r="256">
          <cell r="K256" t="str">
            <v>ExportWelspun USAEsplamaUSAWash33x33M</v>
          </cell>
          <cell r="L256">
            <v>0</v>
          </cell>
          <cell r="M256">
            <v>2.5000000000000001E-3</v>
          </cell>
          <cell r="N256">
            <v>6.5000000000000002E-2</v>
          </cell>
          <cell r="O256">
            <v>1.4999999999999999E-2</v>
          </cell>
          <cell r="Q256">
            <v>8.2500000000000004E-2</v>
          </cell>
          <cell r="R256">
            <v>0.91749999999999998</v>
          </cell>
        </row>
        <row r="257">
          <cell r="K257" t="str">
            <v>ExportWelspun USAEsplamaUSAWash33x33D</v>
          </cell>
          <cell r="L257">
            <v>0</v>
          </cell>
          <cell r="M257">
            <v>2.5000000000000001E-3</v>
          </cell>
          <cell r="N257">
            <v>6.5000000000000002E-2</v>
          </cell>
          <cell r="O257">
            <v>1.4999999999999999E-2</v>
          </cell>
          <cell r="Q257">
            <v>8.2500000000000004E-2</v>
          </cell>
          <cell r="R257">
            <v>0.91749999999999998</v>
          </cell>
        </row>
        <row r="258">
          <cell r="K258" t="str">
            <v>ExportLNTManorUSABath76x147L</v>
          </cell>
          <cell r="L258">
            <v>0</v>
          </cell>
          <cell r="M258">
            <v>2.5000000000000001E-3</v>
          </cell>
          <cell r="N258">
            <v>6.5000000000000002E-2</v>
          </cell>
          <cell r="O258">
            <v>1.4999999999999999E-2</v>
          </cell>
          <cell r="Q258">
            <v>8.2500000000000004E-2</v>
          </cell>
          <cell r="R258">
            <v>0.91749999999999998</v>
          </cell>
        </row>
        <row r="259">
          <cell r="K259" t="str">
            <v>ExportLNTManorUSABath76x147M</v>
          </cell>
          <cell r="L259">
            <v>0</v>
          </cell>
          <cell r="M259">
            <v>2.5000000000000001E-3</v>
          </cell>
          <cell r="N259">
            <v>6.5000000000000002E-2</v>
          </cell>
          <cell r="O259">
            <v>1.4999999999999999E-2</v>
          </cell>
          <cell r="Q259">
            <v>8.2500000000000004E-2</v>
          </cell>
          <cell r="R259">
            <v>0.91749999999999998</v>
          </cell>
        </row>
        <row r="260">
          <cell r="K260" t="str">
            <v>ExportLNTManorUSABath76x147D</v>
          </cell>
          <cell r="L260">
            <v>0</v>
          </cell>
          <cell r="M260">
            <v>2.5000000000000001E-3</v>
          </cell>
          <cell r="N260">
            <v>6.5000000000000002E-2</v>
          </cell>
          <cell r="O260">
            <v>1.4999999999999999E-2</v>
          </cell>
          <cell r="Q260">
            <v>8.2500000000000004E-2</v>
          </cell>
          <cell r="R260">
            <v>0.91749999999999998</v>
          </cell>
        </row>
        <row r="261">
          <cell r="K261" t="str">
            <v>ExportLNTManorUSAHand51x76L</v>
          </cell>
          <cell r="L261">
            <v>0</v>
          </cell>
          <cell r="M261">
            <v>2.5000000000000001E-3</v>
          </cell>
          <cell r="N261">
            <v>6.5000000000000002E-2</v>
          </cell>
          <cell r="O261">
            <v>1.4999999999999999E-2</v>
          </cell>
          <cell r="Q261">
            <v>8.2500000000000004E-2</v>
          </cell>
          <cell r="R261">
            <v>0.91749999999999998</v>
          </cell>
        </row>
        <row r="262">
          <cell r="K262" t="str">
            <v>ExportLNTManorUSAHand51x76M</v>
          </cell>
          <cell r="L262">
            <v>0</v>
          </cell>
          <cell r="M262">
            <v>2.5000000000000001E-3</v>
          </cell>
          <cell r="N262">
            <v>6.5000000000000002E-2</v>
          </cell>
          <cell r="O262">
            <v>1.4999999999999999E-2</v>
          </cell>
          <cell r="Q262">
            <v>8.2500000000000004E-2</v>
          </cell>
          <cell r="R262">
            <v>0.91749999999999998</v>
          </cell>
        </row>
        <row r="263">
          <cell r="K263" t="str">
            <v>ExportLNTManorUSAHand51x76D</v>
          </cell>
          <cell r="L263">
            <v>0</v>
          </cell>
          <cell r="M263">
            <v>2.5000000000000001E-3</v>
          </cell>
          <cell r="N263">
            <v>6.5000000000000002E-2</v>
          </cell>
          <cell r="O263">
            <v>1.4999999999999999E-2</v>
          </cell>
          <cell r="Q263">
            <v>8.2500000000000004E-2</v>
          </cell>
          <cell r="R263">
            <v>0.91749999999999998</v>
          </cell>
        </row>
        <row r="264">
          <cell r="K264" t="str">
            <v>ExportLNTManorUSAWash33x33L</v>
          </cell>
          <cell r="L264">
            <v>0</v>
          </cell>
          <cell r="M264">
            <v>2.5000000000000001E-3</v>
          </cell>
          <cell r="N264">
            <v>6.5000000000000002E-2</v>
          </cell>
          <cell r="O264">
            <v>1.4999999999999999E-2</v>
          </cell>
          <cell r="Q264">
            <v>8.2500000000000004E-2</v>
          </cell>
          <cell r="R264">
            <v>0.91749999999999998</v>
          </cell>
        </row>
        <row r="265">
          <cell r="K265" t="str">
            <v>ExportLNTManorUSAWash33x33M</v>
          </cell>
          <cell r="L265">
            <v>0</v>
          </cell>
          <cell r="M265">
            <v>2.5000000000000001E-3</v>
          </cell>
          <cell r="N265">
            <v>6.5000000000000002E-2</v>
          </cell>
          <cell r="O265">
            <v>1.4999999999999999E-2</v>
          </cell>
          <cell r="Q265">
            <v>8.2500000000000004E-2</v>
          </cell>
          <cell r="R265">
            <v>0.91749999999999998</v>
          </cell>
        </row>
        <row r="266">
          <cell r="K266" t="str">
            <v>ExportLNTManorUSAWash33x33D</v>
          </cell>
          <cell r="L266">
            <v>0</v>
          </cell>
          <cell r="M266">
            <v>2.5000000000000001E-3</v>
          </cell>
          <cell r="N266">
            <v>6.5000000000000002E-2</v>
          </cell>
          <cell r="O266">
            <v>1.4999999999999999E-2</v>
          </cell>
          <cell r="Q266">
            <v>8.2500000000000004E-2</v>
          </cell>
          <cell r="R266">
            <v>0.91749999999999998</v>
          </cell>
        </row>
        <row r="267">
          <cell r="K267" t="str">
            <v>ExportLNTNewUSABath76x147L</v>
          </cell>
          <cell r="L267">
            <v>0</v>
          </cell>
          <cell r="M267">
            <v>2.5000000000000001E-3</v>
          </cell>
          <cell r="N267">
            <v>6.5000000000000002E-2</v>
          </cell>
          <cell r="O267">
            <v>1.4999999999999999E-2</v>
          </cell>
          <cell r="Q267">
            <v>8.2500000000000004E-2</v>
          </cell>
          <cell r="R267">
            <v>0.91749999999999998</v>
          </cell>
        </row>
        <row r="268">
          <cell r="K268" t="str">
            <v>ExportLNTNewUSABath76x147M</v>
          </cell>
          <cell r="L268">
            <v>0</v>
          </cell>
          <cell r="M268">
            <v>2.5000000000000001E-3</v>
          </cell>
          <cell r="N268">
            <v>6.5000000000000002E-2</v>
          </cell>
          <cell r="O268">
            <v>1.4999999999999999E-2</v>
          </cell>
          <cell r="Q268">
            <v>8.2500000000000004E-2</v>
          </cell>
          <cell r="R268">
            <v>0.91749999999999998</v>
          </cell>
        </row>
        <row r="269">
          <cell r="K269" t="str">
            <v>ExportLNTNewUSABath76x147D</v>
          </cell>
          <cell r="L269">
            <v>0</v>
          </cell>
          <cell r="M269">
            <v>2.5000000000000001E-3</v>
          </cell>
          <cell r="N269">
            <v>6.5000000000000002E-2</v>
          </cell>
          <cell r="O269">
            <v>1.4999999999999999E-2</v>
          </cell>
          <cell r="Q269">
            <v>8.2500000000000004E-2</v>
          </cell>
          <cell r="R269">
            <v>0.91749999999999998</v>
          </cell>
        </row>
        <row r="270">
          <cell r="K270" t="str">
            <v>ExportLNTNewUSAHand51x76L</v>
          </cell>
          <cell r="L270">
            <v>0</v>
          </cell>
          <cell r="M270">
            <v>2.5000000000000001E-3</v>
          </cell>
          <cell r="N270">
            <v>6.5000000000000002E-2</v>
          </cell>
          <cell r="O270">
            <v>1.4999999999999999E-2</v>
          </cell>
          <cell r="Q270">
            <v>8.2500000000000004E-2</v>
          </cell>
          <cell r="R270">
            <v>0.91749999999999998</v>
          </cell>
        </row>
        <row r="271">
          <cell r="K271" t="str">
            <v>ExportLNTNewUSAHand51x76M</v>
          </cell>
          <cell r="L271">
            <v>0</v>
          </cell>
          <cell r="M271">
            <v>2.5000000000000001E-3</v>
          </cell>
          <cell r="N271">
            <v>6.5000000000000002E-2</v>
          </cell>
          <cell r="O271">
            <v>1.4999999999999999E-2</v>
          </cell>
          <cell r="Q271">
            <v>8.2500000000000004E-2</v>
          </cell>
          <cell r="R271">
            <v>0.91749999999999998</v>
          </cell>
        </row>
        <row r="272">
          <cell r="K272" t="str">
            <v>ExportLNTNewUSAHand51x76D</v>
          </cell>
          <cell r="L272">
            <v>0</v>
          </cell>
          <cell r="M272">
            <v>2.5000000000000001E-3</v>
          </cell>
          <cell r="N272">
            <v>6.5000000000000002E-2</v>
          </cell>
          <cell r="O272">
            <v>1.4999999999999999E-2</v>
          </cell>
          <cell r="Q272">
            <v>8.2500000000000004E-2</v>
          </cell>
          <cell r="R272">
            <v>0.91749999999999998</v>
          </cell>
        </row>
        <row r="273">
          <cell r="K273" t="str">
            <v>ExportLNTNewUSAWash33x33L</v>
          </cell>
          <cell r="L273">
            <v>0</v>
          </cell>
          <cell r="M273">
            <v>2.5000000000000001E-3</v>
          </cell>
          <cell r="N273">
            <v>6.5000000000000002E-2</v>
          </cell>
          <cell r="O273">
            <v>1.4999999999999999E-2</v>
          </cell>
          <cell r="Q273">
            <v>8.2500000000000004E-2</v>
          </cell>
          <cell r="R273">
            <v>0.91749999999999998</v>
          </cell>
        </row>
        <row r="274">
          <cell r="K274" t="str">
            <v>ExportLNTNewUSAWash33x33M</v>
          </cell>
          <cell r="L274">
            <v>0</v>
          </cell>
          <cell r="M274">
            <v>2.5000000000000001E-3</v>
          </cell>
          <cell r="N274">
            <v>6.5000000000000002E-2</v>
          </cell>
          <cell r="O274">
            <v>1.4999999999999999E-2</v>
          </cell>
          <cell r="Q274">
            <v>8.2500000000000004E-2</v>
          </cell>
          <cell r="R274">
            <v>0.91749999999999998</v>
          </cell>
        </row>
        <row r="275">
          <cell r="K275" t="str">
            <v>ExportLNTNewUSAWash33x33D</v>
          </cell>
          <cell r="L275">
            <v>0</v>
          </cell>
          <cell r="M275">
            <v>2.5000000000000001E-3</v>
          </cell>
          <cell r="N275">
            <v>6.5000000000000002E-2</v>
          </cell>
          <cell r="O275">
            <v>1.4999999999999999E-2</v>
          </cell>
          <cell r="Q275">
            <v>8.2500000000000004E-2</v>
          </cell>
          <cell r="R275">
            <v>0.91749999999999998</v>
          </cell>
        </row>
        <row r="276">
          <cell r="K276" t="str">
            <v>ExportKohlsBig One StripeUSABath76x137L</v>
          </cell>
          <cell r="L276">
            <v>0</v>
          </cell>
          <cell r="M276">
            <v>2.5000000000000001E-3</v>
          </cell>
          <cell r="N276">
            <v>6.5000000000000002E-2</v>
          </cell>
          <cell r="O276">
            <v>1.4999999999999999E-2</v>
          </cell>
          <cell r="Q276">
            <v>8.2500000000000004E-2</v>
          </cell>
          <cell r="R276">
            <v>0.91749999999999998</v>
          </cell>
        </row>
        <row r="277">
          <cell r="K277" t="str">
            <v>ExportKohlsBig One StripeUSABath76x137M</v>
          </cell>
          <cell r="L277">
            <v>0</v>
          </cell>
          <cell r="M277">
            <v>2.5000000000000001E-3</v>
          </cell>
          <cell r="N277">
            <v>6.5000000000000002E-2</v>
          </cell>
          <cell r="O277">
            <v>1.4999999999999999E-2</v>
          </cell>
          <cell r="Q277">
            <v>8.2500000000000004E-2</v>
          </cell>
          <cell r="R277">
            <v>0.91749999999999998</v>
          </cell>
        </row>
        <row r="278">
          <cell r="K278" t="str">
            <v>ExportKohlsBig One StripeUSABath76x137D</v>
          </cell>
          <cell r="L278">
            <v>0</v>
          </cell>
          <cell r="M278">
            <v>2.5000000000000001E-3</v>
          </cell>
          <cell r="N278">
            <v>6.5000000000000002E-2</v>
          </cell>
          <cell r="O278">
            <v>1.4999999999999999E-2</v>
          </cell>
          <cell r="Q278">
            <v>8.2500000000000004E-2</v>
          </cell>
          <cell r="R278">
            <v>0.91749999999999998</v>
          </cell>
        </row>
        <row r="279">
          <cell r="K279" t="str">
            <v>ExportKohlsBig One StripeUSAHand41x71L</v>
          </cell>
          <cell r="L279">
            <v>0</v>
          </cell>
          <cell r="M279">
            <v>2.5000000000000001E-3</v>
          </cell>
          <cell r="N279">
            <v>6.5000000000000002E-2</v>
          </cell>
          <cell r="O279">
            <v>1.4999999999999999E-2</v>
          </cell>
          <cell r="Q279">
            <v>8.2500000000000004E-2</v>
          </cell>
          <cell r="R279">
            <v>0.91749999999999998</v>
          </cell>
        </row>
        <row r="280">
          <cell r="K280" t="str">
            <v>ExportKohlsBig One StripeUSAHand41x71M</v>
          </cell>
          <cell r="L280">
            <v>0</v>
          </cell>
          <cell r="M280">
            <v>2.5000000000000001E-3</v>
          </cell>
          <cell r="N280">
            <v>6.5000000000000002E-2</v>
          </cell>
          <cell r="O280">
            <v>1.4999999999999999E-2</v>
          </cell>
          <cell r="Q280">
            <v>8.2500000000000004E-2</v>
          </cell>
          <cell r="R280">
            <v>0.91749999999999998</v>
          </cell>
        </row>
        <row r="281">
          <cell r="K281" t="str">
            <v>ExportKohlsBig One StripeUSAHand41x71D</v>
          </cell>
          <cell r="L281">
            <v>0</v>
          </cell>
          <cell r="M281">
            <v>2.5000000000000001E-3</v>
          </cell>
          <cell r="N281">
            <v>6.5000000000000002E-2</v>
          </cell>
          <cell r="O281">
            <v>1.4999999999999999E-2</v>
          </cell>
          <cell r="Q281">
            <v>8.2500000000000004E-2</v>
          </cell>
          <cell r="R281">
            <v>0.91749999999999998</v>
          </cell>
        </row>
        <row r="282">
          <cell r="K282" t="str">
            <v>ExportKohlsBig One StripeUSAWash30x30L</v>
          </cell>
          <cell r="L282">
            <v>0</v>
          </cell>
          <cell r="M282">
            <v>2.5000000000000001E-3</v>
          </cell>
          <cell r="N282">
            <v>6.5000000000000002E-2</v>
          </cell>
          <cell r="O282">
            <v>1.4999999999999999E-2</v>
          </cell>
          <cell r="Q282">
            <v>8.2500000000000004E-2</v>
          </cell>
          <cell r="R282">
            <v>0.91749999999999998</v>
          </cell>
        </row>
        <row r="283">
          <cell r="K283" t="str">
            <v>ExportKohlsBig One StripeUSAWash30x30M</v>
          </cell>
          <cell r="L283">
            <v>0</v>
          </cell>
          <cell r="M283">
            <v>2.5000000000000001E-3</v>
          </cell>
          <cell r="N283">
            <v>6.5000000000000002E-2</v>
          </cell>
          <cell r="O283">
            <v>1.4999999999999999E-2</v>
          </cell>
          <cell r="Q283">
            <v>8.2500000000000004E-2</v>
          </cell>
          <cell r="R283">
            <v>0.91749999999999998</v>
          </cell>
        </row>
        <row r="284">
          <cell r="K284" t="str">
            <v>ExportKohlsBig One StripeUSAWash30x30D</v>
          </cell>
          <cell r="L284">
            <v>0</v>
          </cell>
          <cell r="M284">
            <v>2.5000000000000001E-3</v>
          </cell>
          <cell r="N284">
            <v>6.5000000000000002E-2</v>
          </cell>
          <cell r="O284">
            <v>1.4999999999999999E-2</v>
          </cell>
          <cell r="Q284">
            <v>8.2500000000000004E-2</v>
          </cell>
          <cell r="R284">
            <v>0.91749999999999998</v>
          </cell>
        </row>
        <row r="285">
          <cell r="K285" t="str">
            <v>ExportKohlsBig One SolidUSABath76x137L</v>
          </cell>
          <cell r="L285">
            <v>0</v>
          </cell>
          <cell r="M285">
            <v>2.5000000000000001E-3</v>
          </cell>
          <cell r="N285">
            <v>6.5000000000000002E-2</v>
          </cell>
          <cell r="O285">
            <v>1.4999999999999999E-2</v>
          </cell>
          <cell r="Q285">
            <v>8.2500000000000004E-2</v>
          </cell>
          <cell r="R285">
            <v>0.91749999999999998</v>
          </cell>
        </row>
        <row r="286">
          <cell r="K286" t="str">
            <v>ExportKohlsBig One SolidUSABath76x137M</v>
          </cell>
          <cell r="L286">
            <v>0</v>
          </cell>
          <cell r="M286">
            <v>2.5000000000000001E-3</v>
          </cell>
          <cell r="N286">
            <v>6.5000000000000002E-2</v>
          </cell>
          <cell r="O286">
            <v>1.4999999999999999E-2</v>
          </cell>
          <cell r="Q286">
            <v>8.2500000000000004E-2</v>
          </cell>
          <cell r="R286">
            <v>0.91749999999999998</v>
          </cell>
        </row>
        <row r="287">
          <cell r="K287" t="str">
            <v>ExportKohlsBig One SolidUSABath76x137D</v>
          </cell>
          <cell r="L287">
            <v>0</v>
          </cell>
          <cell r="M287">
            <v>2.5000000000000001E-3</v>
          </cell>
          <cell r="N287">
            <v>6.5000000000000002E-2</v>
          </cell>
          <cell r="O287">
            <v>1.4999999999999999E-2</v>
          </cell>
          <cell r="Q287">
            <v>8.2500000000000004E-2</v>
          </cell>
          <cell r="R287">
            <v>0.91749999999999998</v>
          </cell>
        </row>
        <row r="288">
          <cell r="K288" t="str">
            <v>ExportKohlsBig One SolidUSAHand41x71L</v>
          </cell>
          <cell r="L288">
            <v>0</v>
          </cell>
          <cell r="M288">
            <v>2.5000000000000001E-3</v>
          </cell>
          <cell r="N288">
            <v>6.5000000000000002E-2</v>
          </cell>
          <cell r="O288">
            <v>1.4999999999999999E-2</v>
          </cell>
          <cell r="Q288">
            <v>8.2500000000000004E-2</v>
          </cell>
          <cell r="R288">
            <v>0.91749999999999998</v>
          </cell>
        </row>
        <row r="289">
          <cell r="K289" t="str">
            <v>ExportKohlsBig One SolidUSAHand41x71M</v>
          </cell>
          <cell r="L289">
            <v>0</v>
          </cell>
          <cell r="M289">
            <v>2.5000000000000001E-3</v>
          </cell>
          <cell r="N289">
            <v>6.5000000000000002E-2</v>
          </cell>
          <cell r="O289">
            <v>1.4999999999999999E-2</v>
          </cell>
          <cell r="Q289">
            <v>8.2500000000000004E-2</v>
          </cell>
          <cell r="R289">
            <v>0.91749999999999998</v>
          </cell>
        </row>
        <row r="290">
          <cell r="K290" t="str">
            <v>ExportKohlsBig One SolidUSAHand41x71D</v>
          </cell>
          <cell r="L290">
            <v>0</v>
          </cell>
          <cell r="M290">
            <v>2.5000000000000001E-3</v>
          </cell>
          <cell r="N290">
            <v>6.5000000000000002E-2</v>
          </cell>
          <cell r="O290">
            <v>1.4999999999999999E-2</v>
          </cell>
          <cell r="Q290">
            <v>8.2500000000000004E-2</v>
          </cell>
          <cell r="R290">
            <v>0.91749999999999998</v>
          </cell>
        </row>
        <row r="291">
          <cell r="K291" t="str">
            <v>ExportKohlsBig One SolidUSAWash30x30L</v>
          </cell>
          <cell r="L291">
            <v>0</v>
          </cell>
          <cell r="M291">
            <v>2.5000000000000001E-3</v>
          </cell>
          <cell r="N291">
            <v>6.5000000000000002E-2</v>
          </cell>
          <cell r="O291">
            <v>1.4999999999999999E-2</v>
          </cell>
          <cell r="Q291">
            <v>8.2500000000000004E-2</v>
          </cell>
          <cell r="R291">
            <v>0.91749999999999998</v>
          </cell>
        </row>
        <row r="292">
          <cell r="K292" t="str">
            <v>ExportKohlsBig One SolidUSAWash30x30M</v>
          </cell>
          <cell r="L292">
            <v>0</v>
          </cell>
          <cell r="M292">
            <v>2.5000000000000001E-3</v>
          </cell>
          <cell r="N292">
            <v>6.5000000000000002E-2</v>
          </cell>
          <cell r="O292">
            <v>1.4999999999999999E-2</v>
          </cell>
          <cell r="Q292">
            <v>8.2500000000000004E-2</v>
          </cell>
          <cell r="R292">
            <v>0.91749999999999998</v>
          </cell>
        </row>
        <row r="293">
          <cell r="K293" t="str">
            <v>ExportKohlsBig One SolidUSAWash30x30D</v>
          </cell>
          <cell r="L293">
            <v>0</v>
          </cell>
          <cell r="M293">
            <v>2.5000000000000001E-3</v>
          </cell>
          <cell r="N293">
            <v>6.5000000000000002E-2</v>
          </cell>
          <cell r="O293">
            <v>1.4999999999999999E-2</v>
          </cell>
          <cell r="Q293">
            <v>8.2500000000000004E-2</v>
          </cell>
          <cell r="R293">
            <v>0.91749999999999998</v>
          </cell>
        </row>
        <row r="294">
          <cell r="K294" t="str">
            <v>ExportIst New Buyer00Bath76x137L</v>
          </cell>
          <cell r="L294">
            <v>0</v>
          </cell>
          <cell r="M294">
            <v>2.5000000000000001E-3</v>
          </cell>
          <cell r="N294">
            <v>6.5000000000000002E-2</v>
          </cell>
          <cell r="O294">
            <v>1.4999999999999999E-2</v>
          </cell>
          <cell r="Q294">
            <v>8.2500000000000004E-2</v>
          </cell>
          <cell r="R294">
            <v>0.91749999999999998</v>
          </cell>
        </row>
        <row r="295">
          <cell r="K295" t="str">
            <v>ExportIst New Buyer00Bath76x137M</v>
          </cell>
          <cell r="L295">
            <v>0</v>
          </cell>
          <cell r="M295">
            <v>2.5000000000000001E-3</v>
          </cell>
          <cell r="N295">
            <v>6.5000000000000002E-2</v>
          </cell>
          <cell r="O295">
            <v>1.4999999999999999E-2</v>
          </cell>
          <cell r="Q295">
            <v>8.2500000000000004E-2</v>
          </cell>
          <cell r="R295">
            <v>0.91749999999999998</v>
          </cell>
        </row>
        <row r="296">
          <cell r="K296" t="str">
            <v>ExportIst New Buyer00Bath76x137D</v>
          </cell>
          <cell r="L296">
            <v>0</v>
          </cell>
          <cell r="M296">
            <v>2.5000000000000001E-3</v>
          </cell>
          <cell r="N296">
            <v>6.5000000000000002E-2</v>
          </cell>
          <cell r="O296">
            <v>1.4999999999999999E-2</v>
          </cell>
          <cell r="Q296">
            <v>8.2500000000000004E-2</v>
          </cell>
          <cell r="R296">
            <v>0.91749999999999998</v>
          </cell>
        </row>
        <row r="297">
          <cell r="K297" t="str">
            <v>ExportIst New Buyer00Hand41x76L</v>
          </cell>
          <cell r="L297">
            <v>0</v>
          </cell>
          <cell r="M297">
            <v>2.5000000000000001E-3</v>
          </cell>
          <cell r="N297">
            <v>6.5000000000000002E-2</v>
          </cell>
          <cell r="O297">
            <v>1.4999999999999999E-2</v>
          </cell>
          <cell r="Q297">
            <v>8.2500000000000004E-2</v>
          </cell>
          <cell r="R297">
            <v>0.91749999999999998</v>
          </cell>
        </row>
        <row r="298">
          <cell r="K298" t="str">
            <v>ExportIst New Buyer00Hand41x76M</v>
          </cell>
          <cell r="L298">
            <v>0</v>
          </cell>
          <cell r="M298">
            <v>2.5000000000000001E-3</v>
          </cell>
          <cell r="N298">
            <v>6.5000000000000002E-2</v>
          </cell>
          <cell r="O298">
            <v>1.4999999999999999E-2</v>
          </cell>
          <cell r="Q298">
            <v>8.2500000000000004E-2</v>
          </cell>
          <cell r="R298">
            <v>0.91749999999999998</v>
          </cell>
        </row>
        <row r="299">
          <cell r="K299" t="str">
            <v>ExportIst New Buyer00Hand41x76D</v>
          </cell>
          <cell r="L299">
            <v>0</v>
          </cell>
          <cell r="M299">
            <v>2.5000000000000001E-3</v>
          </cell>
          <cell r="N299">
            <v>6.5000000000000002E-2</v>
          </cell>
          <cell r="O299">
            <v>1.4999999999999999E-2</v>
          </cell>
          <cell r="Q299">
            <v>8.2500000000000004E-2</v>
          </cell>
          <cell r="R299">
            <v>0.91749999999999998</v>
          </cell>
        </row>
        <row r="300">
          <cell r="K300" t="str">
            <v>ExportIst New Buyer00Wash33x33L</v>
          </cell>
          <cell r="L300">
            <v>0</v>
          </cell>
          <cell r="M300">
            <v>2.5000000000000001E-3</v>
          </cell>
          <cell r="N300">
            <v>6.5000000000000002E-2</v>
          </cell>
          <cell r="O300">
            <v>1.4999999999999999E-2</v>
          </cell>
          <cell r="Q300">
            <v>8.2500000000000004E-2</v>
          </cell>
          <cell r="R300">
            <v>0.91749999999999998</v>
          </cell>
        </row>
        <row r="301">
          <cell r="K301" t="str">
            <v>ExportIst New Buyer00Wash33x33M</v>
          </cell>
          <cell r="L301">
            <v>0</v>
          </cell>
          <cell r="M301">
            <v>2.5000000000000001E-3</v>
          </cell>
          <cell r="N301">
            <v>6.5000000000000002E-2</v>
          </cell>
          <cell r="O301">
            <v>1.4999999999999999E-2</v>
          </cell>
          <cell r="Q301">
            <v>8.2500000000000004E-2</v>
          </cell>
          <cell r="R301">
            <v>0.91749999999999998</v>
          </cell>
        </row>
        <row r="302">
          <cell r="K302" t="str">
            <v>ExportIst New Buyer00Wash33x33D</v>
          </cell>
          <cell r="L302">
            <v>0</v>
          </cell>
          <cell r="M302">
            <v>2.5000000000000001E-3</v>
          </cell>
          <cell r="N302">
            <v>6.5000000000000002E-2</v>
          </cell>
          <cell r="O302">
            <v>1.4999999999999999E-2</v>
          </cell>
          <cell r="Q302">
            <v>8.2500000000000004E-2</v>
          </cell>
          <cell r="R302">
            <v>0.91749999999999998</v>
          </cell>
        </row>
        <row r="303">
          <cell r="K303" t="str">
            <v>Export2nd New Buyer00Bath76x137L</v>
          </cell>
          <cell r="L303">
            <v>0</v>
          </cell>
          <cell r="M303">
            <v>2.5000000000000001E-3</v>
          </cell>
          <cell r="N303">
            <v>6.5000000000000002E-2</v>
          </cell>
          <cell r="O303">
            <v>1.4999999999999999E-2</v>
          </cell>
          <cell r="Q303">
            <v>8.2500000000000004E-2</v>
          </cell>
          <cell r="R303">
            <v>0.91749999999999998</v>
          </cell>
        </row>
        <row r="304">
          <cell r="K304" t="str">
            <v>Export2nd New Buyer00Bath76x137M</v>
          </cell>
          <cell r="L304">
            <v>0</v>
          </cell>
          <cell r="M304">
            <v>2.5000000000000001E-3</v>
          </cell>
          <cell r="N304">
            <v>6.5000000000000002E-2</v>
          </cell>
          <cell r="O304">
            <v>1.4999999999999999E-2</v>
          </cell>
          <cell r="Q304">
            <v>8.2500000000000004E-2</v>
          </cell>
          <cell r="R304">
            <v>0.91749999999999998</v>
          </cell>
        </row>
        <row r="305">
          <cell r="K305" t="str">
            <v>Export2nd New Buyer00Bath76x137D</v>
          </cell>
          <cell r="L305">
            <v>0</v>
          </cell>
          <cell r="M305">
            <v>2.5000000000000001E-3</v>
          </cell>
          <cell r="N305">
            <v>6.5000000000000002E-2</v>
          </cell>
          <cell r="O305">
            <v>1.4999999999999999E-2</v>
          </cell>
          <cell r="Q305">
            <v>8.2500000000000004E-2</v>
          </cell>
          <cell r="R305">
            <v>0.91749999999999998</v>
          </cell>
        </row>
        <row r="306">
          <cell r="K306" t="str">
            <v>Export2nd New Buyer00Hand41x76L</v>
          </cell>
          <cell r="L306">
            <v>0</v>
          </cell>
          <cell r="M306">
            <v>2.5000000000000001E-3</v>
          </cell>
          <cell r="N306">
            <v>6.5000000000000002E-2</v>
          </cell>
          <cell r="O306">
            <v>1.4999999999999999E-2</v>
          </cell>
          <cell r="Q306">
            <v>8.2500000000000004E-2</v>
          </cell>
          <cell r="R306">
            <v>0.91749999999999998</v>
          </cell>
        </row>
        <row r="307">
          <cell r="K307" t="str">
            <v>Export2nd New Buyer00Hand41x76M</v>
          </cell>
          <cell r="L307">
            <v>0</v>
          </cell>
          <cell r="M307">
            <v>2.5000000000000001E-3</v>
          </cell>
          <cell r="N307">
            <v>6.5000000000000002E-2</v>
          </cell>
          <cell r="O307">
            <v>1.4999999999999999E-2</v>
          </cell>
          <cell r="Q307">
            <v>8.2500000000000004E-2</v>
          </cell>
          <cell r="R307">
            <v>0.91749999999999998</v>
          </cell>
        </row>
        <row r="308">
          <cell r="K308" t="str">
            <v>Export2nd New Buyer00Hand41x76D</v>
          </cell>
          <cell r="L308">
            <v>0</v>
          </cell>
          <cell r="M308">
            <v>2.5000000000000001E-3</v>
          </cell>
          <cell r="N308">
            <v>6.5000000000000002E-2</v>
          </cell>
          <cell r="O308">
            <v>1.4999999999999999E-2</v>
          </cell>
          <cell r="Q308">
            <v>8.2500000000000004E-2</v>
          </cell>
          <cell r="R308">
            <v>0.91749999999999998</v>
          </cell>
        </row>
        <row r="309">
          <cell r="K309" t="str">
            <v>Export2nd New Buyer00Wash33x33L</v>
          </cell>
          <cell r="L309">
            <v>0</v>
          </cell>
          <cell r="M309">
            <v>2.5000000000000001E-3</v>
          </cell>
          <cell r="N309">
            <v>6.5000000000000002E-2</v>
          </cell>
          <cell r="O309">
            <v>1.4999999999999999E-2</v>
          </cell>
          <cell r="Q309">
            <v>8.2500000000000004E-2</v>
          </cell>
          <cell r="R309">
            <v>0.91749999999999998</v>
          </cell>
        </row>
        <row r="310">
          <cell r="K310" t="str">
            <v>Export2nd New Buyer00Wash33x33M</v>
          </cell>
          <cell r="L310">
            <v>0</v>
          </cell>
          <cell r="M310">
            <v>2.5000000000000001E-3</v>
          </cell>
          <cell r="N310">
            <v>6.5000000000000002E-2</v>
          </cell>
          <cell r="O310">
            <v>1.4999999999999999E-2</v>
          </cell>
          <cell r="Q310">
            <v>8.2500000000000004E-2</v>
          </cell>
          <cell r="R310">
            <v>0.91749999999999998</v>
          </cell>
        </row>
        <row r="311">
          <cell r="K311" t="str">
            <v>Export2nd New Buyer00Wash33x33D</v>
          </cell>
          <cell r="L311">
            <v>0</v>
          </cell>
          <cell r="M311">
            <v>2.5000000000000001E-3</v>
          </cell>
          <cell r="N311">
            <v>6.5000000000000002E-2</v>
          </cell>
          <cell r="O311">
            <v>1.4999999999999999E-2</v>
          </cell>
          <cell r="Q311">
            <v>8.2500000000000004E-2</v>
          </cell>
          <cell r="R311">
            <v>0.91749999999999998</v>
          </cell>
        </row>
        <row r="312">
          <cell r="K312" t="str">
            <v>Export3rd New Buyer00Bath0x0L</v>
          </cell>
          <cell r="L312">
            <v>0</v>
          </cell>
          <cell r="M312">
            <v>2.5000000000000001E-3</v>
          </cell>
          <cell r="N312">
            <v>6.5000000000000002E-2</v>
          </cell>
          <cell r="O312">
            <v>1.4999999999999999E-2</v>
          </cell>
          <cell r="Q312">
            <v>8.2500000000000004E-2</v>
          </cell>
          <cell r="R312">
            <v>0.91749999999999998</v>
          </cell>
        </row>
        <row r="313">
          <cell r="K313" t="str">
            <v>Export3rd New Buyer00Bath0x0M</v>
          </cell>
          <cell r="L313">
            <v>0</v>
          </cell>
          <cell r="M313">
            <v>2.5000000000000001E-3</v>
          </cell>
          <cell r="N313">
            <v>6.5000000000000002E-2</v>
          </cell>
          <cell r="O313">
            <v>1.4999999999999999E-2</v>
          </cell>
          <cell r="Q313">
            <v>8.2500000000000004E-2</v>
          </cell>
          <cell r="R313">
            <v>0.91749999999999998</v>
          </cell>
        </row>
        <row r="314">
          <cell r="K314" t="str">
            <v>Export3rd New Buyer00Bath0x0D</v>
          </cell>
          <cell r="L314">
            <v>0</v>
          </cell>
          <cell r="M314">
            <v>2.5000000000000001E-3</v>
          </cell>
          <cell r="N314">
            <v>6.5000000000000002E-2</v>
          </cell>
          <cell r="O314">
            <v>1.4999999999999999E-2</v>
          </cell>
          <cell r="Q314">
            <v>8.2500000000000004E-2</v>
          </cell>
          <cell r="R314">
            <v>0.91749999999999998</v>
          </cell>
        </row>
        <row r="317">
          <cell r="K317" t="str">
            <v>ExportTargetWaverlyUSABath76x142L</v>
          </cell>
          <cell r="L317">
            <v>0</v>
          </cell>
          <cell r="M317">
            <v>2.5000000000000001E-3</v>
          </cell>
          <cell r="N317">
            <v>6.5000000000000002E-2</v>
          </cell>
          <cell r="O317">
            <v>1.4999999999999999E-2</v>
          </cell>
          <cell r="Q317">
            <v>8.2500000000000004E-2</v>
          </cell>
          <cell r="R317">
            <v>0.91749999999999998</v>
          </cell>
        </row>
        <row r="318">
          <cell r="K318" t="str">
            <v>ExportTargetWaverlyUSABath76x142M</v>
          </cell>
          <cell r="L318">
            <v>0</v>
          </cell>
          <cell r="M318">
            <v>2.5000000000000001E-3</v>
          </cell>
          <cell r="N318">
            <v>6.5000000000000002E-2</v>
          </cell>
          <cell r="O318">
            <v>1.4999999999999999E-2</v>
          </cell>
          <cell r="Q318">
            <v>8.2500000000000004E-2</v>
          </cell>
          <cell r="R318">
            <v>0.91749999999999998</v>
          </cell>
        </row>
        <row r="319">
          <cell r="K319" t="str">
            <v>ExportTargetWaverlyUSABath76x142D</v>
          </cell>
          <cell r="L319">
            <v>0</v>
          </cell>
          <cell r="M319">
            <v>2.5000000000000001E-3</v>
          </cell>
          <cell r="N319">
            <v>6.5000000000000002E-2</v>
          </cell>
          <cell r="O319">
            <v>1.4999999999999999E-2</v>
          </cell>
          <cell r="Q319">
            <v>8.2500000000000004E-2</v>
          </cell>
          <cell r="R319">
            <v>0.91749999999999998</v>
          </cell>
        </row>
        <row r="320">
          <cell r="K320" t="str">
            <v>ExportTargetWaverlyUSAHand41x76L</v>
          </cell>
          <cell r="L320">
            <v>0</v>
          </cell>
          <cell r="M320">
            <v>2.5000000000000001E-3</v>
          </cell>
          <cell r="N320">
            <v>6.5000000000000002E-2</v>
          </cell>
          <cell r="O320">
            <v>1.4999999999999999E-2</v>
          </cell>
          <cell r="Q320">
            <v>8.2500000000000004E-2</v>
          </cell>
          <cell r="R320">
            <v>0.91749999999999998</v>
          </cell>
        </row>
        <row r="321">
          <cell r="K321" t="str">
            <v>ExportTargetWaverlyUSAHand41x76M</v>
          </cell>
          <cell r="L321">
            <v>0</v>
          </cell>
          <cell r="M321">
            <v>2.5000000000000001E-3</v>
          </cell>
          <cell r="N321">
            <v>6.5000000000000002E-2</v>
          </cell>
          <cell r="O321">
            <v>1.4999999999999999E-2</v>
          </cell>
          <cell r="Q321">
            <v>8.2500000000000004E-2</v>
          </cell>
          <cell r="R321">
            <v>0.91749999999999998</v>
          </cell>
        </row>
        <row r="322">
          <cell r="K322" t="str">
            <v>ExportTargetWaverlyUSAHand41x76D</v>
          </cell>
          <cell r="L322">
            <v>0</v>
          </cell>
          <cell r="M322">
            <v>2.5000000000000001E-3</v>
          </cell>
          <cell r="N322">
            <v>6.5000000000000002E-2</v>
          </cell>
          <cell r="O322">
            <v>1.4999999999999999E-2</v>
          </cell>
          <cell r="Q322">
            <v>8.2500000000000004E-2</v>
          </cell>
          <cell r="R322">
            <v>0.91749999999999998</v>
          </cell>
        </row>
        <row r="323">
          <cell r="K323" t="str">
            <v>ExportTargetWaverlyUSAWash30x30L</v>
          </cell>
          <cell r="L323">
            <v>0</v>
          </cell>
          <cell r="M323">
            <v>2.5000000000000001E-3</v>
          </cell>
          <cell r="N323">
            <v>6.5000000000000002E-2</v>
          </cell>
          <cell r="O323">
            <v>1.4999999999999999E-2</v>
          </cell>
          <cell r="Q323">
            <v>8.2500000000000004E-2</v>
          </cell>
          <cell r="R323">
            <v>0.91749999999999998</v>
          </cell>
        </row>
        <row r="324">
          <cell r="K324" t="str">
            <v>ExportTargetWaverlyUSAWash30x30M</v>
          </cell>
          <cell r="L324" t="str">
            <v>Key -2</v>
          </cell>
          <cell r="M324">
            <v>2.5000000000000001E-3</v>
          </cell>
          <cell r="N324">
            <v>6.5000000000000002E-2</v>
          </cell>
          <cell r="O324">
            <v>1.4999999999999999E-2</v>
          </cell>
          <cell r="Q324">
            <v>8.2500000000000004E-2</v>
          </cell>
          <cell r="R324">
            <v>0.91749999999999998</v>
          </cell>
        </row>
        <row r="325">
          <cell r="K325" t="str">
            <v>ExportTargetWaverlyUSAWash30x30D</v>
          </cell>
          <cell r="L325">
            <v>0</v>
          </cell>
          <cell r="M325">
            <v>2.5000000000000001E-3</v>
          </cell>
          <cell r="N325">
            <v>6.5000000000000002E-2</v>
          </cell>
          <cell r="O325">
            <v>1.4999999999999999E-2</v>
          </cell>
          <cell r="Q325">
            <v>8.2500000000000004E-2</v>
          </cell>
          <cell r="R325">
            <v>0.91749999999999998</v>
          </cell>
        </row>
        <row r="326">
          <cell r="K326" t="str">
            <v>ExportWalmartHome TrendsUSABath76x132L</v>
          </cell>
          <cell r="L326">
            <v>0</v>
          </cell>
          <cell r="M326">
            <v>2.5000000000000001E-3</v>
          </cell>
          <cell r="N326">
            <v>6.5000000000000002E-2</v>
          </cell>
          <cell r="O326">
            <v>1.4999999999999999E-2</v>
          </cell>
          <cell r="Q326">
            <v>8.2500000000000004E-2</v>
          </cell>
          <cell r="R326">
            <v>0.91749999999999998</v>
          </cell>
        </row>
        <row r="327">
          <cell r="K327" t="str">
            <v>ExportWalmartHome TrendsUSABath76x132M</v>
          </cell>
          <cell r="L327">
            <v>0</v>
          </cell>
          <cell r="M327">
            <v>2.5000000000000001E-3</v>
          </cell>
          <cell r="N327">
            <v>6.5000000000000002E-2</v>
          </cell>
          <cell r="O327">
            <v>1.4999999999999999E-2</v>
          </cell>
          <cell r="Q327">
            <v>8.2500000000000004E-2</v>
          </cell>
          <cell r="R327">
            <v>0.91749999999999998</v>
          </cell>
        </row>
        <row r="328">
          <cell r="K328" t="str">
            <v>ExportWalmartHome TrendsUSABath76x132D</v>
          </cell>
          <cell r="L328">
            <v>0</v>
          </cell>
          <cell r="M328">
            <v>2.5000000000000001E-3</v>
          </cell>
          <cell r="N328">
            <v>6.5000000000000002E-2</v>
          </cell>
          <cell r="O328">
            <v>1.4999999999999999E-2</v>
          </cell>
          <cell r="Q328">
            <v>8.2500000000000004E-2</v>
          </cell>
          <cell r="R328">
            <v>0.91749999999999998</v>
          </cell>
        </row>
        <row r="329">
          <cell r="K329" t="str">
            <v>ExportWalmartHome TrendsUSAHand41x69L</v>
          </cell>
          <cell r="L329">
            <v>0</v>
          </cell>
          <cell r="M329">
            <v>2.5000000000000001E-3</v>
          </cell>
          <cell r="N329">
            <v>6.5000000000000002E-2</v>
          </cell>
          <cell r="O329">
            <v>1.4999999999999999E-2</v>
          </cell>
          <cell r="Q329">
            <v>8.2500000000000004E-2</v>
          </cell>
          <cell r="R329">
            <v>0.91749999999999998</v>
          </cell>
        </row>
        <row r="330">
          <cell r="K330" t="str">
            <v>ExportWalmartHome TrendsUSAHand41x69M</v>
          </cell>
          <cell r="L330">
            <v>0</v>
          </cell>
          <cell r="M330">
            <v>2.5000000000000001E-3</v>
          </cell>
          <cell r="N330">
            <v>6.5000000000000002E-2</v>
          </cell>
          <cell r="O330">
            <v>1.4999999999999999E-2</v>
          </cell>
          <cell r="Q330">
            <v>8.2500000000000004E-2</v>
          </cell>
          <cell r="R330">
            <v>0.91749999999999998</v>
          </cell>
        </row>
        <row r="331">
          <cell r="K331" t="str">
            <v>ExportWalmartHome TrendsUSAHand41x69D</v>
          </cell>
          <cell r="L331">
            <v>0</v>
          </cell>
          <cell r="M331">
            <v>2.5000000000000001E-3</v>
          </cell>
          <cell r="N331">
            <v>6.5000000000000002E-2</v>
          </cell>
          <cell r="O331">
            <v>1.4999999999999999E-2</v>
          </cell>
          <cell r="Q331">
            <v>8.2500000000000004E-2</v>
          </cell>
          <cell r="R331">
            <v>0.91749999999999998</v>
          </cell>
        </row>
        <row r="332">
          <cell r="K332" t="str">
            <v>ExportWalmartHome TrendsUSAWash33x33L</v>
          </cell>
          <cell r="L332">
            <v>0</v>
          </cell>
          <cell r="M332">
            <v>2.5000000000000001E-3</v>
          </cell>
          <cell r="N332">
            <v>6.5000000000000002E-2</v>
          </cell>
          <cell r="O332">
            <v>1.4999999999999999E-2</v>
          </cell>
          <cell r="Q332">
            <v>8.2500000000000004E-2</v>
          </cell>
          <cell r="R332">
            <v>0.91749999999999998</v>
          </cell>
        </row>
        <row r="333">
          <cell r="K333" t="str">
            <v>ExportWalmartHome TrendsUSAWash33x33M</v>
          </cell>
          <cell r="L333">
            <v>0</v>
          </cell>
          <cell r="M333">
            <v>2.5000000000000001E-3</v>
          </cell>
          <cell r="N333">
            <v>6.5000000000000002E-2</v>
          </cell>
          <cell r="O333">
            <v>1.4999999999999999E-2</v>
          </cell>
          <cell r="Q333">
            <v>8.2500000000000004E-2</v>
          </cell>
          <cell r="R333">
            <v>0.91749999999999998</v>
          </cell>
        </row>
        <row r="334">
          <cell r="K334" t="str">
            <v>ExportWalmartHome TrendsUSAWash33x33D</v>
          </cell>
          <cell r="L334">
            <v>0</v>
          </cell>
          <cell r="M334">
            <v>2.5000000000000001E-3</v>
          </cell>
          <cell r="N334">
            <v>6.5000000000000002E-2</v>
          </cell>
          <cell r="O334">
            <v>1.4999999999999999E-2</v>
          </cell>
          <cell r="Q334">
            <v>8.2500000000000004E-2</v>
          </cell>
          <cell r="R334">
            <v>0.91749999999999998</v>
          </cell>
        </row>
        <row r="335">
          <cell r="K335" t="str">
            <v>ExportMill WorkingCannon LandmarkUSABath76x137L</v>
          </cell>
          <cell r="L335">
            <v>0</v>
          </cell>
          <cell r="M335">
            <v>2.5000000000000001E-3</v>
          </cell>
          <cell r="N335">
            <v>6.5000000000000002E-2</v>
          </cell>
          <cell r="O335">
            <v>1.4999999999999999E-2</v>
          </cell>
          <cell r="Q335">
            <v>8.2500000000000004E-2</v>
          </cell>
          <cell r="R335">
            <v>0.91749999999999998</v>
          </cell>
        </row>
        <row r="336">
          <cell r="K336" t="str">
            <v>ExportMill WorkingCannon LandmarkUSABath76x137M</v>
          </cell>
          <cell r="L336">
            <v>0</v>
          </cell>
          <cell r="M336">
            <v>2.5000000000000001E-3</v>
          </cell>
          <cell r="N336">
            <v>6.5000000000000002E-2</v>
          </cell>
          <cell r="O336">
            <v>1.4999999999999999E-2</v>
          </cell>
          <cell r="Q336">
            <v>8.2500000000000004E-2</v>
          </cell>
          <cell r="R336">
            <v>0.91749999999999998</v>
          </cell>
        </row>
        <row r="337">
          <cell r="K337" t="str">
            <v>ExportMill WorkingCannon LandmarkUSABath76x137D</v>
          </cell>
          <cell r="L337">
            <v>0</v>
          </cell>
          <cell r="M337">
            <v>2.5000000000000001E-3</v>
          </cell>
          <cell r="N337">
            <v>6.5000000000000002E-2</v>
          </cell>
          <cell r="O337">
            <v>1.4999999999999999E-2</v>
          </cell>
          <cell r="Q337">
            <v>8.2500000000000004E-2</v>
          </cell>
          <cell r="R337">
            <v>0.91749999999999998</v>
          </cell>
        </row>
        <row r="338">
          <cell r="K338" t="str">
            <v>ExportMill WorkingCannon LandmarkUSAHand41x76L</v>
          </cell>
          <cell r="L338">
            <v>0</v>
          </cell>
          <cell r="M338">
            <v>2.5000000000000001E-3</v>
          </cell>
          <cell r="N338">
            <v>6.5000000000000002E-2</v>
          </cell>
          <cell r="O338">
            <v>1.4999999999999999E-2</v>
          </cell>
          <cell r="Q338">
            <v>8.2500000000000004E-2</v>
          </cell>
          <cell r="R338">
            <v>0.91749999999999998</v>
          </cell>
        </row>
        <row r="339">
          <cell r="K339" t="str">
            <v>ExportMill WorkingCannon LandmarkUSAHand41x76M</v>
          </cell>
          <cell r="L339">
            <v>0</v>
          </cell>
          <cell r="M339">
            <v>2.5000000000000001E-3</v>
          </cell>
          <cell r="N339">
            <v>6.5000000000000002E-2</v>
          </cell>
          <cell r="O339">
            <v>1.4999999999999999E-2</v>
          </cell>
          <cell r="Q339">
            <v>8.2500000000000004E-2</v>
          </cell>
          <cell r="R339">
            <v>0.91749999999999998</v>
          </cell>
        </row>
        <row r="340">
          <cell r="K340" t="str">
            <v>ExportMill WorkingCannon LandmarkUSAHand41x76D</v>
          </cell>
          <cell r="L340">
            <v>0</v>
          </cell>
          <cell r="M340">
            <v>2.5000000000000001E-3</v>
          </cell>
          <cell r="N340">
            <v>6.5000000000000002E-2</v>
          </cell>
          <cell r="O340">
            <v>1.4999999999999999E-2</v>
          </cell>
          <cell r="Q340">
            <v>8.2500000000000004E-2</v>
          </cell>
          <cell r="R340">
            <v>0.91749999999999998</v>
          </cell>
        </row>
        <row r="341">
          <cell r="K341" t="str">
            <v>ExportMill WorkingCannon LandmarkUSAWash33x33L</v>
          </cell>
          <cell r="L341">
            <v>0</v>
          </cell>
          <cell r="M341">
            <v>2.5000000000000001E-3</v>
          </cell>
          <cell r="N341">
            <v>6.5000000000000002E-2</v>
          </cell>
          <cell r="O341">
            <v>1.4999999999999999E-2</v>
          </cell>
          <cell r="Q341">
            <v>8.2500000000000004E-2</v>
          </cell>
          <cell r="R341">
            <v>0.91749999999999998</v>
          </cell>
        </row>
        <row r="342">
          <cell r="K342" t="str">
            <v>ExportMill WorkingCannon LandmarkUSAWash33x33M</v>
          </cell>
          <cell r="L342">
            <v>0</v>
          </cell>
          <cell r="M342">
            <v>2.5000000000000001E-3</v>
          </cell>
          <cell r="N342">
            <v>6.5000000000000002E-2</v>
          </cell>
          <cell r="O342">
            <v>1.4999999999999999E-2</v>
          </cell>
          <cell r="Q342">
            <v>8.2500000000000004E-2</v>
          </cell>
          <cell r="R342">
            <v>0.91749999999999998</v>
          </cell>
        </row>
        <row r="343">
          <cell r="K343" t="str">
            <v>ExportMill WorkingCannon LandmarkUSAWash33x33D</v>
          </cell>
          <cell r="L343">
            <v>0</v>
          </cell>
          <cell r="M343">
            <v>2.5000000000000001E-3</v>
          </cell>
          <cell r="N343">
            <v>6.5000000000000002E-2</v>
          </cell>
          <cell r="O343">
            <v>1.4999999999999999E-2</v>
          </cell>
          <cell r="Q343">
            <v>8.2500000000000004E-2</v>
          </cell>
          <cell r="R343">
            <v>0.91749999999999998</v>
          </cell>
        </row>
        <row r="344">
          <cell r="K344" t="str">
            <v>ExportMill WorkingCannon MilestoneUSABath76x137L</v>
          </cell>
          <cell r="L344">
            <v>0</v>
          </cell>
          <cell r="M344">
            <v>2.5000000000000001E-3</v>
          </cell>
          <cell r="N344">
            <v>6.5000000000000002E-2</v>
          </cell>
          <cell r="O344">
            <v>1.4999999999999999E-2</v>
          </cell>
          <cell r="Q344">
            <v>8.2500000000000004E-2</v>
          </cell>
          <cell r="R344">
            <v>0.91749999999999998</v>
          </cell>
        </row>
        <row r="345">
          <cell r="K345" t="str">
            <v>ExportMill WorkingCannon MilestoneUSABath76x137M</v>
          </cell>
          <cell r="L345">
            <v>0</v>
          </cell>
          <cell r="M345">
            <v>2.5000000000000001E-3</v>
          </cell>
          <cell r="N345">
            <v>6.5000000000000002E-2</v>
          </cell>
          <cell r="O345">
            <v>1.4999999999999999E-2</v>
          </cell>
          <cell r="Q345">
            <v>8.2500000000000004E-2</v>
          </cell>
          <cell r="R345">
            <v>0.91749999999999998</v>
          </cell>
        </row>
        <row r="346">
          <cell r="K346" t="str">
            <v>ExportMill WorkingCannon MilestoneUSABath76x137D</v>
          </cell>
          <cell r="L346">
            <v>0</v>
          </cell>
          <cell r="M346">
            <v>2.5000000000000001E-3</v>
          </cell>
          <cell r="N346">
            <v>6.5000000000000002E-2</v>
          </cell>
          <cell r="O346">
            <v>1.4999999999999999E-2</v>
          </cell>
          <cell r="Q346">
            <v>8.2500000000000004E-2</v>
          </cell>
          <cell r="R346">
            <v>0.91749999999999998</v>
          </cell>
        </row>
        <row r="347">
          <cell r="K347" t="str">
            <v>ExportMill WorkingCannon MilestoneUSAHand41x76L</v>
          </cell>
          <cell r="L347">
            <v>0</v>
          </cell>
          <cell r="M347">
            <v>2.5000000000000001E-3</v>
          </cell>
          <cell r="N347">
            <v>6.5000000000000002E-2</v>
          </cell>
          <cell r="O347">
            <v>1.4999999999999999E-2</v>
          </cell>
          <cell r="Q347">
            <v>8.2500000000000004E-2</v>
          </cell>
          <cell r="R347">
            <v>0.91749999999999998</v>
          </cell>
        </row>
        <row r="348">
          <cell r="K348" t="str">
            <v>ExportMill WorkingCannon MilestoneUSAHand41x76M</v>
          </cell>
          <cell r="L348">
            <v>0</v>
          </cell>
          <cell r="M348">
            <v>2.5000000000000001E-3</v>
          </cell>
          <cell r="N348">
            <v>6.5000000000000002E-2</v>
          </cell>
          <cell r="O348">
            <v>1.4999999999999999E-2</v>
          </cell>
          <cell r="Q348">
            <v>8.2500000000000004E-2</v>
          </cell>
          <cell r="R348">
            <v>0.91749999999999998</v>
          </cell>
        </row>
        <row r="349">
          <cell r="K349" t="str">
            <v>ExportMill WorkingCannon MilestoneUSAHand41x76D</v>
          </cell>
          <cell r="L349">
            <v>0</v>
          </cell>
          <cell r="M349">
            <v>2.5000000000000001E-3</v>
          </cell>
          <cell r="N349">
            <v>6.5000000000000002E-2</v>
          </cell>
          <cell r="O349">
            <v>1.4999999999999999E-2</v>
          </cell>
          <cell r="Q349">
            <v>8.2500000000000004E-2</v>
          </cell>
          <cell r="R349">
            <v>0.91749999999999998</v>
          </cell>
        </row>
        <row r="350">
          <cell r="K350" t="str">
            <v>ExportMill WorkingCannon MilestoneUSAWash33x33L</v>
          </cell>
          <cell r="L350">
            <v>0</v>
          </cell>
          <cell r="M350">
            <v>2.5000000000000001E-3</v>
          </cell>
          <cell r="N350">
            <v>6.5000000000000002E-2</v>
          </cell>
          <cell r="O350">
            <v>1.4999999999999999E-2</v>
          </cell>
          <cell r="Q350">
            <v>8.2500000000000004E-2</v>
          </cell>
          <cell r="R350">
            <v>0.91749999999999998</v>
          </cell>
        </row>
        <row r="351">
          <cell r="K351" t="str">
            <v>ExportMill WorkingCannon MilestoneUSAWash33x33M</v>
          </cell>
          <cell r="L351">
            <v>0</v>
          </cell>
          <cell r="M351">
            <v>2.5000000000000001E-3</v>
          </cell>
          <cell r="N351">
            <v>6.5000000000000002E-2</v>
          </cell>
          <cell r="O351">
            <v>1.4999999999999999E-2</v>
          </cell>
          <cell r="Q351">
            <v>8.2500000000000004E-2</v>
          </cell>
          <cell r="R351">
            <v>0.91749999999999998</v>
          </cell>
        </row>
        <row r="352">
          <cell r="K352" t="str">
            <v>ExportMill WorkingCannon MilestoneUSAWash33x33D</v>
          </cell>
          <cell r="L352">
            <v>0</v>
          </cell>
          <cell r="M352">
            <v>2.5000000000000001E-3</v>
          </cell>
          <cell r="N352">
            <v>6.5000000000000002E-2</v>
          </cell>
          <cell r="O352">
            <v>1.4999999999999999E-2</v>
          </cell>
          <cell r="Q352">
            <v>8.2500000000000004E-2</v>
          </cell>
          <cell r="R352">
            <v>0.91749999999999998</v>
          </cell>
        </row>
        <row r="353">
          <cell r="K353" t="str">
            <v>ExportWelspun USAEsplamaUSABath76x137L</v>
          </cell>
          <cell r="L353">
            <v>0</v>
          </cell>
          <cell r="M353">
            <v>2.5000000000000001E-3</v>
          </cell>
          <cell r="N353">
            <v>6.5000000000000002E-2</v>
          </cell>
          <cell r="O353">
            <v>1.4999999999999999E-2</v>
          </cell>
          <cell r="Q353">
            <v>8.2500000000000004E-2</v>
          </cell>
          <cell r="R353">
            <v>0.91749999999999998</v>
          </cell>
        </row>
        <row r="354">
          <cell r="K354" t="str">
            <v>ExportWelspun USAEsplamaUSABath76x137M</v>
          </cell>
          <cell r="L354">
            <v>0</v>
          </cell>
          <cell r="M354">
            <v>2.5000000000000001E-3</v>
          </cell>
          <cell r="N354">
            <v>6.5000000000000002E-2</v>
          </cell>
          <cell r="O354">
            <v>1.4999999999999999E-2</v>
          </cell>
          <cell r="Q354">
            <v>8.2500000000000004E-2</v>
          </cell>
          <cell r="R354">
            <v>0.91749999999999998</v>
          </cell>
        </row>
        <row r="355">
          <cell r="K355" t="str">
            <v>ExportWelspun USAEsplamaUSABath76x137D</v>
          </cell>
          <cell r="L355">
            <v>0</v>
          </cell>
          <cell r="M355">
            <v>2.5000000000000001E-3</v>
          </cell>
          <cell r="N355">
            <v>6.5000000000000002E-2</v>
          </cell>
          <cell r="O355">
            <v>1.4999999999999999E-2</v>
          </cell>
          <cell r="Q355">
            <v>8.2500000000000004E-2</v>
          </cell>
          <cell r="R355">
            <v>0.91749999999999998</v>
          </cell>
        </row>
        <row r="356">
          <cell r="K356" t="str">
            <v>ExportWelspun USAEsplamaUSAHand41x71L</v>
          </cell>
          <cell r="L356">
            <v>0</v>
          </cell>
          <cell r="M356">
            <v>2.5000000000000001E-3</v>
          </cell>
          <cell r="N356">
            <v>6.5000000000000002E-2</v>
          </cell>
          <cell r="O356">
            <v>1.4999999999999999E-2</v>
          </cell>
          <cell r="Q356">
            <v>8.2500000000000004E-2</v>
          </cell>
          <cell r="R356">
            <v>0.91749999999999998</v>
          </cell>
        </row>
        <row r="357">
          <cell r="K357" t="str">
            <v>ExportWelspun USAEsplamaUSAHand41x71M</v>
          </cell>
          <cell r="L357">
            <v>0</v>
          </cell>
          <cell r="M357">
            <v>2.5000000000000001E-3</v>
          </cell>
          <cell r="N357">
            <v>6.5000000000000002E-2</v>
          </cell>
          <cell r="O357">
            <v>1.4999999999999999E-2</v>
          </cell>
          <cell r="Q357">
            <v>8.2500000000000004E-2</v>
          </cell>
          <cell r="R357">
            <v>0.91749999999999998</v>
          </cell>
        </row>
        <row r="358">
          <cell r="K358" t="str">
            <v>ExportWelspun USAEsplamaUSAHand41x71D</v>
          </cell>
          <cell r="L358">
            <v>0</v>
          </cell>
          <cell r="M358">
            <v>2.5000000000000001E-3</v>
          </cell>
          <cell r="N358">
            <v>6.5000000000000002E-2</v>
          </cell>
          <cell r="O358">
            <v>1.4999999999999999E-2</v>
          </cell>
          <cell r="Q358">
            <v>8.2500000000000004E-2</v>
          </cell>
          <cell r="R358">
            <v>0.91749999999999998</v>
          </cell>
        </row>
        <row r="359">
          <cell r="K359" t="str">
            <v>ExportWelspun USAEsplamaUSAWash33x33L</v>
          </cell>
          <cell r="L359">
            <v>0</v>
          </cell>
          <cell r="M359">
            <v>2.5000000000000001E-3</v>
          </cell>
          <cell r="N359">
            <v>6.5000000000000002E-2</v>
          </cell>
          <cell r="O359">
            <v>1.4999999999999999E-2</v>
          </cell>
          <cell r="Q359">
            <v>8.2500000000000004E-2</v>
          </cell>
          <cell r="R359">
            <v>0.91749999999999998</v>
          </cell>
        </row>
        <row r="360">
          <cell r="K360" t="str">
            <v>ExportWelspun USAEsplamaUSAWash33x33M</v>
          </cell>
          <cell r="L360">
            <v>0</v>
          </cell>
          <cell r="M360">
            <v>2.5000000000000001E-3</v>
          </cell>
          <cell r="N360">
            <v>6.5000000000000002E-2</v>
          </cell>
          <cell r="O360">
            <v>1.4999999999999999E-2</v>
          </cell>
          <cell r="Q360">
            <v>8.2500000000000004E-2</v>
          </cell>
          <cell r="R360">
            <v>0.91749999999999998</v>
          </cell>
        </row>
        <row r="361">
          <cell r="K361" t="str">
            <v>ExportWelspun USAEsplamaUSAWash33x33D</v>
          </cell>
          <cell r="L361">
            <v>0</v>
          </cell>
          <cell r="M361">
            <v>2.5000000000000001E-3</v>
          </cell>
          <cell r="N361">
            <v>6.5000000000000002E-2</v>
          </cell>
          <cell r="O361">
            <v>1.4999999999999999E-2</v>
          </cell>
          <cell r="Q361">
            <v>8.2500000000000004E-2</v>
          </cell>
          <cell r="R361">
            <v>0.91749999999999998</v>
          </cell>
        </row>
        <row r="362">
          <cell r="K362" t="str">
            <v>ExportLNTManorUSABath76x147L</v>
          </cell>
          <cell r="L362">
            <v>0</v>
          </cell>
          <cell r="M362">
            <v>2.5000000000000001E-3</v>
          </cell>
          <cell r="N362">
            <v>6.5000000000000002E-2</v>
          </cell>
          <cell r="O362">
            <v>1.4999999999999999E-2</v>
          </cell>
          <cell r="Q362">
            <v>8.2500000000000004E-2</v>
          </cell>
          <cell r="R362">
            <v>0.91749999999999998</v>
          </cell>
        </row>
        <row r="363">
          <cell r="K363" t="str">
            <v>ExportLNTManorUSABath76x147M</v>
          </cell>
          <cell r="L363">
            <v>0</v>
          </cell>
          <cell r="M363">
            <v>2.5000000000000001E-3</v>
          </cell>
          <cell r="N363">
            <v>6.5000000000000002E-2</v>
          </cell>
          <cell r="O363">
            <v>1.4999999999999999E-2</v>
          </cell>
          <cell r="Q363">
            <v>8.2500000000000004E-2</v>
          </cell>
          <cell r="R363">
            <v>0.91749999999999998</v>
          </cell>
        </row>
        <row r="364">
          <cell r="K364" t="str">
            <v>ExportLNTManorUSABath76x147D</v>
          </cell>
          <cell r="L364">
            <v>0</v>
          </cell>
          <cell r="M364">
            <v>2.5000000000000001E-3</v>
          </cell>
          <cell r="N364">
            <v>6.5000000000000002E-2</v>
          </cell>
          <cell r="O364">
            <v>1.4999999999999999E-2</v>
          </cell>
          <cell r="Q364">
            <v>8.2500000000000004E-2</v>
          </cell>
          <cell r="R364">
            <v>0.91749999999999998</v>
          </cell>
        </row>
        <row r="365">
          <cell r="K365" t="str">
            <v>ExportLNTManorUSAHand51x76L</v>
          </cell>
          <cell r="L365">
            <v>0</v>
          </cell>
          <cell r="M365">
            <v>2.5000000000000001E-3</v>
          </cell>
          <cell r="N365">
            <v>6.5000000000000002E-2</v>
          </cell>
          <cell r="O365">
            <v>1.4999999999999999E-2</v>
          </cell>
          <cell r="Q365">
            <v>8.2500000000000004E-2</v>
          </cell>
          <cell r="R365">
            <v>0.91749999999999998</v>
          </cell>
        </row>
        <row r="366">
          <cell r="K366" t="str">
            <v>ExportLNTManorUSAHand51x76M</v>
          </cell>
          <cell r="L366">
            <v>0</v>
          </cell>
          <cell r="M366">
            <v>2.5000000000000001E-3</v>
          </cell>
          <cell r="N366">
            <v>6.5000000000000002E-2</v>
          </cell>
          <cell r="O366">
            <v>1.4999999999999999E-2</v>
          </cell>
          <cell r="Q366">
            <v>8.2500000000000004E-2</v>
          </cell>
          <cell r="R366">
            <v>0.91749999999999998</v>
          </cell>
        </row>
        <row r="367">
          <cell r="K367" t="str">
            <v>ExportLNTManorUSAHand51x76D</v>
          </cell>
          <cell r="L367">
            <v>0</v>
          </cell>
          <cell r="M367">
            <v>2.5000000000000001E-3</v>
          </cell>
          <cell r="N367">
            <v>6.5000000000000002E-2</v>
          </cell>
          <cell r="O367">
            <v>1.4999999999999999E-2</v>
          </cell>
          <cell r="Q367">
            <v>8.2500000000000004E-2</v>
          </cell>
          <cell r="R367">
            <v>0.91749999999999998</v>
          </cell>
        </row>
        <row r="368">
          <cell r="K368" t="str">
            <v>ExportLNTManorUSAWash33x33L</v>
          </cell>
          <cell r="L368">
            <v>0</v>
          </cell>
          <cell r="M368">
            <v>2.5000000000000001E-3</v>
          </cell>
          <cell r="N368">
            <v>6.5000000000000002E-2</v>
          </cell>
          <cell r="O368">
            <v>1.4999999999999999E-2</v>
          </cell>
          <cell r="Q368">
            <v>8.2500000000000004E-2</v>
          </cell>
          <cell r="R368">
            <v>0.91749999999999998</v>
          </cell>
        </row>
        <row r="369">
          <cell r="K369" t="str">
            <v>ExportLNTManorUSAWash33x33M</v>
          </cell>
          <cell r="L369">
            <v>0</v>
          </cell>
          <cell r="M369">
            <v>2.5000000000000001E-3</v>
          </cell>
          <cell r="N369">
            <v>6.5000000000000002E-2</v>
          </cell>
          <cell r="O369">
            <v>1.4999999999999999E-2</v>
          </cell>
          <cell r="Q369">
            <v>8.2500000000000004E-2</v>
          </cell>
          <cell r="R369">
            <v>0.91749999999999998</v>
          </cell>
        </row>
        <row r="370">
          <cell r="K370" t="str">
            <v>ExportLNTManorUSAWash33x33D</v>
          </cell>
          <cell r="L370">
            <v>0</v>
          </cell>
          <cell r="M370">
            <v>2.5000000000000001E-3</v>
          </cell>
          <cell r="N370">
            <v>6.5000000000000002E-2</v>
          </cell>
          <cell r="O370">
            <v>1.4999999999999999E-2</v>
          </cell>
          <cell r="Q370">
            <v>8.2500000000000004E-2</v>
          </cell>
          <cell r="R370">
            <v>0.91749999999999998</v>
          </cell>
        </row>
        <row r="371">
          <cell r="K371" t="str">
            <v>ExportLNTNewUSABath76x147L</v>
          </cell>
          <cell r="L371">
            <v>0</v>
          </cell>
          <cell r="M371">
            <v>2.5000000000000001E-3</v>
          </cell>
          <cell r="N371">
            <v>6.5000000000000002E-2</v>
          </cell>
          <cell r="O371">
            <v>1.4999999999999999E-2</v>
          </cell>
          <cell r="Q371">
            <v>8.2500000000000004E-2</v>
          </cell>
          <cell r="R371">
            <v>0.91749999999999998</v>
          </cell>
        </row>
        <row r="372">
          <cell r="K372" t="str">
            <v>ExportLNTNewUSABath76x147M</v>
          </cell>
          <cell r="L372">
            <v>0</v>
          </cell>
          <cell r="M372">
            <v>2.5000000000000001E-3</v>
          </cell>
          <cell r="N372">
            <v>6.5000000000000002E-2</v>
          </cell>
          <cell r="O372">
            <v>1.4999999999999999E-2</v>
          </cell>
          <cell r="Q372">
            <v>8.2500000000000004E-2</v>
          </cell>
          <cell r="R372">
            <v>0.91749999999999998</v>
          </cell>
        </row>
        <row r="373">
          <cell r="K373" t="str">
            <v>ExportLNTNewUSABath76x147D</v>
          </cell>
          <cell r="L373">
            <v>0</v>
          </cell>
          <cell r="M373">
            <v>2.5000000000000001E-3</v>
          </cell>
          <cell r="N373">
            <v>6.5000000000000002E-2</v>
          </cell>
          <cell r="O373">
            <v>1.4999999999999999E-2</v>
          </cell>
          <cell r="Q373">
            <v>8.2500000000000004E-2</v>
          </cell>
          <cell r="R373">
            <v>0.91749999999999998</v>
          </cell>
        </row>
        <row r="374">
          <cell r="K374" t="str">
            <v>ExportLNTNewUSAHand51x76L</v>
          </cell>
          <cell r="L374">
            <v>0</v>
          </cell>
          <cell r="M374">
            <v>2.5000000000000001E-3</v>
          </cell>
          <cell r="N374">
            <v>6.5000000000000002E-2</v>
          </cell>
          <cell r="O374">
            <v>1.4999999999999999E-2</v>
          </cell>
          <cell r="Q374">
            <v>8.2500000000000004E-2</v>
          </cell>
          <cell r="R374">
            <v>0.91749999999999998</v>
          </cell>
        </row>
        <row r="375">
          <cell r="K375" t="str">
            <v>ExportLNTNewUSAHand51x76M</v>
          </cell>
          <cell r="L375">
            <v>0</v>
          </cell>
          <cell r="M375">
            <v>2.5000000000000001E-3</v>
          </cell>
          <cell r="N375">
            <v>6.5000000000000002E-2</v>
          </cell>
          <cell r="O375">
            <v>1.4999999999999999E-2</v>
          </cell>
          <cell r="Q375">
            <v>8.2500000000000004E-2</v>
          </cell>
          <cell r="R375">
            <v>0.91749999999999998</v>
          </cell>
        </row>
        <row r="376">
          <cell r="K376" t="str">
            <v>ExportLNTNewUSAHand51x76D</v>
          </cell>
          <cell r="L376">
            <v>0</v>
          </cell>
          <cell r="M376">
            <v>2.5000000000000001E-3</v>
          </cell>
          <cell r="N376">
            <v>6.5000000000000002E-2</v>
          </cell>
          <cell r="O376">
            <v>1.4999999999999999E-2</v>
          </cell>
          <cell r="Q376">
            <v>8.2500000000000004E-2</v>
          </cell>
          <cell r="R376">
            <v>0.91749999999999998</v>
          </cell>
        </row>
        <row r="377">
          <cell r="K377" t="str">
            <v>ExportLNTNewUSAWash33x33L</v>
          </cell>
          <cell r="L377">
            <v>0</v>
          </cell>
          <cell r="M377">
            <v>2.5000000000000001E-3</v>
          </cell>
          <cell r="N377">
            <v>6.5000000000000002E-2</v>
          </cell>
          <cell r="O377">
            <v>1.4999999999999999E-2</v>
          </cell>
          <cell r="Q377">
            <v>8.2500000000000004E-2</v>
          </cell>
          <cell r="R377">
            <v>0.91749999999999998</v>
          </cell>
        </row>
        <row r="378">
          <cell r="K378" t="str">
            <v>ExportLNTNewUSAWash33x33M</v>
          </cell>
          <cell r="L378">
            <v>0</v>
          </cell>
          <cell r="M378">
            <v>2.5000000000000001E-3</v>
          </cell>
          <cell r="N378">
            <v>6.5000000000000002E-2</v>
          </cell>
          <cell r="O378">
            <v>1.4999999999999999E-2</v>
          </cell>
          <cell r="Q378">
            <v>8.2500000000000004E-2</v>
          </cell>
          <cell r="R378">
            <v>0.91749999999999998</v>
          </cell>
        </row>
        <row r="379">
          <cell r="K379" t="str">
            <v>ExportLNTNewUSAWash33x33D</v>
          </cell>
          <cell r="L379">
            <v>0</v>
          </cell>
          <cell r="M379">
            <v>2.5000000000000001E-3</v>
          </cell>
          <cell r="N379">
            <v>6.5000000000000002E-2</v>
          </cell>
          <cell r="O379">
            <v>1.4999999999999999E-2</v>
          </cell>
          <cell r="Q379">
            <v>8.2500000000000004E-2</v>
          </cell>
          <cell r="R379">
            <v>0.91749999999999998</v>
          </cell>
        </row>
        <row r="380">
          <cell r="K380" t="str">
            <v>ExportKohlsBig One StripeUSABath76x137L</v>
          </cell>
          <cell r="L380">
            <v>0</v>
          </cell>
          <cell r="M380">
            <v>2.5000000000000001E-3</v>
          </cell>
          <cell r="N380">
            <v>6.5000000000000002E-2</v>
          </cell>
          <cell r="O380">
            <v>1.4999999999999999E-2</v>
          </cell>
          <cell r="Q380">
            <v>8.2500000000000004E-2</v>
          </cell>
          <cell r="R380">
            <v>0.91749999999999998</v>
          </cell>
        </row>
        <row r="381">
          <cell r="K381" t="str">
            <v>ExportKohlsBig One StripeUSABath76x137M</v>
          </cell>
          <cell r="L381">
            <v>0</v>
          </cell>
          <cell r="M381">
            <v>2.5000000000000001E-3</v>
          </cell>
          <cell r="N381">
            <v>6.5000000000000002E-2</v>
          </cell>
          <cell r="O381">
            <v>1.4999999999999999E-2</v>
          </cell>
          <cell r="Q381">
            <v>8.2500000000000004E-2</v>
          </cell>
          <cell r="R381">
            <v>0.91749999999999998</v>
          </cell>
        </row>
        <row r="382">
          <cell r="K382" t="str">
            <v>ExportKohlsBig One StripeUSABath76x137D</v>
          </cell>
          <cell r="L382">
            <v>0</v>
          </cell>
          <cell r="M382">
            <v>2.5000000000000001E-3</v>
          </cell>
          <cell r="N382">
            <v>6.5000000000000002E-2</v>
          </cell>
          <cell r="O382">
            <v>1.4999999999999999E-2</v>
          </cell>
          <cell r="Q382">
            <v>8.2500000000000004E-2</v>
          </cell>
          <cell r="R382">
            <v>0.91749999999999998</v>
          </cell>
        </row>
        <row r="383">
          <cell r="K383" t="str">
            <v>ExportKohlsBig One StripeUSAHand41x71L</v>
          </cell>
          <cell r="L383">
            <v>0</v>
          </cell>
          <cell r="M383">
            <v>2.5000000000000001E-3</v>
          </cell>
          <cell r="N383">
            <v>6.5000000000000002E-2</v>
          </cell>
          <cell r="O383">
            <v>1.4999999999999999E-2</v>
          </cell>
          <cell r="Q383">
            <v>8.2500000000000004E-2</v>
          </cell>
          <cell r="R383">
            <v>0.91749999999999998</v>
          </cell>
        </row>
        <row r="384">
          <cell r="K384" t="str">
            <v>ExportKohlsBig One StripeUSAHand41x71M</v>
          </cell>
          <cell r="L384">
            <v>0</v>
          </cell>
          <cell r="M384">
            <v>2.5000000000000001E-3</v>
          </cell>
          <cell r="N384">
            <v>6.5000000000000002E-2</v>
          </cell>
          <cell r="O384">
            <v>1.4999999999999999E-2</v>
          </cell>
          <cell r="Q384">
            <v>8.2500000000000004E-2</v>
          </cell>
          <cell r="R384">
            <v>0.91749999999999998</v>
          </cell>
        </row>
        <row r="385">
          <cell r="K385" t="str">
            <v>ExportKohlsBig One StripeUSAHand41x71D</v>
          </cell>
          <cell r="L385">
            <v>0</v>
          </cell>
          <cell r="M385">
            <v>2.5000000000000001E-3</v>
          </cell>
          <cell r="N385">
            <v>6.5000000000000002E-2</v>
          </cell>
          <cell r="O385">
            <v>1.4999999999999999E-2</v>
          </cell>
          <cell r="Q385">
            <v>8.2500000000000004E-2</v>
          </cell>
          <cell r="R385">
            <v>0.91749999999999998</v>
          </cell>
        </row>
        <row r="386">
          <cell r="K386" t="str">
            <v>ExportKohlsBig One StripeUSAWash30x30L</v>
          </cell>
          <cell r="L386">
            <v>0</v>
          </cell>
          <cell r="M386">
            <v>2.5000000000000001E-3</v>
          </cell>
          <cell r="N386">
            <v>6.5000000000000002E-2</v>
          </cell>
          <cell r="O386">
            <v>1.4999999999999999E-2</v>
          </cell>
          <cell r="Q386">
            <v>8.2500000000000004E-2</v>
          </cell>
          <cell r="R386">
            <v>0.91749999999999998</v>
          </cell>
        </row>
        <row r="387">
          <cell r="K387" t="str">
            <v>ExportKohlsBig One StripeUSAWash30x30M</v>
          </cell>
          <cell r="L387">
            <v>0</v>
          </cell>
          <cell r="M387">
            <v>2.5000000000000001E-3</v>
          </cell>
          <cell r="N387">
            <v>6.5000000000000002E-2</v>
          </cell>
          <cell r="O387">
            <v>1.4999999999999999E-2</v>
          </cell>
          <cell r="Q387">
            <v>8.2500000000000004E-2</v>
          </cell>
          <cell r="R387">
            <v>0.91749999999999998</v>
          </cell>
        </row>
        <row r="388">
          <cell r="K388" t="str">
            <v>ExportKohlsBig One StripeUSAWash30x30D</v>
          </cell>
          <cell r="L388">
            <v>0</v>
          </cell>
          <cell r="M388">
            <v>2.5000000000000001E-3</v>
          </cell>
          <cell r="N388">
            <v>6.5000000000000002E-2</v>
          </cell>
          <cell r="O388">
            <v>1.4999999999999999E-2</v>
          </cell>
          <cell r="Q388">
            <v>8.2500000000000004E-2</v>
          </cell>
          <cell r="R388">
            <v>0.91749999999999998</v>
          </cell>
        </row>
        <row r="389">
          <cell r="K389" t="str">
            <v>ExportKohlsBig One SolidUSABath76x137L</v>
          </cell>
          <cell r="L389">
            <v>0</v>
          </cell>
          <cell r="M389">
            <v>2.5000000000000001E-3</v>
          </cell>
          <cell r="N389">
            <v>6.5000000000000002E-2</v>
          </cell>
          <cell r="O389">
            <v>1.4999999999999999E-2</v>
          </cell>
          <cell r="Q389">
            <v>8.2500000000000004E-2</v>
          </cell>
          <cell r="R389">
            <v>0.91749999999999998</v>
          </cell>
        </row>
        <row r="390">
          <cell r="K390" t="str">
            <v>ExportKohlsBig One SolidUSABath76x137M</v>
          </cell>
          <cell r="L390">
            <v>0</v>
          </cell>
          <cell r="M390">
            <v>2.5000000000000001E-3</v>
          </cell>
          <cell r="N390">
            <v>6.5000000000000002E-2</v>
          </cell>
          <cell r="O390">
            <v>1.4999999999999999E-2</v>
          </cell>
          <cell r="Q390">
            <v>8.2500000000000004E-2</v>
          </cell>
          <cell r="R390">
            <v>0.91749999999999998</v>
          </cell>
        </row>
        <row r="391">
          <cell r="K391" t="str">
            <v>ExportKohlsBig One SolidUSABath76x137D</v>
          </cell>
          <cell r="L391">
            <v>0</v>
          </cell>
          <cell r="M391">
            <v>2.5000000000000001E-3</v>
          </cell>
          <cell r="N391">
            <v>6.5000000000000002E-2</v>
          </cell>
          <cell r="O391">
            <v>1.4999999999999999E-2</v>
          </cell>
          <cell r="Q391">
            <v>8.2500000000000004E-2</v>
          </cell>
          <cell r="R391">
            <v>0.91749999999999998</v>
          </cell>
        </row>
        <row r="392">
          <cell r="K392" t="str">
            <v>ExportKohlsBig One SolidUSAHand41x71L</v>
          </cell>
          <cell r="L392">
            <v>0</v>
          </cell>
          <cell r="M392">
            <v>2.5000000000000001E-3</v>
          </cell>
          <cell r="N392">
            <v>6.5000000000000002E-2</v>
          </cell>
          <cell r="O392">
            <v>1.4999999999999999E-2</v>
          </cell>
          <cell r="Q392">
            <v>8.2500000000000004E-2</v>
          </cell>
          <cell r="R392">
            <v>0.91749999999999998</v>
          </cell>
        </row>
        <row r="393">
          <cell r="K393" t="str">
            <v>ExportKohlsBig One SolidUSAHand41x71M</v>
          </cell>
          <cell r="L393">
            <v>0</v>
          </cell>
          <cell r="M393">
            <v>2.5000000000000001E-3</v>
          </cell>
          <cell r="N393">
            <v>6.5000000000000002E-2</v>
          </cell>
          <cell r="O393">
            <v>1.4999999999999999E-2</v>
          </cell>
          <cell r="Q393">
            <v>8.2500000000000004E-2</v>
          </cell>
          <cell r="R393">
            <v>0.91749999999999998</v>
          </cell>
        </row>
        <row r="394">
          <cell r="K394" t="str">
            <v>ExportKohlsBig One SolidUSAHand41x71D</v>
          </cell>
          <cell r="L394">
            <v>0</v>
          </cell>
          <cell r="M394">
            <v>2.5000000000000001E-3</v>
          </cell>
          <cell r="N394">
            <v>6.5000000000000002E-2</v>
          </cell>
          <cell r="O394">
            <v>1.4999999999999999E-2</v>
          </cell>
          <cell r="Q394">
            <v>8.2500000000000004E-2</v>
          </cell>
          <cell r="R394">
            <v>0.91749999999999998</v>
          </cell>
        </row>
        <row r="395">
          <cell r="K395" t="str">
            <v>ExportKohlsBig One SolidUSAWash30x30L</v>
          </cell>
          <cell r="L395">
            <v>0</v>
          </cell>
          <cell r="M395">
            <v>2.5000000000000001E-3</v>
          </cell>
          <cell r="N395">
            <v>6.5000000000000002E-2</v>
          </cell>
          <cell r="O395">
            <v>1.4999999999999999E-2</v>
          </cell>
          <cell r="Q395">
            <v>8.2500000000000004E-2</v>
          </cell>
          <cell r="R395">
            <v>0.91749999999999998</v>
          </cell>
        </row>
        <row r="396">
          <cell r="K396" t="str">
            <v>ExportKohlsBig One SolidUSAWash30x30M</v>
          </cell>
          <cell r="L396">
            <v>0</v>
          </cell>
          <cell r="M396">
            <v>2.5000000000000001E-3</v>
          </cell>
          <cell r="N396">
            <v>6.5000000000000002E-2</v>
          </cell>
          <cell r="O396">
            <v>1.4999999999999999E-2</v>
          </cell>
          <cell r="Q396">
            <v>8.2500000000000004E-2</v>
          </cell>
          <cell r="R396">
            <v>0.91749999999999998</v>
          </cell>
        </row>
        <row r="397">
          <cell r="K397" t="str">
            <v>ExportKohlsBig One SolidUSAWash30x30D</v>
          </cell>
          <cell r="L397">
            <v>0</v>
          </cell>
          <cell r="M397">
            <v>2.5000000000000001E-3</v>
          </cell>
          <cell r="N397">
            <v>6.5000000000000002E-2</v>
          </cell>
          <cell r="O397">
            <v>1.4999999999999999E-2</v>
          </cell>
          <cell r="Q397">
            <v>8.2500000000000004E-2</v>
          </cell>
          <cell r="R397">
            <v>0.91749999999999998</v>
          </cell>
        </row>
        <row r="398">
          <cell r="K398" t="str">
            <v>ExportIst New Buyer00Bath76x137L</v>
          </cell>
          <cell r="L398">
            <v>0</v>
          </cell>
          <cell r="M398">
            <v>2.5000000000000001E-3</v>
          </cell>
          <cell r="N398">
            <v>6.5000000000000002E-2</v>
          </cell>
          <cell r="O398">
            <v>1.4999999999999999E-2</v>
          </cell>
          <cell r="Q398">
            <v>8.2500000000000004E-2</v>
          </cell>
          <cell r="R398">
            <v>0.91749999999999998</v>
          </cell>
        </row>
        <row r="399">
          <cell r="K399" t="str">
            <v>ExportIst New Buyer00Bath76x137M</v>
          </cell>
          <cell r="L399">
            <v>0</v>
          </cell>
          <cell r="M399">
            <v>2.5000000000000001E-3</v>
          </cell>
          <cell r="N399">
            <v>6.5000000000000002E-2</v>
          </cell>
          <cell r="O399">
            <v>1.4999999999999999E-2</v>
          </cell>
          <cell r="Q399">
            <v>8.2500000000000004E-2</v>
          </cell>
          <cell r="R399">
            <v>0.91749999999999998</v>
          </cell>
        </row>
        <row r="400">
          <cell r="K400" t="str">
            <v>ExportIst New Buyer00Bath76x137D</v>
          </cell>
          <cell r="L400">
            <v>0</v>
          </cell>
          <cell r="M400">
            <v>2.5000000000000001E-3</v>
          </cell>
          <cell r="N400">
            <v>6.5000000000000002E-2</v>
          </cell>
          <cell r="O400">
            <v>1.4999999999999999E-2</v>
          </cell>
          <cell r="Q400">
            <v>8.2500000000000004E-2</v>
          </cell>
          <cell r="R400">
            <v>0.91749999999999998</v>
          </cell>
        </row>
        <row r="401">
          <cell r="K401" t="str">
            <v>ExportIst New Buyer00Hand41x76L</v>
          </cell>
          <cell r="L401">
            <v>0</v>
          </cell>
          <cell r="M401">
            <v>2.5000000000000001E-3</v>
          </cell>
          <cell r="N401">
            <v>6.5000000000000002E-2</v>
          </cell>
          <cell r="O401">
            <v>1.4999999999999999E-2</v>
          </cell>
          <cell r="Q401">
            <v>8.2500000000000004E-2</v>
          </cell>
          <cell r="R401">
            <v>0.91749999999999998</v>
          </cell>
        </row>
        <row r="402">
          <cell r="K402" t="str">
            <v>ExportIst New Buyer00Hand41x76M</v>
          </cell>
          <cell r="L402">
            <v>0</v>
          </cell>
          <cell r="M402">
            <v>2.5000000000000001E-3</v>
          </cell>
          <cell r="N402">
            <v>6.5000000000000002E-2</v>
          </cell>
          <cell r="O402">
            <v>1.4999999999999999E-2</v>
          </cell>
          <cell r="Q402">
            <v>8.2500000000000004E-2</v>
          </cell>
          <cell r="R402">
            <v>0.91749999999999998</v>
          </cell>
        </row>
        <row r="403">
          <cell r="K403" t="str">
            <v>ExportIst New Buyer00Hand41x76D</v>
          </cell>
          <cell r="L403">
            <v>0</v>
          </cell>
          <cell r="M403">
            <v>2.5000000000000001E-3</v>
          </cell>
          <cell r="N403">
            <v>6.5000000000000002E-2</v>
          </cell>
          <cell r="O403">
            <v>1.4999999999999999E-2</v>
          </cell>
          <cell r="Q403">
            <v>8.2500000000000004E-2</v>
          </cell>
          <cell r="R403">
            <v>0.91749999999999998</v>
          </cell>
        </row>
        <row r="404">
          <cell r="K404" t="str">
            <v>ExportIst New Buyer00Wash33x33L</v>
          </cell>
          <cell r="L404">
            <v>0</v>
          </cell>
          <cell r="M404">
            <v>2.5000000000000001E-3</v>
          </cell>
          <cell r="N404">
            <v>6.5000000000000002E-2</v>
          </cell>
          <cell r="O404">
            <v>1.4999999999999999E-2</v>
          </cell>
          <cell r="Q404">
            <v>8.2500000000000004E-2</v>
          </cell>
          <cell r="R404">
            <v>0.91749999999999998</v>
          </cell>
        </row>
        <row r="405">
          <cell r="K405" t="str">
            <v>ExportIst New Buyer00Wash33x33M</v>
          </cell>
          <cell r="L405">
            <v>0</v>
          </cell>
          <cell r="M405">
            <v>2.5000000000000001E-3</v>
          </cell>
          <cell r="N405">
            <v>6.5000000000000002E-2</v>
          </cell>
          <cell r="O405">
            <v>1.4999999999999999E-2</v>
          </cell>
          <cell r="Q405">
            <v>8.2500000000000004E-2</v>
          </cell>
          <cell r="R405">
            <v>0.91749999999999998</v>
          </cell>
        </row>
        <row r="406">
          <cell r="K406" t="str">
            <v>ExportIst New Buyer00Wash33x33D</v>
          </cell>
          <cell r="L406">
            <v>0</v>
          </cell>
          <cell r="M406">
            <v>2.5000000000000001E-3</v>
          </cell>
          <cell r="N406">
            <v>6.5000000000000002E-2</v>
          </cell>
          <cell r="O406">
            <v>1.4999999999999999E-2</v>
          </cell>
          <cell r="Q406">
            <v>8.2500000000000004E-2</v>
          </cell>
          <cell r="R406">
            <v>0.91749999999999998</v>
          </cell>
        </row>
        <row r="407">
          <cell r="K407" t="str">
            <v>Export2nd New Buyer00Bath76x137L</v>
          </cell>
          <cell r="L407">
            <v>0</v>
          </cell>
          <cell r="M407">
            <v>2.5000000000000001E-3</v>
          </cell>
          <cell r="N407">
            <v>6.5000000000000002E-2</v>
          </cell>
          <cell r="O407">
            <v>1.4999999999999999E-2</v>
          </cell>
          <cell r="Q407">
            <v>8.2500000000000004E-2</v>
          </cell>
          <cell r="R407">
            <v>0.91749999999999998</v>
          </cell>
        </row>
        <row r="408">
          <cell r="K408" t="str">
            <v>Export2nd New Buyer00Bath76x137M</v>
          </cell>
          <cell r="L408">
            <v>0</v>
          </cell>
          <cell r="M408">
            <v>2.5000000000000001E-3</v>
          </cell>
          <cell r="N408">
            <v>6.5000000000000002E-2</v>
          </cell>
          <cell r="O408">
            <v>1.4999999999999999E-2</v>
          </cell>
          <cell r="Q408">
            <v>8.2500000000000004E-2</v>
          </cell>
          <cell r="R408">
            <v>0.91749999999999998</v>
          </cell>
        </row>
        <row r="409">
          <cell r="K409" t="str">
            <v>Export2nd New Buyer00Bath76x137D</v>
          </cell>
          <cell r="L409">
            <v>0</v>
          </cell>
          <cell r="M409">
            <v>2.5000000000000001E-3</v>
          </cell>
          <cell r="N409">
            <v>6.5000000000000002E-2</v>
          </cell>
          <cell r="O409">
            <v>1.4999999999999999E-2</v>
          </cell>
          <cell r="Q409">
            <v>8.2500000000000004E-2</v>
          </cell>
          <cell r="R409">
            <v>0.91749999999999998</v>
          </cell>
        </row>
        <row r="410">
          <cell r="K410" t="str">
            <v>Export2nd New Buyer00Hand41x76L</v>
          </cell>
          <cell r="L410">
            <v>0</v>
          </cell>
          <cell r="M410">
            <v>2.5000000000000001E-3</v>
          </cell>
          <cell r="N410">
            <v>6.5000000000000002E-2</v>
          </cell>
          <cell r="O410">
            <v>1.4999999999999999E-2</v>
          </cell>
          <cell r="Q410">
            <v>8.2500000000000004E-2</v>
          </cell>
          <cell r="R410">
            <v>0.91749999999999998</v>
          </cell>
        </row>
        <row r="411">
          <cell r="K411" t="str">
            <v>Export2nd New Buyer00Hand41x76M</v>
          </cell>
          <cell r="L411">
            <v>0</v>
          </cell>
          <cell r="M411">
            <v>2.5000000000000001E-3</v>
          </cell>
          <cell r="N411">
            <v>6.5000000000000002E-2</v>
          </cell>
          <cell r="O411">
            <v>1.4999999999999999E-2</v>
          </cell>
          <cell r="Q411">
            <v>8.2500000000000004E-2</v>
          </cell>
          <cell r="R411">
            <v>0.91749999999999998</v>
          </cell>
        </row>
        <row r="412">
          <cell r="K412" t="str">
            <v>Export2nd New Buyer00Hand41x76D</v>
          </cell>
          <cell r="L412">
            <v>0</v>
          </cell>
          <cell r="M412">
            <v>2.5000000000000001E-3</v>
          </cell>
          <cell r="N412">
            <v>6.5000000000000002E-2</v>
          </cell>
          <cell r="O412">
            <v>1.4999999999999999E-2</v>
          </cell>
          <cell r="Q412">
            <v>8.2500000000000004E-2</v>
          </cell>
          <cell r="R412">
            <v>0.91749999999999998</v>
          </cell>
        </row>
        <row r="413">
          <cell r="K413" t="str">
            <v>Export2nd New Buyer00Wash33x33L</v>
          </cell>
          <cell r="L413">
            <v>0</v>
          </cell>
          <cell r="M413">
            <v>2.5000000000000001E-3</v>
          </cell>
          <cell r="N413">
            <v>6.5000000000000002E-2</v>
          </cell>
          <cell r="O413">
            <v>1.4999999999999999E-2</v>
          </cell>
          <cell r="Q413">
            <v>8.2500000000000004E-2</v>
          </cell>
          <cell r="R413">
            <v>0.91749999999999998</v>
          </cell>
        </row>
        <row r="414">
          <cell r="K414" t="str">
            <v>Export2nd New Buyer00Wash33x33M</v>
          </cell>
          <cell r="L414">
            <v>0</v>
          </cell>
          <cell r="M414">
            <v>2.5000000000000001E-3</v>
          </cell>
          <cell r="N414">
            <v>6.5000000000000002E-2</v>
          </cell>
          <cell r="O414">
            <v>1.4999999999999999E-2</v>
          </cell>
          <cell r="Q414">
            <v>8.2500000000000004E-2</v>
          </cell>
          <cell r="R414">
            <v>0.91749999999999998</v>
          </cell>
        </row>
        <row r="415">
          <cell r="K415" t="str">
            <v>Export2nd New Buyer00Wash33x33D</v>
          </cell>
          <cell r="L415">
            <v>0</v>
          </cell>
          <cell r="M415">
            <v>2.5000000000000001E-3</v>
          </cell>
          <cell r="N415">
            <v>6.5000000000000002E-2</v>
          </cell>
          <cell r="O415">
            <v>1.4999999999999999E-2</v>
          </cell>
          <cell r="Q415">
            <v>8.2500000000000004E-2</v>
          </cell>
          <cell r="R415">
            <v>0.91749999999999998</v>
          </cell>
        </row>
        <row r="416">
          <cell r="K416" t="str">
            <v>Export3rd New Buyer00Bath0x0L</v>
          </cell>
          <cell r="L416">
            <v>0</v>
          </cell>
          <cell r="M416">
            <v>2.5000000000000001E-3</v>
          </cell>
          <cell r="N416">
            <v>6.5000000000000002E-2</v>
          </cell>
          <cell r="O416">
            <v>1.4999999999999999E-2</v>
          </cell>
          <cell r="Q416">
            <v>8.2500000000000004E-2</v>
          </cell>
          <cell r="R416">
            <v>0.91749999999999998</v>
          </cell>
        </row>
        <row r="417">
          <cell r="K417" t="str">
            <v>Export3rd New Buyer00Bath0x0M</v>
          </cell>
          <cell r="L417">
            <v>0</v>
          </cell>
          <cell r="M417">
            <v>2.5000000000000001E-3</v>
          </cell>
          <cell r="N417">
            <v>6.5000000000000002E-2</v>
          </cell>
          <cell r="O417">
            <v>1.4999999999999999E-2</v>
          </cell>
          <cell r="Q417">
            <v>8.2500000000000004E-2</v>
          </cell>
          <cell r="R417">
            <v>0.91749999999999998</v>
          </cell>
        </row>
        <row r="418">
          <cell r="K418" t="str">
            <v>Export3rd New Buyer00Bath0x0D</v>
          </cell>
          <cell r="L418">
            <v>0</v>
          </cell>
          <cell r="M418">
            <v>2.5000000000000001E-3</v>
          </cell>
          <cell r="N418">
            <v>6.5000000000000002E-2</v>
          </cell>
          <cell r="O418">
            <v>1.4999999999999999E-2</v>
          </cell>
          <cell r="Q418">
            <v>8.2500000000000004E-2</v>
          </cell>
          <cell r="R418">
            <v>0.91749999999999998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Yarn Rates"/>
      <sheetName val="P&amp;L_F07"/>
      <sheetName val="Loom Utilisation"/>
      <sheetName val="Final Sales Summary"/>
      <sheetName val="Mthly Sales Budget"/>
      <sheetName val="Prodn Budget"/>
      <sheetName val="Production Planning"/>
      <sheetName val="Product costing"/>
      <sheetName val=""/>
      <sheetName val="Yarn_Rates"/>
      <sheetName val="Loom_Utilisation"/>
      <sheetName val="Final_Sales_Summary"/>
      <sheetName val="Mthly_Sales_Budget"/>
      <sheetName val="Prodn_Budget"/>
      <sheetName val="Production_Planning"/>
      <sheetName val="Product_costing"/>
      <sheetName val="Inputs"/>
      <sheetName val="Input"/>
      <sheetName val="9 Sales Price in $"/>
      <sheetName val="debt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jkbra"/>
      <sheetName val="SALES BASIS (2)"/>
      <sheetName val="SALES BASIS"/>
      <sheetName val="MONTHLY -P&amp;L"/>
      <sheetName val="Sheet3"/>
      <sheetName val="invoiced"/>
      <sheetName val="Sheet4"/>
      <sheetName val="JKBRA"/>
      <sheetName val="Sheet5"/>
      <sheetName val="Bias -Opt1"/>
      <sheetName val="Sheet2"/>
      <sheetName val="Radial -Opt1"/>
      <sheetName val="Outsourcing -Opt-1"/>
      <sheetName val="Summary"/>
      <sheetName val="p&amp;l-Opt1"/>
      <sheetName val="reconcilattion"/>
      <sheetName val="Sheet6"/>
      <sheetName val="Working Capital"/>
      <sheetName val="Assum"/>
      <sheetName val="MDP&amp;L"/>
      <sheetName val="10한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-1"/>
      <sheetName val="PRODN"/>
      <sheetName val="DATA ENTRY-2"/>
      <sheetName val="Produ.&amp;Stk-Report"/>
      <sheetName val="Inventory-Trend"/>
      <sheetName val="EXPORT EXCISE"/>
      <sheetName val="EXPORT COMM"/>
      <sheetName val="CLS GIT"/>
      <sheetName val="DEEM"/>
      <sheetName val="sample"/>
      <sheetName val="DTA"/>
      <sheetName val="ANJAR"/>
      <sheetName val="WTT"/>
      <sheetName val="SALE SUMMARY"/>
      <sheetName val="RG-1"/>
      <sheetName val="COUNT-PROFIT"/>
      <sheetName val="Packing Rate"/>
      <sheetName val="WASTE"/>
      <sheetName val="Index-New"/>
      <sheetName val="Summary"/>
      <sheetName val="mnthly act spg"/>
      <sheetName val="DPR-TAR-ACT(R)"/>
      <sheetName val="DPR-B.PLAN"/>
      <sheetName val="Bplan-Act-QTLY"/>
      <sheetName val="PLANT PERFOMANCE"/>
      <sheetName val="Power"/>
      <sheetName val="worked person"/>
      <sheetName val="data entry-Prod. Loss"/>
      <sheetName val="DATA_ENTRY-1"/>
      <sheetName val="DATA_ENTRY-2"/>
      <sheetName val="Produ_&amp;Stk-Report"/>
      <sheetName val="EXPORT_EXCISE"/>
      <sheetName val="EXPORT_COMM"/>
      <sheetName val="CLS_GIT"/>
      <sheetName val="SALE_SUMMARY"/>
      <sheetName val="Packing_Rate"/>
      <sheetName val="mnthly_act_spg"/>
      <sheetName val="DPR-B_PLAN"/>
      <sheetName val="PLANT_PERFOMANCE"/>
      <sheetName val="worked_person"/>
      <sheetName val="data_entry-Prod__Loss"/>
      <sheetName val="Yarn Rate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ales Summary"/>
      <sheetName val="Sales inputs "/>
      <sheetName val="Net Realisation"/>
      <sheetName val="Sales Value"/>
      <sheetName val="VME inputs"/>
      <sheetName val="Shadewise Sales"/>
      <sheetName val="ShadeMixRatio"/>
      <sheetName val="Typemix"/>
      <sheetName val="Typewise Sales"/>
      <sheetName val="Inputs_old budget"/>
      <sheetName val="DATA ENTRY-2"/>
      <sheetName val="9 Sales Price in $"/>
      <sheetName val="sortpart"/>
      <sheetName val="CostDetails"/>
      <sheetName val="D&amp;C_Pkg"/>
      <sheetName val="Yarn Rat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>
        <row r="4">
          <cell r="K4" t="str">
            <v>Key -3</v>
          </cell>
          <cell r="L4" t="str">
            <v>Key -2</v>
          </cell>
          <cell r="M4">
            <v>38447</v>
          </cell>
          <cell r="N4">
            <v>38477</v>
          </cell>
          <cell r="O4">
            <v>38508</v>
          </cell>
          <cell r="P4">
            <v>38538</v>
          </cell>
          <cell r="Q4">
            <v>38569</v>
          </cell>
          <cell r="R4">
            <v>38600</v>
          </cell>
          <cell r="S4">
            <v>38630</v>
          </cell>
          <cell r="T4">
            <v>38661</v>
          </cell>
          <cell r="U4">
            <v>38691</v>
          </cell>
          <cell r="V4">
            <v>38722</v>
          </cell>
          <cell r="W4">
            <v>38753</v>
          </cell>
          <cell r="X4">
            <v>38781</v>
          </cell>
          <cell r="Y4" t="str">
            <v>Total</v>
          </cell>
        </row>
        <row r="5">
          <cell r="K5" t="str">
            <v>ExportTargetWaverlyUSABath76x142L</v>
          </cell>
          <cell r="L5" t="str">
            <v>ExportTargetWaverlyUSABath76x142</v>
          </cell>
          <cell r="M5">
            <v>72250</v>
          </cell>
          <cell r="N5">
            <v>72250</v>
          </cell>
          <cell r="O5">
            <v>72250</v>
          </cell>
          <cell r="P5">
            <v>72250</v>
          </cell>
          <cell r="Q5">
            <v>72250</v>
          </cell>
          <cell r="R5">
            <v>72250</v>
          </cell>
          <cell r="S5">
            <v>72250</v>
          </cell>
          <cell r="T5">
            <v>72250</v>
          </cell>
          <cell r="U5">
            <v>72250</v>
          </cell>
          <cell r="V5">
            <v>72250</v>
          </cell>
          <cell r="W5">
            <v>72250</v>
          </cell>
          <cell r="X5">
            <v>72250</v>
          </cell>
          <cell r="Y5">
            <v>867000</v>
          </cell>
        </row>
        <row r="6">
          <cell r="K6" t="str">
            <v>ExportTargetWaverlyUSABath76x142M</v>
          </cell>
          <cell r="L6" t="str">
            <v>ExportTargetWaverlyUSABath76x142</v>
          </cell>
          <cell r="M6">
            <v>28900</v>
          </cell>
          <cell r="N6">
            <v>28900</v>
          </cell>
          <cell r="O6">
            <v>28900</v>
          </cell>
          <cell r="P6">
            <v>28900</v>
          </cell>
          <cell r="Q6">
            <v>28900</v>
          </cell>
          <cell r="R6">
            <v>28900</v>
          </cell>
          <cell r="S6">
            <v>28900</v>
          </cell>
          <cell r="T6">
            <v>28900</v>
          </cell>
          <cell r="U6">
            <v>28900</v>
          </cell>
          <cell r="V6">
            <v>28900</v>
          </cell>
          <cell r="W6">
            <v>28900</v>
          </cell>
          <cell r="X6">
            <v>28900</v>
          </cell>
          <cell r="Y6">
            <v>346800</v>
          </cell>
        </row>
        <row r="7">
          <cell r="K7" t="str">
            <v>ExportTargetWaverlyUSABath76x142D</v>
          </cell>
          <cell r="L7" t="str">
            <v>ExportTargetWaverlyUSABath76x142</v>
          </cell>
          <cell r="M7">
            <v>43350</v>
          </cell>
          <cell r="N7">
            <v>43350</v>
          </cell>
          <cell r="O7">
            <v>43350</v>
          </cell>
          <cell r="P7">
            <v>43350</v>
          </cell>
          <cell r="Q7">
            <v>43350</v>
          </cell>
          <cell r="R7">
            <v>43350</v>
          </cell>
          <cell r="S7">
            <v>43350</v>
          </cell>
          <cell r="T7">
            <v>43350</v>
          </cell>
          <cell r="U7">
            <v>43350</v>
          </cell>
          <cell r="V7">
            <v>43350</v>
          </cell>
          <cell r="W7">
            <v>43350</v>
          </cell>
          <cell r="X7">
            <v>43350</v>
          </cell>
          <cell r="Y7">
            <v>520200</v>
          </cell>
        </row>
        <row r="8">
          <cell r="K8" t="str">
            <v>ExportTargetWaverlyUSAHand41x76L</v>
          </cell>
          <cell r="L8" t="str">
            <v>ExportTargetWaverlyUSAHand41x76</v>
          </cell>
          <cell r="M8">
            <v>6375</v>
          </cell>
          <cell r="N8">
            <v>6375</v>
          </cell>
          <cell r="O8">
            <v>6375</v>
          </cell>
          <cell r="P8">
            <v>6375</v>
          </cell>
          <cell r="Q8">
            <v>6375</v>
          </cell>
          <cell r="R8">
            <v>6375</v>
          </cell>
          <cell r="S8">
            <v>6375</v>
          </cell>
          <cell r="T8">
            <v>6375</v>
          </cell>
          <cell r="U8">
            <v>6375</v>
          </cell>
          <cell r="V8">
            <v>6375</v>
          </cell>
          <cell r="W8">
            <v>6375</v>
          </cell>
          <cell r="X8">
            <v>6375</v>
          </cell>
          <cell r="Y8">
            <v>76500</v>
          </cell>
        </row>
        <row r="9">
          <cell r="K9" t="str">
            <v>ExportTargetWaverlyUSAHand41x76M</v>
          </cell>
          <cell r="L9" t="str">
            <v>ExportTargetWaverlyUSAHand41x76</v>
          </cell>
          <cell r="M9">
            <v>2550</v>
          </cell>
          <cell r="N9">
            <v>2550</v>
          </cell>
          <cell r="O9">
            <v>2550</v>
          </cell>
          <cell r="P9">
            <v>2550</v>
          </cell>
          <cell r="Q9">
            <v>2550</v>
          </cell>
          <cell r="R9">
            <v>2550</v>
          </cell>
          <cell r="S9">
            <v>2550</v>
          </cell>
          <cell r="T9">
            <v>2550</v>
          </cell>
          <cell r="U9">
            <v>2550</v>
          </cell>
          <cell r="V9">
            <v>2550</v>
          </cell>
          <cell r="W9">
            <v>2550</v>
          </cell>
          <cell r="X9">
            <v>2550</v>
          </cell>
          <cell r="Y9">
            <v>30600</v>
          </cell>
        </row>
        <row r="10">
          <cell r="K10" t="str">
            <v>ExportTargetWaverlyUSAHand41x76D</v>
          </cell>
          <cell r="L10" t="str">
            <v>ExportTargetWaverlyUSAHand41x76</v>
          </cell>
          <cell r="M10">
            <v>3825</v>
          </cell>
          <cell r="N10">
            <v>3825</v>
          </cell>
          <cell r="O10">
            <v>3825</v>
          </cell>
          <cell r="P10">
            <v>3825</v>
          </cell>
          <cell r="Q10">
            <v>3825</v>
          </cell>
          <cell r="R10">
            <v>3825</v>
          </cell>
          <cell r="S10">
            <v>3825</v>
          </cell>
          <cell r="T10">
            <v>3825</v>
          </cell>
          <cell r="U10">
            <v>3825</v>
          </cell>
          <cell r="V10">
            <v>3825</v>
          </cell>
          <cell r="W10">
            <v>3825</v>
          </cell>
          <cell r="X10">
            <v>3825</v>
          </cell>
          <cell r="Y10">
            <v>45900</v>
          </cell>
        </row>
        <row r="11">
          <cell r="K11" t="str">
            <v>ExportTargetWaverlyUSAWash30x30L</v>
          </cell>
          <cell r="L11" t="str">
            <v>ExportTargetWaverlyUSAWash30x30</v>
          </cell>
          <cell r="M11">
            <v>6375</v>
          </cell>
          <cell r="N11">
            <v>6375</v>
          </cell>
          <cell r="O11">
            <v>6375</v>
          </cell>
          <cell r="P11">
            <v>6375</v>
          </cell>
          <cell r="Q11">
            <v>6375</v>
          </cell>
          <cell r="R11">
            <v>6375</v>
          </cell>
          <cell r="S11">
            <v>6375</v>
          </cell>
          <cell r="T11">
            <v>6375</v>
          </cell>
          <cell r="U11">
            <v>6375</v>
          </cell>
          <cell r="V11">
            <v>6375</v>
          </cell>
          <cell r="W11">
            <v>6375</v>
          </cell>
          <cell r="X11">
            <v>6375</v>
          </cell>
          <cell r="Y11">
            <v>76500</v>
          </cell>
        </row>
        <row r="12">
          <cell r="K12" t="str">
            <v>ExportTargetWaverlyUSAWash30x30M</v>
          </cell>
          <cell r="L12" t="str">
            <v>ExportTargetWaverlyUSAWash30x30</v>
          </cell>
          <cell r="M12">
            <v>2550</v>
          </cell>
          <cell r="N12">
            <v>2550</v>
          </cell>
          <cell r="O12">
            <v>2550</v>
          </cell>
          <cell r="P12">
            <v>2550</v>
          </cell>
          <cell r="Q12">
            <v>2550</v>
          </cell>
          <cell r="R12">
            <v>2550</v>
          </cell>
          <cell r="S12">
            <v>2550</v>
          </cell>
          <cell r="T12">
            <v>2550</v>
          </cell>
          <cell r="U12">
            <v>2550</v>
          </cell>
          <cell r="V12">
            <v>2550</v>
          </cell>
          <cell r="W12">
            <v>2550</v>
          </cell>
          <cell r="X12">
            <v>2550</v>
          </cell>
          <cell r="Y12">
            <v>30600</v>
          </cell>
        </row>
        <row r="13">
          <cell r="K13" t="str">
            <v>ExportTargetWaverlyUSAWash30x30D</v>
          </cell>
          <cell r="L13" t="str">
            <v>ExportTargetWaverlyUSAWash30x30</v>
          </cell>
          <cell r="M13">
            <v>3825</v>
          </cell>
          <cell r="N13">
            <v>3825</v>
          </cell>
          <cell r="O13">
            <v>3825</v>
          </cell>
          <cell r="P13">
            <v>3825</v>
          </cell>
          <cell r="Q13">
            <v>3825</v>
          </cell>
          <cell r="R13">
            <v>3825</v>
          </cell>
          <cell r="S13">
            <v>3825</v>
          </cell>
          <cell r="T13">
            <v>3825</v>
          </cell>
          <cell r="U13">
            <v>3825</v>
          </cell>
          <cell r="V13">
            <v>3825</v>
          </cell>
          <cell r="W13">
            <v>3825</v>
          </cell>
          <cell r="X13">
            <v>3825</v>
          </cell>
          <cell r="Y13">
            <v>45900</v>
          </cell>
        </row>
        <row r="14">
          <cell r="K14" t="str">
            <v>ExportWalmartHome TrendsUSABath76x132L</v>
          </cell>
          <cell r="L14" t="str">
            <v>ExportWalmartHome TrendsUSABath76x132</v>
          </cell>
          <cell r="M14">
            <v>85000</v>
          </cell>
          <cell r="N14">
            <v>85000</v>
          </cell>
          <cell r="O14">
            <v>106250</v>
          </cell>
          <cell r="P14">
            <v>106250</v>
          </cell>
          <cell r="Q14">
            <v>106250</v>
          </cell>
          <cell r="R14">
            <v>106250</v>
          </cell>
          <cell r="S14">
            <v>106250</v>
          </cell>
          <cell r="T14">
            <v>106250</v>
          </cell>
          <cell r="U14">
            <v>106250</v>
          </cell>
          <cell r="V14">
            <v>106250</v>
          </cell>
          <cell r="W14">
            <v>106250</v>
          </cell>
          <cell r="X14">
            <v>106250</v>
          </cell>
          <cell r="Y14">
            <v>1232500</v>
          </cell>
        </row>
        <row r="15">
          <cell r="K15" t="str">
            <v>ExportWalmartHome TrendsUSABath76x132M</v>
          </cell>
          <cell r="L15" t="str">
            <v>ExportWalmartHome TrendsUSABath76x132</v>
          </cell>
          <cell r="M15">
            <v>34000</v>
          </cell>
          <cell r="N15">
            <v>34000</v>
          </cell>
          <cell r="O15">
            <v>42500</v>
          </cell>
          <cell r="P15">
            <v>42500</v>
          </cell>
          <cell r="Q15">
            <v>42500</v>
          </cell>
          <cell r="R15">
            <v>42500</v>
          </cell>
          <cell r="S15">
            <v>42500</v>
          </cell>
          <cell r="T15">
            <v>42500</v>
          </cell>
          <cell r="U15">
            <v>42500</v>
          </cell>
          <cell r="V15">
            <v>42500</v>
          </cell>
          <cell r="W15">
            <v>42500</v>
          </cell>
          <cell r="X15">
            <v>42500</v>
          </cell>
          <cell r="Y15">
            <v>493000</v>
          </cell>
        </row>
        <row r="16">
          <cell r="K16" t="str">
            <v>ExportWalmartHome TrendsUSABath76x132D</v>
          </cell>
          <cell r="L16" t="str">
            <v>ExportWalmartHome TrendsUSABath76x132</v>
          </cell>
          <cell r="M16">
            <v>51000</v>
          </cell>
          <cell r="N16">
            <v>51000</v>
          </cell>
          <cell r="O16">
            <v>63750</v>
          </cell>
          <cell r="P16">
            <v>63750</v>
          </cell>
          <cell r="Q16">
            <v>63750</v>
          </cell>
          <cell r="R16">
            <v>63750</v>
          </cell>
          <cell r="S16">
            <v>63750</v>
          </cell>
          <cell r="T16">
            <v>63750</v>
          </cell>
          <cell r="U16">
            <v>63750</v>
          </cell>
          <cell r="V16">
            <v>63750</v>
          </cell>
          <cell r="W16">
            <v>63750</v>
          </cell>
          <cell r="X16">
            <v>63750</v>
          </cell>
          <cell r="Y16">
            <v>739500</v>
          </cell>
        </row>
        <row r="17">
          <cell r="K17" t="str">
            <v>ExportWalmartHome TrendsUSAHand41x69L</v>
          </cell>
          <cell r="L17" t="str">
            <v>ExportWalmartHome TrendsUSAHand41x69</v>
          </cell>
          <cell r="M17">
            <v>7500</v>
          </cell>
          <cell r="N17">
            <v>7500</v>
          </cell>
          <cell r="O17">
            <v>9375</v>
          </cell>
          <cell r="P17">
            <v>9375</v>
          </cell>
          <cell r="Q17">
            <v>9375</v>
          </cell>
          <cell r="R17">
            <v>9375</v>
          </cell>
          <cell r="S17">
            <v>9375</v>
          </cell>
          <cell r="T17">
            <v>9375</v>
          </cell>
          <cell r="U17">
            <v>9375</v>
          </cell>
          <cell r="V17">
            <v>9375</v>
          </cell>
          <cell r="W17">
            <v>9375</v>
          </cell>
          <cell r="X17">
            <v>9375</v>
          </cell>
          <cell r="Y17">
            <v>108750</v>
          </cell>
        </row>
        <row r="18">
          <cell r="K18" t="str">
            <v>ExportWalmartHome TrendsUSAHand41x69M</v>
          </cell>
          <cell r="L18" t="str">
            <v>ExportWalmartHome TrendsUSAHand41x69</v>
          </cell>
          <cell r="M18">
            <v>3000</v>
          </cell>
          <cell r="N18">
            <v>3000</v>
          </cell>
          <cell r="O18">
            <v>3750</v>
          </cell>
          <cell r="P18">
            <v>3750</v>
          </cell>
          <cell r="Q18">
            <v>3750</v>
          </cell>
          <cell r="R18">
            <v>3750</v>
          </cell>
          <cell r="S18">
            <v>3750</v>
          </cell>
          <cell r="T18">
            <v>3750</v>
          </cell>
          <cell r="U18">
            <v>3750</v>
          </cell>
          <cell r="V18">
            <v>3750</v>
          </cell>
          <cell r="W18">
            <v>3750</v>
          </cell>
          <cell r="X18">
            <v>3750</v>
          </cell>
          <cell r="Y18">
            <v>43500</v>
          </cell>
        </row>
        <row r="19">
          <cell r="K19" t="str">
            <v>ExportWalmartHome TrendsUSAHand41x69D</v>
          </cell>
          <cell r="L19" t="str">
            <v>ExportWalmartHome TrendsUSAHand41x69</v>
          </cell>
          <cell r="M19">
            <v>4500</v>
          </cell>
          <cell r="N19">
            <v>4500</v>
          </cell>
          <cell r="O19">
            <v>5625</v>
          </cell>
          <cell r="P19">
            <v>5625</v>
          </cell>
          <cell r="Q19">
            <v>5625</v>
          </cell>
          <cell r="R19">
            <v>5625</v>
          </cell>
          <cell r="S19">
            <v>5625</v>
          </cell>
          <cell r="T19">
            <v>5625</v>
          </cell>
          <cell r="U19">
            <v>5625</v>
          </cell>
          <cell r="V19">
            <v>5625</v>
          </cell>
          <cell r="W19">
            <v>5625</v>
          </cell>
          <cell r="X19">
            <v>5625</v>
          </cell>
          <cell r="Y19">
            <v>65250</v>
          </cell>
        </row>
        <row r="20">
          <cell r="K20" t="str">
            <v>ExportWalmartHome TrendsUSAWash33x33L</v>
          </cell>
          <cell r="L20" t="str">
            <v>ExportWalmartHome TrendsUSAWash33x33</v>
          </cell>
          <cell r="M20">
            <v>7500</v>
          </cell>
          <cell r="N20">
            <v>7500</v>
          </cell>
          <cell r="O20">
            <v>9375</v>
          </cell>
          <cell r="P20">
            <v>9375</v>
          </cell>
          <cell r="Q20">
            <v>9375</v>
          </cell>
          <cell r="R20">
            <v>9375</v>
          </cell>
          <cell r="S20">
            <v>9375</v>
          </cell>
          <cell r="T20">
            <v>9375</v>
          </cell>
          <cell r="U20">
            <v>9375</v>
          </cell>
          <cell r="V20">
            <v>9375</v>
          </cell>
          <cell r="W20">
            <v>9375</v>
          </cell>
          <cell r="X20">
            <v>9375</v>
          </cell>
          <cell r="Y20">
            <v>108750</v>
          </cell>
        </row>
        <row r="21">
          <cell r="K21" t="str">
            <v>ExportWalmartHome TrendsUSAWash33x33M</v>
          </cell>
          <cell r="L21" t="str">
            <v>ExportWalmartHome TrendsUSAWash33x33</v>
          </cell>
          <cell r="M21">
            <v>3000</v>
          </cell>
          <cell r="N21">
            <v>3000</v>
          </cell>
          <cell r="O21">
            <v>3750</v>
          </cell>
          <cell r="P21">
            <v>3750</v>
          </cell>
          <cell r="Q21">
            <v>3750</v>
          </cell>
          <cell r="R21">
            <v>3750</v>
          </cell>
          <cell r="S21">
            <v>3750</v>
          </cell>
          <cell r="T21">
            <v>3750</v>
          </cell>
          <cell r="U21">
            <v>3750</v>
          </cell>
          <cell r="V21">
            <v>3750</v>
          </cell>
          <cell r="W21">
            <v>3750</v>
          </cell>
          <cell r="X21">
            <v>3750</v>
          </cell>
          <cell r="Y21">
            <v>43500</v>
          </cell>
        </row>
        <row r="22">
          <cell r="K22" t="str">
            <v>ExportWalmartHome TrendsUSAWash33x33D</v>
          </cell>
          <cell r="L22" t="str">
            <v>ExportWalmartHome TrendsUSAWash33x33</v>
          </cell>
          <cell r="M22">
            <v>4500</v>
          </cell>
          <cell r="N22">
            <v>4500</v>
          </cell>
          <cell r="O22">
            <v>5625</v>
          </cell>
          <cell r="P22">
            <v>5625</v>
          </cell>
          <cell r="Q22">
            <v>5625</v>
          </cell>
          <cell r="R22">
            <v>5625</v>
          </cell>
          <cell r="S22">
            <v>5625</v>
          </cell>
          <cell r="T22">
            <v>5625</v>
          </cell>
          <cell r="U22">
            <v>5625</v>
          </cell>
          <cell r="V22">
            <v>5625</v>
          </cell>
          <cell r="W22">
            <v>5625</v>
          </cell>
          <cell r="X22">
            <v>5625</v>
          </cell>
          <cell r="Y22">
            <v>65250</v>
          </cell>
        </row>
        <row r="23">
          <cell r="K23" t="str">
            <v>ExportMill WorkingCannon LandmarkUSABath76x137L</v>
          </cell>
          <cell r="L23" t="str">
            <v>ExportMill WorkingCannon LandmarkUSABath76x137</v>
          </cell>
          <cell r="M23">
            <v>9000</v>
          </cell>
          <cell r="N23">
            <v>9000</v>
          </cell>
          <cell r="O23">
            <v>9000</v>
          </cell>
          <cell r="P23">
            <v>9000</v>
          </cell>
          <cell r="Q23">
            <v>9000</v>
          </cell>
          <cell r="R23">
            <v>9000</v>
          </cell>
          <cell r="S23">
            <v>9000</v>
          </cell>
          <cell r="T23">
            <v>9000</v>
          </cell>
          <cell r="U23">
            <v>9000</v>
          </cell>
          <cell r="V23">
            <v>9000</v>
          </cell>
          <cell r="W23">
            <v>9000</v>
          </cell>
          <cell r="X23">
            <v>9000</v>
          </cell>
          <cell r="Y23">
            <v>108000</v>
          </cell>
        </row>
        <row r="24">
          <cell r="K24" t="str">
            <v>ExportMill WorkingCannon LandmarkUSABath76x137M</v>
          </cell>
          <cell r="L24" t="str">
            <v>ExportMill WorkingCannon LandmarkUSABath76x137</v>
          </cell>
          <cell r="M24">
            <v>3600</v>
          </cell>
          <cell r="N24">
            <v>3600</v>
          </cell>
          <cell r="O24">
            <v>3600</v>
          </cell>
          <cell r="P24">
            <v>3600</v>
          </cell>
          <cell r="Q24">
            <v>3600</v>
          </cell>
          <cell r="R24">
            <v>3600</v>
          </cell>
          <cell r="S24">
            <v>3600</v>
          </cell>
          <cell r="T24">
            <v>3600</v>
          </cell>
          <cell r="U24">
            <v>3600</v>
          </cell>
          <cell r="V24">
            <v>3600</v>
          </cell>
          <cell r="W24">
            <v>3600</v>
          </cell>
          <cell r="X24">
            <v>3600</v>
          </cell>
          <cell r="Y24">
            <v>43200</v>
          </cell>
        </row>
        <row r="25">
          <cell r="K25" t="str">
            <v>ExportMill WorkingCannon LandmarkUSABath76x137D</v>
          </cell>
          <cell r="L25" t="str">
            <v>ExportMill WorkingCannon LandmarkUSABath76x137</v>
          </cell>
          <cell r="M25">
            <v>5400</v>
          </cell>
          <cell r="N25">
            <v>5400</v>
          </cell>
          <cell r="O25">
            <v>5400</v>
          </cell>
          <cell r="P25">
            <v>5400</v>
          </cell>
          <cell r="Q25">
            <v>5400</v>
          </cell>
          <cell r="R25">
            <v>5400</v>
          </cell>
          <cell r="S25">
            <v>5400</v>
          </cell>
          <cell r="T25">
            <v>5400</v>
          </cell>
          <cell r="U25">
            <v>5400</v>
          </cell>
          <cell r="V25">
            <v>5400</v>
          </cell>
          <cell r="W25">
            <v>5400</v>
          </cell>
          <cell r="X25">
            <v>5400</v>
          </cell>
          <cell r="Y25">
            <v>64800</v>
          </cell>
        </row>
        <row r="26">
          <cell r="K26" t="str">
            <v>ExportMill WorkingCannon LandmarkUSAHand41x76L</v>
          </cell>
          <cell r="L26" t="str">
            <v>ExportMill WorkingCannon LandmarkUSAHand41x76</v>
          </cell>
          <cell r="M26">
            <v>500</v>
          </cell>
          <cell r="N26">
            <v>500</v>
          </cell>
          <cell r="O26">
            <v>500</v>
          </cell>
          <cell r="P26">
            <v>500</v>
          </cell>
          <cell r="Q26">
            <v>500</v>
          </cell>
          <cell r="R26">
            <v>500</v>
          </cell>
          <cell r="S26">
            <v>500</v>
          </cell>
          <cell r="T26">
            <v>500</v>
          </cell>
          <cell r="U26">
            <v>500</v>
          </cell>
          <cell r="V26">
            <v>500</v>
          </cell>
          <cell r="W26">
            <v>500</v>
          </cell>
          <cell r="X26">
            <v>500</v>
          </cell>
          <cell r="Y26">
            <v>6000</v>
          </cell>
        </row>
        <row r="27">
          <cell r="K27" t="str">
            <v>ExportMill WorkingCannon LandmarkUSAHand41x76M</v>
          </cell>
          <cell r="L27" t="str">
            <v>ExportMill WorkingCannon LandmarkUSAHand41x76</v>
          </cell>
          <cell r="M27">
            <v>200</v>
          </cell>
          <cell r="N27">
            <v>200</v>
          </cell>
          <cell r="O27">
            <v>200</v>
          </cell>
          <cell r="P27">
            <v>200</v>
          </cell>
          <cell r="Q27">
            <v>200</v>
          </cell>
          <cell r="R27">
            <v>200</v>
          </cell>
          <cell r="S27">
            <v>200</v>
          </cell>
          <cell r="T27">
            <v>200</v>
          </cell>
          <cell r="U27">
            <v>200</v>
          </cell>
          <cell r="V27">
            <v>200</v>
          </cell>
          <cell r="W27">
            <v>200</v>
          </cell>
          <cell r="X27">
            <v>200</v>
          </cell>
          <cell r="Y27">
            <v>2400</v>
          </cell>
        </row>
        <row r="28">
          <cell r="K28" t="str">
            <v>ExportMill WorkingCannon LandmarkUSAHand41x76D</v>
          </cell>
          <cell r="L28" t="str">
            <v>ExportMill WorkingCannon LandmarkUSAHand41x76</v>
          </cell>
          <cell r="M28">
            <v>300</v>
          </cell>
          <cell r="N28">
            <v>300</v>
          </cell>
          <cell r="O28">
            <v>300</v>
          </cell>
          <cell r="P28">
            <v>300</v>
          </cell>
          <cell r="Q28">
            <v>300</v>
          </cell>
          <cell r="R28">
            <v>300</v>
          </cell>
          <cell r="S28">
            <v>300</v>
          </cell>
          <cell r="T28">
            <v>300</v>
          </cell>
          <cell r="U28">
            <v>300</v>
          </cell>
          <cell r="V28">
            <v>300</v>
          </cell>
          <cell r="W28">
            <v>300</v>
          </cell>
          <cell r="X28">
            <v>300</v>
          </cell>
          <cell r="Y28">
            <v>3600</v>
          </cell>
        </row>
        <row r="29">
          <cell r="K29" t="str">
            <v>ExportMill WorkingCannon LandmarkUSAWash33x33L</v>
          </cell>
          <cell r="L29" t="str">
            <v>ExportMill WorkingCannon LandmarkUSAWash33x33</v>
          </cell>
          <cell r="M29">
            <v>500</v>
          </cell>
          <cell r="N29">
            <v>500</v>
          </cell>
          <cell r="O29">
            <v>500</v>
          </cell>
          <cell r="P29">
            <v>500</v>
          </cell>
          <cell r="Q29">
            <v>500</v>
          </cell>
          <cell r="R29">
            <v>500</v>
          </cell>
          <cell r="S29">
            <v>500</v>
          </cell>
          <cell r="T29">
            <v>500</v>
          </cell>
          <cell r="U29">
            <v>500</v>
          </cell>
          <cell r="V29">
            <v>500</v>
          </cell>
          <cell r="W29">
            <v>500</v>
          </cell>
          <cell r="X29">
            <v>500</v>
          </cell>
          <cell r="Y29">
            <v>6000</v>
          </cell>
        </row>
        <row r="30">
          <cell r="K30" t="str">
            <v>ExportMill WorkingCannon LandmarkUSAWash33x33M</v>
          </cell>
          <cell r="L30" t="str">
            <v>ExportMill WorkingCannon LandmarkUSAWash33x33</v>
          </cell>
          <cell r="M30">
            <v>200</v>
          </cell>
          <cell r="N30">
            <v>200</v>
          </cell>
          <cell r="O30">
            <v>200</v>
          </cell>
          <cell r="P30">
            <v>200</v>
          </cell>
          <cell r="Q30">
            <v>200</v>
          </cell>
          <cell r="R30">
            <v>200</v>
          </cell>
          <cell r="S30">
            <v>200</v>
          </cell>
          <cell r="T30">
            <v>200</v>
          </cell>
          <cell r="U30">
            <v>200</v>
          </cell>
          <cell r="V30">
            <v>200</v>
          </cell>
          <cell r="W30">
            <v>200</v>
          </cell>
          <cell r="X30">
            <v>200</v>
          </cell>
          <cell r="Y30">
            <v>2400</v>
          </cell>
        </row>
        <row r="31">
          <cell r="K31" t="str">
            <v>ExportMill WorkingCannon LandmarkUSAWash33x33D</v>
          </cell>
          <cell r="L31" t="str">
            <v>ExportMill WorkingCannon LandmarkUSAWash33x33</v>
          </cell>
          <cell r="M31">
            <v>300</v>
          </cell>
          <cell r="N31">
            <v>300</v>
          </cell>
          <cell r="O31">
            <v>300</v>
          </cell>
          <cell r="P31">
            <v>300</v>
          </cell>
          <cell r="Q31">
            <v>300</v>
          </cell>
          <cell r="R31">
            <v>300</v>
          </cell>
          <cell r="S31">
            <v>300</v>
          </cell>
          <cell r="T31">
            <v>300</v>
          </cell>
          <cell r="U31">
            <v>300</v>
          </cell>
          <cell r="V31">
            <v>300</v>
          </cell>
          <cell r="W31">
            <v>300</v>
          </cell>
          <cell r="X31">
            <v>300</v>
          </cell>
          <cell r="Y31">
            <v>3600</v>
          </cell>
        </row>
        <row r="32">
          <cell r="K32" t="str">
            <v>ExportMill WorkingCannon MilestoneUSABath76x137L</v>
          </cell>
          <cell r="L32" t="str">
            <v>ExportMill WorkingCannon MilestoneUSABath76x137</v>
          </cell>
          <cell r="M32">
            <v>9000</v>
          </cell>
          <cell r="N32">
            <v>9000</v>
          </cell>
          <cell r="O32">
            <v>9000</v>
          </cell>
          <cell r="P32">
            <v>9000</v>
          </cell>
          <cell r="Q32">
            <v>9000</v>
          </cell>
          <cell r="R32">
            <v>9000</v>
          </cell>
          <cell r="S32">
            <v>9000</v>
          </cell>
          <cell r="T32">
            <v>9000</v>
          </cell>
          <cell r="U32">
            <v>9000</v>
          </cell>
          <cell r="V32">
            <v>9000</v>
          </cell>
          <cell r="W32">
            <v>9000</v>
          </cell>
          <cell r="X32">
            <v>9000</v>
          </cell>
          <cell r="Y32">
            <v>108000</v>
          </cell>
        </row>
        <row r="33">
          <cell r="K33" t="str">
            <v>ExportMill WorkingCannon MilestoneUSABath76x137M</v>
          </cell>
          <cell r="L33" t="str">
            <v>ExportMill WorkingCannon MilestoneUSABath76x137</v>
          </cell>
          <cell r="M33">
            <v>3600</v>
          </cell>
          <cell r="N33">
            <v>3600</v>
          </cell>
          <cell r="O33">
            <v>3600</v>
          </cell>
          <cell r="P33">
            <v>3600</v>
          </cell>
          <cell r="Q33">
            <v>3600</v>
          </cell>
          <cell r="R33">
            <v>3600</v>
          </cell>
          <cell r="S33">
            <v>3600</v>
          </cell>
          <cell r="T33">
            <v>3600</v>
          </cell>
          <cell r="U33">
            <v>3600</v>
          </cell>
          <cell r="V33">
            <v>3600</v>
          </cell>
          <cell r="W33">
            <v>3600</v>
          </cell>
          <cell r="X33">
            <v>3600</v>
          </cell>
          <cell r="Y33">
            <v>43200</v>
          </cell>
        </row>
        <row r="34">
          <cell r="K34" t="str">
            <v>ExportMill WorkingCannon MilestoneUSABath76x137D</v>
          </cell>
          <cell r="L34" t="str">
            <v>ExportMill WorkingCannon MilestoneUSABath76x137</v>
          </cell>
          <cell r="M34">
            <v>5400</v>
          </cell>
          <cell r="N34">
            <v>5400</v>
          </cell>
          <cell r="O34">
            <v>5400</v>
          </cell>
          <cell r="P34">
            <v>5400</v>
          </cell>
          <cell r="Q34">
            <v>5400</v>
          </cell>
          <cell r="R34">
            <v>5400</v>
          </cell>
          <cell r="S34">
            <v>5400</v>
          </cell>
          <cell r="T34">
            <v>5400</v>
          </cell>
          <cell r="U34">
            <v>5400</v>
          </cell>
          <cell r="V34">
            <v>5400</v>
          </cell>
          <cell r="W34">
            <v>5400</v>
          </cell>
          <cell r="X34">
            <v>5400</v>
          </cell>
          <cell r="Y34">
            <v>64800</v>
          </cell>
        </row>
        <row r="35">
          <cell r="K35" t="str">
            <v>ExportMill WorkingCannon MilestoneUSAHand41x76L</v>
          </cell>
          <cell r="L35" t="str">
            <v>ExportMill WorkingCannon MilestoneUSAHand41x76</v>
          </cell>
          <cell r="M35">
            <v>500</v>
          </cell>
          <cell r="N35">
            <v>500</v>
          </cell>
          <cell r="O35">
            <v>500</v>
          </cell>
          <cell r="P35">
            <v>500</v>
          </cell>
          <cell r="Q35">
            <v>500</v>
          </cell>
          <cell r="R35">
            <v>500</v>
          </cell>
          <cell r="S35">
            <v>500</v>
          </cell>
          <cell r="T35">
            <v>500</v>
          </cell>
          <cell r="U35">
            <v>500</v>
          </cell>
          <cell r="V35">
            <v>500</v>
          </cell>
          <cell r="W35">
            <v>500</v>
          </cell>
          <cell r="X35">
            <v>500</v>
          </cell>
          <cell r="Y35">
            <v>6000</v>
          </cell>
        </row>
        <row r="36">
          <cell r="K36" t="str">
            <v>ExportMill WorkingCannon MilestoneUSAHand41x76M</v>
          </cell>
          <cell r="L36" t="str">
            <v>ExportMill WorkingCannon MilestoneUSAHand41x76</v>
          </cell>
          <cell r="M36">
            <v>200</v>
          </cell>
          <cell r="N36">
            <v>200</v>
          </cell>
          <cell r="O36">
            <v>200</v>
          </cell>
          <cell r="P36">
            <v>200</v>
          </cell>
          <cell r="Q36">
            <v>200</v>
          </cell>
          <cell r="R36">
            <v>200</v>
          </cell>
          <cell r="S36">
            <v>200</v>
          </cell>
          <cell r="T36">
            <v>200</v>
          </cell>
          <cell r="U36">
            <v>200</v>
          </cell>
          <cell r="V36">
            <v>200</v>
          </cell>
          <cell r="W36">
            <v>200</v>
          </cell>
          <cell r="X36">
            <v>200</v>
          </cell>
          <cell r="Y36">
            <v>2400</v>
          </cell>
        </row>
        <row r="37">
          <cell r="K37" t="str">
            <v>ExportMill WorkingCannon MilestoneUSAHand41x76D</v>
          </cell>
          <cell r="L37" t="str">
            <v>ExportMill WorkingCannon MilestoneUSAHand41x76</v>
          </cell>
          <cell r="M37">
            <v>300</v>
          </cell>
          <cell r="N37">
            <v>300</v>
          </cell>
          <cell r="O37">
            <v>300</v>
          </cell>
          <cell r="P37">
            <v>300</v>
          </cell>
          <cell r="Q37">
            <v>300</v>
          </cell>
          <cell r="R37">
            <v>300</v>
          </cell>
          <cell r="S37">
            <v>300</v>
          </cell>
          <cell r="T37">
            <v>300</v>
          </cell>
          <cell r="U37">
            <v>300</v>
          </cell>
          <cell r="V37">
            <v>300</v>
          </cell>
          <cell r="W37">
            <v>300</v>
          </cell>
          <cell r="X37">
            <v>300</v>
          </cell>
          <cell r="Y37">
            <v>3600</v>
          </cell>
        </row>
        <row r="38">
          <cell r="K38" t="str">
            <v>ExportMill WorkingCannon MilestoneUSAWash33x33L</v>
          </cell>
          <cell r="L38" t="str">
            <v>ExportMill WorkingCannon MilestoneUSAWash33x33</v>
          </cell>
          <cell r="M38">
            <v>500</v>
          </cell>
          <cell r="N38">
            <v>500</v>
          </cell>
          <cell r="O38">
            <v>500</v>
          </cell>
          <cell r="P38">
            <v>500</v>
          </cell>
          <cell r="Q38">
            <v>500</v>
          </cell>
          <cell r="R38">
            <v>500</v>
          </cell>
          <cell r="S38">
            <v>500</v>
          </cell>
          <cell r="T38">
            <v>500</v>
          </cell>
          <cell r="U38">
            <v>500</v>
          </cell>
          <cell r="V38">
            <v>500</v>
          </cell>
          <cell r="W38">
            <v>500</v>
          </cell>
          <cell r="X38">
            <v>500</v>
          </cell>
          <cell r="Y38">
            <v>6000</v>
          </cell>
        </row>
        <row r="39">
          <cell r="K39" t="str">
            <v>ExportMill WorkingCannon MilestoneUSAWash33x33M</v>
          </cell>
          <cell r="L39" t="str">
            <v>ExportMill WorkingCannon MilestoneUSAWash33x33</v>
          </cell>
          <cell r="M39">
            <v>200</v>
          </cell>
          <cell r="N39">
            <v>200</v>
          </cell>
          <cell r="O39">
            <v>200</v>
          </cell>
          <cell r="P39">
            <v>200</v>
          </cell>
          <cell r="Q39">
            <v>200</v>
          </cell>
          <cell r="R39">
            <v>200</v>
          </cell>
          <cell r="S39">
            <v>200</v>
          </cell>
          <cell r="T39">
            <v>200</v>
          </cell>
          <cell r="U39">
            <v>200</v>
          </cell>
          <cell r="V39">
            <v>200</v>
          </cell>
          <cell r="W39">
            <v>200</v>
          </cell>
          <cell r="X39">
            <v>200</v>
          </cell>
          <cell r="Y39">
            <v>2400</v>
          </cell>
        </row>
        <row r="40">
          <cell r="K40" t="str">
            <v>ExportMill WorkingCannon MilestoneUSAWash33x33D</v>
          </cell>
          <cell r="L40" t="str">
            <v>ExportMill WorkingCannon MilestoneUSAWash33x33</v>
          </cell>
          <cell r="M40">
            <v>300</v>
          </cell>
          <cell r="N40">
            <v>300</v>
          </cell>
          <cell r="O40">
            <v>300</v>
          </cell>
          <cell r="P40">
            <v>300</v>
          </cell>
          <cell r="Q40">
            <v>300</v>
          </cell>
          <cell r="R40">
            <v>300</v>
          </cell>
          <cell r="S40">
            <v>300</v>
          </cell>
          <cell r="T40">
            <v>300</v>
          </cell>
          <cell r="U40">
            <v>300</v>
          </cell>
          <cell r="V40">
            <v>300</v>
          </cell>
          <cell r="W40">
            <v>300</v>
          </cell>
          <cell r="X40">
            <v>300</v>
          </cell>
          <cell r="Y40">
            <v>3600</v>
          </cell>
        </row>
        <row r="41">
          <cell r="K41" t="str">
            <v>ExportWelspun USAEsplamaUSABath76x137L</v>
          </cell>
          <cell r="L41" t="str">
            <v>ExportWelspun USAEsplamaUSABath76x137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1750</v>
          </cell>
          <cell r="S41">
            <v>1750</v>
          </cell>
          <cell r="T41">
            <v>1750</v>
          </cell>
          <cell r="U41">
            <v>1750</v>
          </cell>
          <cell r="V41">
            <v>1750</v>
          </cell>
          <cell r="W41">
            <v>1750</v>
          </cell>
          <cell r="X41">
            <v>1750</v>
          </cell>
          <cell r="Y41">
            <v>12250</v>
          </cell>
        </row>
        <row r="42">
          <cell r="K42" t="str">
            <v>ExportWelspun USAEsplamaUSABath76x137M</v>
          </cell>
          <cell r="L42" t="str">
            <v>ExportWelspun USAEsplamaUSABath76x137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700</v>
          </cell>
          <cell r="S42">
            <v>700</v>
          </cell>
          <cell r="T42">
            <v>700</v>
          </cell>
          <cell r="U42">
            <v>700</v>
          </cell>
          <cell r="V42">
            <v>700</v>
          </cell>
          <cell r="W42">
            <v>700</v>
          </cell>
          <cell r="X42">
            <v>700</v>
          </cell>
          <cell r="Y42">
            <v>4900</v>
          </cell>
        </row>
        <row r="43">
          <cell r="K43" t="str">
            <v>ExportWelspun USAEsplamaUSABath76x137D</v>
          </cell>
          <cell r="L43" t="str">
            <v>ExportWelspun USAEsplamaUSABath76x137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1050</v>
          </cell>
          <cell r="S43">
            <v>1050</v>
          </cell>
          <cell r="T43">
            <v>1050</v>
          </cell>
          <cell r="U43">
            <v>1050</v>
          </cell>
          <cell r="V43">
            <v>1050</v>
          </cell>
          <cell r="W43">
            <v>1050</v>
          </cell>
          <cell r="X43">
            <v>1050</v>
          </cell>
          <cell r="Y43">
            <v>7350</v>
          </cell>
        </row>
        <row r="44">
          <cell r="K44" t="str">
            <v>ExportWelspun USAEsplamaUSAHand41x71L</v>
          </cell>
          <cell r="L44" t="str">
            <v>ExportWelspun USAEsplamaUSAHand41x71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500</v>
          </cell>
          <cell r="S44">
            <v>500</v>
          </cell>
          <cell r="T44">
            <v>500</v>
          </cell>
          <cell r="U44">
            <v>500</v>
          </cell>
          <cell r="V44">
            <v>500</v>
          </cell>
          <cell r="W44">
            <v>500</v>
          </cell>
          <cell r="X44">
            <v>500</v>
          </cell>
          <cell r="Y44">
            <v>3500</v>
          </cell>
        </row>
        <row r="45">
          <cell r="K45" t="str">
            <v>ExportWelspun USAEsplamaUSAHand41x71M</v>
          </cell>
          <cell r="L45" t="str">
            <v>ExportWelspun USAEsplamaUSAHand41x71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200</v>
          </cell>
          <cell r="S45">
            <v>200</v>
          </cell>
          <cell r="T45">
            <v>200</v>
          </cell>
          <cell r="U45">
            <v>200</v>
          </cell>
          <cell r="V45">
            <v>200</v>
          </cell>
          <cell r="W45">
            <v>200</v>
          </cell>
          <cell r="X45">
            <v>200</v>
          </cell>
          <cell r="Y45">
            <v>1400</v>
          </cell>
        </row>
        <row r="46">
          <cell r="K46" t="str">
            <v>ExportWelspun USAEsplamaUSAHand41x71D</v>
          </cell>
          <cell r="L46" t="str">
            <v>ExportWelspun USAEsplamaUSAHand41x71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300</v>
          </cell>
          <cell r="S46">
            <v>300</v>
          </cell>
          <cell r="T46">
            <v>300</v>
          </cell>
          <cell r="U46">
            <v>300</v>
          </cell>
          <cell r="V46">
            <v>300</v>
          </cell>
          <cell r="W46">
            <v>300</v>
          </cell>
          <cell r="X46">
            <v>300</v>
          </cell>
          <cell r="Y46">
            <v>2100</v>
          </cell>
        </row>
        <row r="47">
          <cell r="K47" t="str">
            <v>ExportWelspun USAEsplamaUSAWash33x33L</v>
          </cell>
          <cell r="L47" t="str">
            <v>ExportWelspun USAEsplamaUSAWash33x33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250</v>
          </cell>
          <cell r="S47">
            <v>250</v>
          </cell>
          <cell r="T47">
            <v>250</v>
          </cell>
          <cell r="U47">
            <v>250</v>
          </cell>
          <cell r="V47">
            <v>250</v>
          </cell>
          <cell r="W47">
            <v>250</v>
          </cell>
          <cell r="X47">
            <v>250</v>
          </cell>
          <cell r="Y47">
            <v>1750</v>
          </cell>
        </row>
        <row r="48">
          <cell r="K48" t="str">
            <v>ExportWelspun USAEsplamaUSAWash33x33M</v>
          </cell>
          <cell r="L48" t="str">
            <v>ExportWelspun USAEsplamaUSAWash33x33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100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  <cell r="W48">
            <v>100</v>
          </cell>
          <cell r="X48">
            <v>100</v>
          </cell>
          <cell r="Y48">
            <v>700</v>
          </cell>
        </row>
        <row r="49">
          <cell r="K49" t="str">
            <v>ExportWelspun USAEsplamaUSAWash33x33D</v>
          </cell>
          <cell r="L49" t="str">
            <v>ExportWelspun USAEsplamaUSAWash33x33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150</v>
          </cell>
          <cell r="S49">
            <v>150</v>
          </cell>
          <cell r="T49">
            <v>150</v>
          </cell>
          <cell r="U49">
            <v>150</v>
          </cell>
          <cell r="V49">
            <v>150</v>
          </cell>
          <cell r="W49">
            <v>150</v>
          </cell>
          <cell r="X49">
            <v>150</v>
          </cell>
          <cell r="Y49">
            <v>1050</v>
          </cell>
        </row>
        <row r="50">
          <cell r="K50" t="str">
            <v>ExportLNTManorUSABath76x147L</v>
          </cell>
          <cell r="L50" t="str">
            <v>ExportLNTManorUSABath76x147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K51" t="str">
            <v>ExportLNTManorUSABath76x147M</v>
          </cell>
          <cell r="L51" t="str">
            <v>ExportLNTManorUSABath76x147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K52" t="str">
            <v>ExportLNTManorUSABath76x147D</v>
          </cell>
          <cell r="L52" t="str">
            <v>ExportLNTManorUSABath76x147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K53" t="str">
            <v>ExportLNTManorUSAHand51x76L</v>
          </cell>
          <cell r="L53" t="str">
            <v>ExportLNTManorUSAHand51x76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K54" t="str">
            <v>ExportLNTManorUSAHand51x76M</v>
          </cell>
          <cell r="L54" t="str">
            <v>ExportLNTManorUSAHand51x76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K55" t="str">
            <v>ExportLNTManorUSAHand51x76D</v>
          </cell>
          <cell r="L55" t="str">
            <v>ExportLNTManorUSAHand51x76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K56" t="str">
            <v>ExportLNTManorUSAWash33x33L</v>
          </cell>
          <cell r="L56" t="str">
            <v>ExportLNTManorUSAWash33x33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K57" t="str">
            <v>ExportLNTManorUSAWash33x33M</v>
          </cell>
          <cell r="L57" t="str">
            <v>ExportLNTManorUSAWash33x33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K58" t="str">
            <v>ExportLNTManorUSAWash33x33D</v>
          </cell>
          <cell r="L58" t="str">
            <v>ExportLNTManorUSAWash33x33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K59" t="str">
            <v>ExportLNTNewUSABath76x147L</v>
          </cell>
          <cell r="L59" t="str">
            <v>ExportLNTNewUSABath76x147</v>
          </cell>
          <cell r="M59">
            <v>0</v>
          </cell>
          <cell r="N59">
            <v>0</v>
          </cell>
          <cell r="O59">
            <v>0</v>
          </cell>
          <cell r="P59">
            <v>27000</v>
          </cell>
          <cell r="Q59">
            <v>13500</v>
          </cell>
          <cell r="R59">
            <v>6750</v>
          </cell>
          <cell r="S59">
            <v>6750</v>
          </cell>
          <cell r="T59">
            <v>6750</v>
          </cell>
          <cell r="U59">
            <v>6750</v>
          </cell>
          <cell r="V59">
            <v>6750</v>
          </cell>
          <cell r="W59">
            <v>6750</v>
          </cell>
          <cell r="X59">
            <v>6750</v>
          </cell>
          <cell r="Y59">
            <v>87750</v>
          </cell>
        </row>
        <row r="60">
          <cell r="K60" t="str">
            <v>ExportLNTNewUSABath76x147M</v>
          </cell>
          <cell r="L60" t="str">
            <v>ExportLNTNewUSABath76x147</v>
          </cell>
          <cell r="M60">
            <v>0</v>
          </cell>
          <cell r="N60">
            <v>0</v>
          </cell>
          <cell r="O60">
            <v>0</v>
          </cell>
          <cell r="P60">
            <v>10800</v>
          </cell>
          <cell r="Q60">
            <v>5400</v>
          </cell>
          <cell r="R60">
            <v>2700</v>
          </cell>
          <cell r="S60">
            <v>2700</v>
          </cell>
          <cell r="T60">
            <v>2700</v>
          </cell>
          <cell r="U60">
            <v>2700</v>
          </cell>
          <cell r="V60">
            <v>2700</v>
          </cell>
          <cell r="W60">
            <v>2700</v>
          </cell>
          <cell r="X60">
            <v>2700</v>
          </cell>
          <cell r="Y60">
            <v>35100</v>
          </cell>
        </row>
        <row r="61">
          <cell r="K61" t="str">
            <v>ExportLNTNewUSABath76x147D</v>
          </cell>
          <cell r="L61" t="str">
            <v>ExportLNTNewUSABath76x147</v>
          </cell>
          <cell r="M61">
            <v>0</v>
          </cell>
          <cell r="N61">
            <v>0</v>
          </cell>
          <cell r="O61">
            <v>0</v>
          </cell>
          <cell r="P61">
            <v>16200</v>
          </cell>
          <cell r="Q61">
            <v>8100</v>
          </cell>
          <cell r="R61">
            <v>4050</v>
          </cell>
          <cell r="S61">
            <v>4050</v>
          </cell>
          <cell r="T61">
            <v>4050</v>
          </cell>
          <cell r="U61">
            <v>4050</v>
          </cell>
          <cell r="V61">
            <v>4050</v>
          </cell>
          <cell r="W61">
            <v>4050</v>
          </cell>
          <cell r="X61">
            <v>4050</v>
          </cell>
          <cell r="Y61">
            <v>52650</v>
          </cell>
        </row>
        <row r="62">
          <cell r="K62" t="str">
            <v>ExportLNTNewUSAHand51x76L</v>
          </cell>
          <cell r="L62" t="str">
            <v>ExportLNTNewUSAHand51x76</v>
          </cell>
          <cell r="M62">
            <v>0</v>
          </cell>
          <cell r="N62">
            <v>0</v>
          </cell>
          <cell r="O62">
            <v>0</v>
          </cell>
          <cell r="P62">
            <v>1500</v>
          </cell>
          <cell r="Q62">
            <v>750</v>
          </cell>
          <cell r="R62">
            <v>375</v>
          </cell>
          <cell r="S62">
            <v>375</v>
          </cell>
          <cell r="T62">
            <v>375</v>
          </cell>
          <cell r="U62">
            <v>375</v>
          </cell>
          <cell r="V62">
            <v>375</v>
          </cell>
          <cell r="W62">
            <v>375</v>
          </cell>
          <cell r="X62">
            <v>375</v>
          </cell>
          <cell r="Y62">
            <v>4875</v>
          </cell>
        </row>
        <row r="63">
          <cell r="K63" t="str">
            <v>ExportLNTNewUSAHand51x76M</v>
          </cell>
          <cell r="L63" t="str">
            <v>ExportLNTNewUSAHand51x76</v>
          </cell>
          <cell r="M63">
            <v>0</v>
          </cell>
          <cell r="N63">
            <v>0</v>
          </cell>
          <cell r="O63">
            <v>0</v>
          </cell>
          <cell r="P63">
            <v>600</v>
          </cell>
          <cell r="Q63">
            <v>300</v>
          </cell>
          <cell r="R63">
            <v>150</v>
          </cell>
          <cell r="S63">
            <v>150</v>
          </cell>
          <cell r="T63">
            <v>150</v>
          </cell>
          <cell r="U63">
            <v>150</v>
          </cell>
          <cell r="V63">
            <v>150</v>
          </cell>
          <cell r="W63">
            <v>150</v>
          </cell>
          <cell r="X63">
            <v>150</v>
          </cell>
          <cell r="Y63">
            <v>1950</v>
          </cell>
        </row>
        <row r="64">
          <cell r="K64" t="str">
            <v>ExportLNTNewUSAHand51x76D</v>
          </cell>
          <cell r="L64" t="str">
            <v>ExportLNTNewUSAHand51x76</v>
          </cell>
          <cell r="M64">
            <v>0</v>
          </cell>
          <cell r="N64">
            <v>0</v>
          </cell>
          <cell r="O64">
            <v>0</v>
          </cell>
          <cell r="P64">
            <v>900</v>
          </cell>
          <cell r="Q64">
            <v>450</v>
          </cell>
          <cell r="R64">
            <v>225</v>
          </cell>
          <cell r="S64">
            <v>225</v>
          </cell>
          <cell r="T64">
            <v>225</v>
          </cell>
          <cell r="U64">
            <v>225</v>
          </cell>
          <cell r="V64">
            <v>225</v>
          </cell>
          <cell r="W64">
            <v>225</v>
          </cell>
          <cell r="X64">
            <v>225</v>
          </cell>
          <cell r="Y64">
            <v>2925</v>
          </cell>
        </row>
        <row r="65">
          <cell r="K65" t="str">
            <v>ExportLNTNewUSAWash33x33L</v>
          </cell>
          <cell r="L65" t="str">
            <v>ExportLNTNewUSAWash33x33</v>
          </cell>
          <cell r="M65">
            <v>0</v>
          </cell>
          <cell r="N65">
            <v>0</v>
          </cell>
          <cell r="O65">
            <v>0</v>
          </cell>
          <cell r="P65">
            <v>1500</v>
          </cell>
          <cell r="Q65">
            <v>750</v>
          </cell>
          <cell r="R65">
            <v>375</v>
          </cell>
          <cell r="S65">
            <v>375</v>
          </cell>
          <cell r="T65">
            <v>375</v>
          </cell>
          <cell r="U65">
            <v>375</v>
          </cell>
          <cell r="V65">
            <v>375</v>
          </cell>
          <cell r="W65">
            <v>375</v>
          </cell>
          <cell r="X65">
            <v>375</v>
          </cell>
          <cell r="Y65">
            <v>4875</v>
          </cell>
        </row>
        <row r="66">
          <cell r="K66" t="str">
            <v>ExportLNTNewUSAWash33x33M</v>
          </cell>
          <cell r="L66" t="str">
            <v>ExportLNTNewUSAWash33x33</v>
          </cell>
          <cell r="M66">
            <v>0</v>
          </cell>
          <cell r="N66">
            <v>0</v>
          </cell>
          <cell r="O66">
            <v>0</v>
          </cell>
          <cell r="P66">
            <v>600</v>
          </cell>
          <cell r="Q66">
            <v>300</v>
          </cell>
          <cell r="R66">
            <v>150</v>
          </cell>
          <cell r="S66">
            <v>150</v>
          </cell>
          <cell r="T66">
            <v>150</v>
          </cell>
          <cell r="U66">
            <v>150</v>
          </cell>
          <cell r="V66">
            <v>150</v>
          </cell>
          <cell r="W66">
            <v>150</v>
          </cell>
          <cell r="X66">
            <v>150</v>
          </cell>
          <cell r="Y66">
            <v>1950</v>
          </cell>
        </row>
        <row r="67">
          <cell r="K67" t="str">
            <v>ExportLNTNewUSAWash33x33D</v>
          </cell>
          <cell r="L67" t="str">
            <v>ExportLNTNewUSAWash33x33</v>
          </cell>
          <cell r="M67">
            <v>0</v>
          </cell>
          <cell r="N67">
            <v>0</v>
          </cell>
          <cell r="O67">
            <v>0</v>
          </cell>
          <cell r="P67">
            <v>900</v>
          </cell>
          <cell r="Q67">
            <v>450</v>
          </cell>
          <cell r="R67">
            <v>225</v>
          </cell>
          <cell r="S67">
            <v>225</v>
          </cell>
          <cell r="T67">
            <v>225</v>
          </cell>
          <cell r="U67">
            <v>225</v>
          </cell>
          <cell r="V67">
            <v>225</v>
          </cell>
          <cell r="W67">
            <v>225</v>
          </cell>
          <cell r="X67">
            <v>225</v>
          </cell>
          <cell r="Y67">
            <v>2925</v>
          </cell>
        </row>
        <row r="68">
          <cell r="K68" t="str">
            <v>ExportKohlsBig One StripeUSABath76x137L</v>
          </cell>
          <cell r="L68" t="str">
            <v>ExportKohlsBig One StripeUSABath76x137</v>
          </cell>
          <cell r="M68">
            <v>0</v>
          </cell>
          <cell r="N68">
            <v>0</v>
          </cell>
          <cell r="O68">
            <v>0</v>
          </cell>
          <cell r="P68">
            <v>27625</v>
          </cell>
          <cell r="Q68">
            <v>27625</v>
          </cell>
          <cell r="R68">
            <v>27625</v>
          </cell>
          <cell r="S68">
            <v>27625</v>
          </cell>
          <cell r="T68">
            <v>27625</v>
          </cell>
          <cell r="U68">
            <v>27625</v>
          </cell>
          <cell r="V68">
            <v>27625</v>
          </cell>
          <cell r="W68">
            <v>27625</v>
          </cell>
          <cell r="X68">
            <v>27625</v>
          </cell>
          <cell r="Y68">
            <v>248625</v>
          </cell>
        </row>
        <row r="69">
          <cell r="K69" t="str">
            <v>ExportKohlsBig One StripeUSABath76x137M</v>
          </cell>
          <cell r="L69" t="str">
            <v>ExportKohlsBig One StripeUSABath76x137</v>
          </cell>
          <cell r="M69">
            <v>0</v>
          </cell>
          <cell r="N69">
            <v>0</v>
          </cell>
          <cell r="O69">
            <v>0</v>
          </cell>
          <cell r="P69">
            <v>11050</v>
          </cell>
          <cell r="Q69">
            <v>11050</v>
          </cell>
          <cell r="R69">
            <v>11050</v>
          </cell>
          <cell r="S69">
            <v>11050</v>
          </cell>
          <cell r="T69">
            <v>11050</v>
          </cell>
          <cell r="U69">
            <v>11050</v>
          </cell>
          <cell r="V69">
            <v>11050</v>
          </cell>
          <cell r="W69">
            <v>11050</v>
          </cell>
          <cell r="X69">
            <v>11050</v>
          </cell>
          <cell r="Y69">
            <v>99450</v>
          </cell>
        </row>
        <row r="70">
          <cell r="K70" t="str">
            <v>ExportKohlsBig One StripeUSABath76x137D</v>
          </cell>
          <cell r="L70" t="str">
            <v>ExportKohlsBig One StripeUSABath76x137</v>
          </cell>
          <cell r="M70">
            <v>0</v>
          </cell>
          <cell r="N70">
            <v>0</v>
          </cell>
          <cell r="O70">
            <v>0</v>
          </cell>
          <cell r="P70">
            <v>16575</v>
          </cell>
          <cell r="Q70">
            <v>16575</v>
          </cell>
          <cell r="R70">
            <v>16575</v>
          </cell>
          <cell r="S70">
            <v>16575</v>
          </cell>
          <cell r="T70">
            <v>16575</v>
          </cell>
          <cell r="U70">
            <v>16575</v>
          </cell>
          <cell r="V70">
            <v>16575</v>
          </cell>
          <cell r="W70">
            <v>16575</v>
          </cell>
          <cell r="X70">
            <v>16575</v>
          </cell>
          <cell r="Y70">
            <v>149175</v>
          </cell>
        </row>
        <row r="71">
          <cell r="K71" t="str">
            <v>ExportKohlsBig One StripeUSAHand41x71L</v>
          </cell>
          <cell r="L71" t="str">
            <v>ExportKohlsBig One StripeUSAHand41x71</v>
          </cell>
          <cell r="M71">
            <v>0</v>
          </cell>
          <cell r="N71">
            <v>0</v>
          </cell>
          <cell r="O71">
            <v>0</v>
          </cell>
          <cell r="P71">
            <v>2437.5</v>
          </cell>
          <cell r="Q71">
            <v>2437.5</v>
          </cell>
          <cell r="R71">
            <v>2437.5</v>
          </cell>
          <cell r="S71">
            <v>2437.5</v>
          </cell>
          <cell r="T71">
            <v>2437.5</v>
          </cell>
          <cell r="U71">
            <v>2437.5</v>
          </cell>
          <cell r="V71">
            <v>2437.5</v>
          </cell>
          <cell r="W71">
            <v>2437.5</v>
          </cell>
          <cell r="X71">
            <v>2437.5</v>
          </cell>
          <cell r="Y71">
            <v>21937.5</v>
          </cell>
        </row>
        <row r="72">
          <cell r="K72" t="str">
            <v>ExportKohlsBig One StripeUSAHand41x71M</v>
          </cell>
          <cell r="L72" t="str">
            <v>ExportKohlsBig One StripeUSAHand41x71</v>
          </cell>
          <cell r="M72">
            <v>0</v>
          </cell>
          <cell r="N72">
            <v>0</v>
          </cell>
          <cell r="O72">
            <v>0</v>
          </cell>
          <cell r="P72">
            <v>975</v>
          </cell>
          <cell r="Q72">
            <v>975</v>
          </cell>
          <cell r="R72">
            <v>975</v>
          </cell>
          <cell r="S72">
            <v>975</v>
          </cell>
          <cell r="T72">
            <v>975</v>
          </cell>
          <cell r="U72">
            <v>975</v>
          </cell>
          <cell r="V72">
            <v>975</v>
          </cell>
          <cell r="W72">
            <v>975</v>
          </cell>
          <cell r="X72">
            <v>975</v>
          </cell>
          <cell r="Y72">
            <v>8775</v>
          </cell>
        </row>
        <row r="73">
          <cell r="K73" t="str">
            <v>ExportKohlsBig One StripeUSAHand41x71D</v>
          </cell>
          <cell r="L73" t="str">
            <v>ExportKohlsBig One StripeUSAHand41x71</v>
          </cell>
          <cell r="M73">
            <v>0</v>
          </cell>
          <cell r="N73">
            <v>0</v>
          </cell>
          <cell r="O73">
            <v>0</v>
          </cell>
          <cell r="P73">
            <v>1462.5</v>
          </cell>
          <cell r="Q73">
            <v>1462.5</v>
          </cell>
          <cell r="R73">
            <v>1462.5</v>
          </cell>
          <cell r="S73">
            <v>1462.5</v>
          </cell>
          <cell r="T73">
            <v>1462.5</v>
          </cell>
          <cell r="U73">
            <v>1462.5</v>
          </cell>
          <cell r="V73">
            <v>1462.5</v>
          </cell>
          <cell r="W73">
            <v>1462.5</v>
          </cell>
          <cell r="X73">
            <v>1462.5</v>
          </cell>
          <cell r="Y73">
            <v>13162.5</v>
          </cell>
        </row>
        <row r="74">
          <cell r="K74" t="str">
            <v>ExportKohlsBig One StripeUSAWash30x30L</v>
          </cell>
          <cell r="L74" t="str">
            <v>ExportKohlsBig One StripeUSAWash30x30</v>
          </cell>
          <cell r="M74">
            <v>0</v>
          </cell>
          <cell r="N74">
            <v>0</v>
          </cell>
          <cell r="O74">
            <v>0</v>
          </cell>
          <cell r="P74">
            <v>2437.5</v>
          </cell>
          <cell r="Q74">
            <v>2437.5</v>
          </cell>
          <cell r="R74">
            <v>2437.5</v>
          </cell>
          <cell r="S74">
            <v>2437.5</v>
          </cell>
          <cell r="T74">
            <v>2437.5</v>
          </cell>
          <cell r="U74">
            <v>2437.5</v>
          </cell>
          <cell r="V74">
            <v>2437.5</v>
          </cell>
          <cell r="W74">
            <v>2437.5</v>
          </cell>
          <cell r="X74">
            <v>2437.5</v>
          </cell>
          <cell r="Y74">
            <v>21937.5</v>
          </cell>
        </row>
        <row r="75">
          <cell r="K75" t="str">
            <v>ExportKohlsBig One StripeUSAWash30x30M</v>
          </cell>
          <cell r="L75" t="str">
            <v>ExportKohlsBig One StripeUSAWash30x30</v>
          </cell>
          <cell r="M75">
            <v>0</v>
          </cell>
          <cell r="N75">
            <v>0</v>
          </cell>
          <cell r="O75">
            <v>0</v>
          </cell>
          <cell r="P75">
            <v>975</v>
          </cell>
          <cell r="Q75">
            <v>975</v>
          </cell>
          <cell r="R75">
            <v>975</v>
          </cell>
          <cell r="S75">
            <v>975</v>
          </cell>
          <cell r="T75">
            <v>975</v>
          </cell>
          <cell r="U75">
            <v>975</v>
          </cell>
          <cell r="V75">
            <v>975</v>
          </cell>
          <cell r="W75">
            <v>975</v>
          </cell>
          <cell r="X75">
            <v>975</v>
          </cell>
          <cell r="Y75">
            <v>8775</v>
          </cell>
        </row>
        <row r="76">
          <cell r="K76" t="str">
            <v>ExportKohlsBig One StripeUSAWash30x30D</v>
          </cell>
          <cell r="L76" t="str">
            <v>ExportKohlsBig One StripeUSAWash30x30</v>
          </cell>
          <cell r="M76">
            <v>0</v>
          </cell>
          <cell r="N76">
            <v>0</v>
          </cell>
          <cell r="O76">
            <v>0</v>
          </cell>
          <cell r="P76">
            <v>1462.5</v>
          </cell>
          <cell r="Q76">
            <v>1462.5</v>
          </cell>
          <cell r="R76">
            <v>1462.5</v>
          </cell>
          <cell r="S76">
            <v>1462.5</v>
          </cell>
          <cell r="T76">
            <v>1462.5</v>
          </cell>
          <cell r="U76">
            <v>1462.5</v>
          </cell>
          <cell r="V76">
            <v>1462.5</v>
          </cell>
          <cell r="W76">
            <v>1462.5</v>
          </cell>
          <cell r="X76">
            <v>1462.5</v>
          </cell>
          <cell r="Y76">
            <v>13162.5</v>
          </cell>
        </row>
        <row r="77">
          <cell r="K77" t="str">
            <v>ExportKohlsBig One SolidUSABath76x137L</v>
          </cell>
          <cell r="L77" t="str">
            <v>ExportKohlsBig One SolidUSABath76x137</v>
          </cell>
          <cell r="M77">
            <v>93500</v>
          </cell>
          <cell r="N77">
            <v>93500</v>
          </cell>
          <cell r="O77">
            <v>93500</v>
          </cell>
          <cell r="P77">
            <v>93500</v>
          </cell>
          <cell r="Q77">
            <v>93500</v>
          </cell>
          <cell r="R77">
            <v>93500</v>
          </cell>
          <cell r="S77">
            <v>93500</v>
          </cell>
          <cell r="T77">
            <v>93500</v>
          </cell>
          <cell r="U77">
            <v>93500</v>
          </cell>
          <cell r="V77">
            <v>93500</v>
          </cell>
          <cell r="W77">
            <v>93500</v>
          </cell>
          <cell r="X77">
            <v>93500</v>
          </cell>
          <cell r="Y77">
            <v>1122000</v>
          </cell>
        </row>
        <row r="78">
          <cell r="K78" t="str">
            <v>ExportKohlsBig One SolidUSABath76x137M</v>
          </cell>
          <cell r="L78" t="str">
            <v>ExportKohlsBig One SolidUSABath76x137</v>
          </cell>
          <cell r="M78">
            <v>37400</v>
          </cell>
          <cell r="N78">
            <v>37400</v>
          </cell>
          <cell r="O78">
            <v>37400</v>
          </cell>
          <cell r="P78">
            <v>37400</v>
          </cell>
          <cell r="Q78">
            <v>37400</v>
          </cell>
          <cell r="R78">
            <v>37400</v>
          </cell>
          <cell r="S78">
            <v>37400</v>
          </cell>
          <cell r="T78">
            <v>37400</v>
          </cell>
          <cell r="U78">
            <v>37400</v>
          </cell>
          <cell r="V78">
            <v>37400</v>
          </cell>
          <cell r="W78">
            <v>37400</v>
          </cell>
          <cell r="X78">
            <v>37400</v>
          </cell>
          <cell r="Y78">
            <v>448800</v>
          </cell>
        </row>
        <row r="79">
          <cell r="K79" t="str">
            <v>ExportKohlsBig One SolidUSABath76x137D</v>
          </cell>
          <cell r="L79" t="str">
            <v>ExportKohlsBig One SolidUSABath76x137</v>
          </cell>
          <cell r="M79">
            <v>56100</v>
          </cell>
          <cell r="N79">
            <v>56100</v>
          </cell>
          <cell r="O79">
            <v>56100</v>
          </cell>
          <cell r="P79">
            <v>56100</v>
          </cell>
          <cell r="Q79">
            <v>56100</v>
          </cell>
          <cell r="R79">
            <v>56100</v>
          </cell>
          <cell r="S79">
            <v>56100</v>
          </cell>
          <cell r="T79">
            <v>56100</v>
          </cell>
          <cell r="U79">
            <v>56100</v>
          </cell>
          <cell r="V79">
            <v>56100</v>
          </cell>
          <cell r="W79">
            <v>56100</v>
          </cell>
          <cell r="X79">
            <v>56100</v>
          </cell>
          <cell r="Y79">
            <v>673200</v>
          </cell>
        </row>
        <row r="80">
          <cell r="K80" t="str">
            <v>ExportKohlsBig One SolidUSAHand41x71L</v>
          </cell>
          <cell r="L80" t="str">
            <v>ExportKohlsBig One SolidUSAHand41x71</v>
          </cell>
          <cell r="M80">
            <v>8250</v>
          </cell>
          <cell r="N80">
            <v>8250</v>
          </cell>
          <cell r="O80">
            <v>8250</v>
          </cell>
          <cell r="P80">
            <v>8250</v>
          </cell>
          <cell r="Q80">
            <v>8250</v>
          </cell>
          <cell r="R80">
            <v>8250</v>
          </cell>
          <cell r="S80">
            <v>8250</v>
          </cell>
          <cell r="T80">
            <v>8250</v>
          </cell>
          <cell r="U80">
            <v>8250</v>
          </cell>
          <cell r="V80">
            <v>8250</v>
          </cell>
          <cell r="W80">
            <v>8250</v>
          </cell>
          <cell r="X80">
            <v>8250</v>
          </cell>
          <cell r="Y80">
            <v>99000</v>
          </cell>
        </row>
        <row r="81">
          <cell r="K81" t="str">
            <v>ExportKohlsBig One SolidUSAHand41x71M</v>
          </cell>
          <cell r="L81" t="str">
            <v>ExportKohlsBig One SolidUSAHand41x71</v>
          </cell>
          <cell r="M81">
            <v>3300</v>
          </cell>
          <cell r="N81">
            <v>3300</v>
          </cell>
          <cell r="O81">
            <v>3300</v>
          </cell>
          <cell r="P81">
            <v>3300</v>
          </cell>
          <cell r="Q81">
            <v>3300</v>
          </cell>
          <cell r="R81">
            <v>3300</v>
          </cell>
          <cell r="S81">
            <v>3300</v>
          </cell>
          <cell r="T81">
            <v>3300</v>
          </cell>
          <cell r="U81">
            <v>3300</v>
          </cell>
          <cell r="V81">
            <v>3300</v>
          </cell>
          <cell r="W81">
            <v>3300</v>
          </cell>
          <cell r="X81">
            <v>3300</v>
          </cell>
          <cell r="Y81">
            <v>39600</v>
          </cell>
        </row>
        <row r="82">
          <cell r="K82" t="str">
            <v>ExportKohlsBig One SolidUSAHand41x71D</v>
          </cell>
          <cell r="L82" t="str">
            <v>ExportKohlsBig One SolidUSAHand41x71</v>
          </cell>
          <cell r="M82">
            <v>4950</v>
          </cell>
          <cell r="N82">
            <v>4950</v>
          </cell>
          <cell r="O82">
            <v>4950</v>
          </cell>
          <cell r="P82">
            <v>4950</v>
          </cell>
          <cell r="Q82">
            <v>4950</v>
          </cell>
          <cell r="R82">
            <v>4950</v>
          </cell>
          <cell r="S82">
            <v>4950</v>
          </cell>
          <cell r="T82">
            <v>4950</v>
          </cell>
          <cell r="U82">
            <v>4950</v>
          </cell>
          <cell r="V82">
            <v>4950</v>
          </cell>
          <cell r="W82">
            <v>4950</v>
          </cell>
          <cell r="X82">
            <v>4950</v>
          </cell>
          <cell r="Y82">
            <v>59400</v>
          </cell>
        </row>
        <row r="83">
          <cell r="K83" t="str">
            <v>ExportKohlsBig One SolidUSAWash30x30L</v>
          </cell>
          <cell r="L83" t="str">
            <v>ExportKohlsBig One SolidUSAWash30x30</v>
          </cell>
          <cell r="M83">
            <v>8250</v>
          </cell>
          <cell r="N83">
            <v>8250</v>
          </cell>
          <cell r="O83">
            <v>8250</v>
          </cell>
          <cell r="P83">
            <v>8250</v>
          </cell>
          <cell r="Q83">
            <v>8250</v>
          </cell>
          <cell r="R83">
            <v>8250</v>
          </cell>
          <cell r="S83">
            <v>8250</v>
          </cell>
          <cell r="T83">
            <v>8250</v>
          </cell>
          <cell r="U83">
            <v>8250</v>
          </cell>
          <cell r="V83">
            <v>8250</v>
          </cell>
          <cell r="W83">
            <v>8250</v>
          </cell>
          <cell r="X83">
            <v>8250</v>
          </cell>
          <cell r="Y83">
            <v>99000</v>
          </cell>
        </row>
        <row r="84">
          <cell r="K84" t="str">
            <v>ExportKohlsBig One SolidUSAWash30x30M</v>
          </cell>
          <cell r="L84" t="str">
            <v>ExportKohlsBig One SolidUSAWash30x30</v>
          </cell>
          <cell r="M84">
            <v>3300</v>
          </cell>
          <cell r="N84">
            <v>3300</v>
          </cell>
          <cell r="O84">
            <v>3300</v>
          </cell>
          <cell r="P84">
            <v>3300</v>
          </cell>
          <cell r="Q84">
            <v>3300</v>
          </cell>
          <cell r="R84">
            <v>3300</v>
          </cell>
          <cell r="S84">
            <v>3300</v>
          </cell>
          <cell r="T84">
            <v>3300</v>
          </cell>
          <cell r="U84">
            <v>3300</v>
          </cell>
          <cell r="V84">
            <v>3300</v>
          </cell>
          <cell r="W84">
            <v>3300</v>
          </cell>
          <cell r="X84">
            <v>3300</v>
          </cell>
          <cell r="Y84">
            <v>39600</v>
          </cell>
        </row>
        <row r="85">
          <cell r="K85" t="str">
            <v>ExportKohlsBig One SolidUSAWash30x30D</v>
          </cell>
          <cell r="L85" t="str">
            <v>ExportKohlsBig One SolidUSAWash30x30</v>
          </cell>
          <cell r="M85">
            <v>4950</v>
          </cell>
          <cell r="N85">
            <v>4950</v>
          </cell>
          <cell r="O85">
            <v>4950</v>
          </cell>
          <cell r="P85">
            <v>4950</v>
          </cell>
          <cell r="Q85">
            <v>4950</v>
          </cell>
          <cell r="R85">
            <v>4950</v>
          </cell>
          <cell r="S85">
            <v>4950</v>
          </cell>
          <cell r="T85">
            <v>4950</v>
          </cell>
          <cell r="U85">
            <v>4950</v>
          </cell>
          <cell r="V85">
            <v>4950</v>
          </cell>
          <cell r="W85">
            <v>4950</v>
          </cell>
          <cell r="X85">
            <v>4950</v>
          </cell>
          <cell r="Y85">
            <v>59400</v>
          </cell>
        </row>
        <row r="86">
          <cell r="K86" t="str">
            <v>ExportIst New Buyer00Bath76x137L</v>
          </cell>
          <cell r="L86" t="str">
            <v>ExportIst New Buyer00Bath76x137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K87" t="str">
            <v>ExportIst New Buyer00Bath76x137M</v>
          </cell>
          <cell r="L87" t="str">
            <v>ExportIst New Buyer00Bath76x137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K88" t="str">
            <v>ExportIst New Buyer00Bath76x137D</v>
          </cell>
          <cell r="L88" t="str">
            <v>ExportIst New Buyer00Bath76x137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K89" t="str">
            <v>ExportIst New Buyer00Hand41x76L</v>
          </cell>
          <cell r="L89" t="str">
            <v>ExportIst New Buyer00Hand41x76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K90" t="str">
            <v>ExportIst New Buyer00Hand41x76M</v>
          </cell>
          <cell r="L90" t="str">
            <v>ExportIst New Buyer00Hand41x76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K91" t="str">
            <v>ExportIst New Buyer00Hand41x76D</v>
          </cell>
          <cell r="L91" t="str">
            <v>ExportIst New Buyer00Hand41x76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K92" t="str">
            <v>ExportIst New Buyer00Wash33x33L</v>
          </cell>
          <cell r="L92" t="str">
            <v>ExportIst New Buyer00Wash33x33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K93" t="str">
            <v>ExportIst New Buyer00Wash33x33M</v>
          </cell>
          <cell r="L93" t="str">
            <v>ExportIst New Buyer00Wash33x33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K94" t="str">
            <v>ExportIst New Buyer00Wash33x33D</v>
          </cell>
          <cell r="L94" t="str">
            <v>ExportIst New Buyer00Wash33x33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K95" t="str">
            <v>Export2nd New Buyer00Bath76x137L</v>
          </cell>
          <cell r="L95" t="str">
            <v>Export2nd New Buyer00Bath76x137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K96" t="str">
            <v>Export2nd New Buyer00Bath76x137M</v>
          </cell>
          <cell r="L96" t="str">
            <v>Export2nd New Buyer00Bath76x137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K97" t="str">
            <v>Export2nd New Buyer00Bath76x137D</v>
          </cell>
          <cell r="L97" t="str">
            <v>Export2nd New Buyer00Bath76x137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K98" t="str">
            <v>Export2nd New Buyer00Hand41x76L</v>
          </cell>
          <cell r="L98" t="str">
            <v>Export2nd New Buyer00Hand41x76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K99" t="str">
            <v>Export2nd New Buyer00Hand41x76M</v>
          </cell>
          <cell r="L99" t="str">
            <v>Export2nd New Buyer00Hand41x76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K100" t="str">
            <v>Export2nd New Buyer00Hand41x76D</v>
          </cell>
          <cell r="L100" t="str">
            <v>Export2nd New Buyer00Hand41x76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K101" t="str">
            <v>Export2nd New Buyer00Wash33x33L</v>
          </cell>
          <cell r="L101" t="str">
            <v>Export2nd New Buyer00Wash33x33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K102" t="str">
            <v>Export2nd New Buyer00Wash33x33M</v>
          </cell>
          <cell r="L102" t="str">
            <v>Export2nd New Buyer00Wash33x33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K103" t="str">
            <v>Export2nd New Buyer00Wash33x33D</v>
          </cell>
          <cell r="L103" t="str">
            <v>Export2nd New Buyer00Wash33x33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K104" t="str">
            <v>Export3rd New Buyer00Bath0x0L</v>
          </cell>
          <cell r="L104" t="str">
            <v>Export3rd New Buyer00Bath0x0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K105" t="str">
            <v>Export3rd New Buyer00Bath0x0M</v>
          </cell>
          <cell r="L105" t="str">
            <v>Export3rd New Buyer00Bath0x0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K106" t="str">
            <v>Export3rd New Buyer00Bath0x0D</v>
          </cell>
          <cell r="L106" t="str">
            <v>Export3rd New Buyer00Bath0x0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s"/>
      <sheetName val="P&amp;L"/>
      <sheetName val="A Payable"/>
      <sheetName val="Cost of Licenses"/>
      <sheetName val="VAT"/>
      <sheetName val="S&amp;W"/>
      <sheetName val="summary"/>
      <sheetName val="G&amp;A"/>
      <sheetName val="R&amp;D"/>
      <sheetName val="corp. other"/>
      <sheetName val="old input"/>
      <sheetName val="old HC plan 2"/>
      <sheetName val="input"/>
      <sheetName val="HC  R&amp;D"/>
      <sheetName val="Costes medios"/>
      <sheetName val="Assumptions"/>
      <sheetName val="Deferred Revenue"/>
      <sheetName val="Account Receivable"/>
      <sheetName val="cyborg"/>
      <sheetName val="sev."/>
      <sheetName val="general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ap_18"/>
      <sheetName val="Consumables_19"/>
      <sheetName val="Sub_Cont_Mtrl_20"/>
      <sheetName val="Pending RGP_21"/>
      <sheetName val="Expiry Details_22"/>
      <sheetName val="Cenvat 23"/>
      <sheetName val="Debit Notes_24"/>
      <sheetName val="Insurance_25"/>
      <sheetName val="GPA Medi_26"/>
      <sheetName val="Power_27"/>
      <sheetName val="Power_28"/>
      <sheetName val="Equip Hand_29"/>
      <sheetName val="Manpower_30"/>
      <sheetName val="Extra hrs_31ABC"/>
      <sheetName val="Tele _Exp_32"/>
      <sheetName val="Vehicle_33"/>
      <sheetName val="keydatalongi_34"/>
      <sheetName val="keydataspiral_35"/>
      <sheetName val="LONGI_DAHEJ"/>
      <sheetName val="LONGI-DAHEJ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Yarn"/>
      <sheetName val="Warp"/>
      <sheetName val="Weft"/>
      <sheetName val="Sizing"/>
      <sheetName val="Remnant"/>
      <sheetName val="Looms"/>
      <sheetName val="Grey"/>
      <sheetName val="Processing"/>
      <sheetName val="Cut &amp; Sew"/>
      <sheetName val="Only for F Part 2856-60"/>
      <sheetName val="Finish Ware House"/>
      <sheetName val="RTF"/>
      <sheetName val="GIT"/>
      <sheetName val="All Loc"/>
      <sheetName val="Shadewise 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T APRIL 2008"/>
      <sheetName val="Summary"/>
      <sheetName val="Auditor March 08"/>
      <sheetName val="WIP "/>
      <sheetName val=" FG"/>
      <sheetName val="WIP"/>
      <sheetName val="Sheet1"/>
      <sheetName val="structure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ow"/>
      <sheetName val="GIT of June 2008"/>
      <sheetName val="Halb,Job"/>
      <sheetName val="Fert"/>
      <sheetName val="7200"/>
      <sheetName val="Exc 7200Total Stock"/>
      <sheetName val="All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  <sheetName val="Exc 7200Total Stock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SHEET"/>
      <sheetName val="SUMMARY"/>
      <sheetName val="OTHER-ASSETS"/>
      <sheetName val="ADDITIONS-2001"/>
      <sheetName val="ADDITIONS-2002"/>
      <sheetName val="VEHICLES"/>
      <sheetName val="ADDITIONS-2003"/>
      <sheetName val="ADDITIONS-2004"/>
      <sheetName val="DEDUCTIONS"/>
      <sheetName val="DEP. CHECK"/>
      <sheetName val="CAPITAL WIP"/>
      <sheetName val="Input_B_V"/>
      <sheetName val="Inputs"/>
      <sheetName val="d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70"/>
  <sheetViews>
    <sheetView zoomScaleNormal="100" workbookViewId="0">
      <pane ySplit="1" topLeftCell="A115" activePane="bottomLeft" state="frozen"/>
      <selection activeCell="J1" sqref="J1:J16"/>
      <selection pane="bottomLeft" activeCell="C135" sqref="C135"/>
    </sheetView>
  </sheetViews>
  <sheetFormatPr defaultRowHeight="14.5" x14ac:dyDescent="0.35"/>
  <cols>
    <col min="1" max="1" width="10" bestFit="1" customWidth="1"/>
    <col min="2" max="2" width="10" customWidth="1"/>
    <col min="3" max="3" width="18.1796875" customWidth="1"/>
    <col min="4" max="4" width="7.81640625" customWidth="1"/>
    <col min="5" max="5" width="21" customWidth="1"/>
    <col min="6" max="6" width="26.26953125" customWidth="1"/>
    <col min="7" max="7" width="16.08984375" customWidth="1"/>
    <col min="8" max="8" width="9.36328125" customWidth="1"/>
    <col min="9" max="9" width="9.453125" customWidth="1"/>
    <col min="10" max="10" width="11.54296875" customWidth="1"/>
    <col min="11" max="11" width="26" customWidth="1"/>
    <col min="12" max="12" width="10.54296875" customWidth="1"/>
    <col min="13" max="13" width="14" customWidth="1"/>
    <col min="14" max="14" width="15.54296875" customWidth="1"/>
    <col min="15" max="15" width="12.7265625" customWidth="1"/>
    <col min="16" max="16" width="19.6328125" customWidth="1"/>
    <col min="17" max="17" width="20" style="55" customWidth="1"/>
    <col min="18" max="18" width="14.1796875" customWidth="1"/>
    <col min="19" max="19" width="8.81640625" customWidth="1"/>
    <col min="20" max="21" width="8.7265625" customWidth="1"/>
    <col min="22" max="22" width="9.453125" customWidth="1"/>
    <col min="23" max="23" width="10.08984375" customWidth="1"/>
  </cols>
  <sheetData>
    <row r="1" spans="1:23" x14ac:dyDescent="0.35">
      <c r="A1" s="28" t="s">
        <v>62</v>
      </c>
      <c r="B1" s="29" t="s">
        <v>63</v>
      </c>
      <c r="C1" s="29" t="s">
        <v>0</v>
      </c>
      <c r="D1" s="29" t="s">
        <v>64</v>
      </c>
      <c r="E1" s="29" t="s">
        <v>65</v>
      </c>
      <c r="F1" s="29" t="s">
        <v>66</v>
      </c>
      <c r="G1" s="29" t="s">
        <v>67</v>
      </c>
      <c r="H1" s="29" t="s">
        <v>68</v>
      </c>
      <c r="I1" s="29" t="s">
        <v>69</v>
      </c>
      <c r="J1" s="29" t="s">
        <v>70</v>
      </c>
      <c r="K1" s="29" t="s">
        <v>71</v>
      </c>
      <c r="L1" s="29" t="s">
        <v>72</v>
      </c>
      <c r="M1" s="29" t="s">
        <v>73</v>
      </c>
      <c r="N1" s="29" t="s">
        <v>74</v>
      </c>
      <c r="O1" s="29" t="s">
        <v>75</v>
      </c>
      <c r="P1" s="29" t="s">
        <v>76</v>
      </c>
      <c r="Q1" s="30" t="s">
        <v>77</v>
      </c>
      <c r="R1" s="29" t="s">
        <v>78</v>
      </c>
      <c r="S1" s="29" t="s">
        <v>79</v>
      </c>
      <c r="T1" s="29" t="s">
        <v>80</v>
      </c>
      <c r="U1" s="29" t="s">
        <v>81</v>
      </c>
      <c r="V1" s="29" t="s">
        <v>82</v>
      </c>
      <c r="W1" s="31" t="s">
        <v>83</v>
      </c>
    </row>
    <row r="2" spans="1:23" x14ac:dyDescent="0.35">
      <c r="A2" s="32" t="s">
        <v>84</v>
      </c>
      <c r="B2" s="32" t="s">
        <v>85</v>
      </c>
      <c r="C2" s="32" t="s">
        <v>9</v>
      </c>
      <c r="D2" s="32">
        <v>1</v>
      </c>
      <c r="E2" s="32" t="s">
        <v>9</v>
      </c>
      <c r="F2" s="32" t="s">
        <v>86</v>
      </c>
      <c r="G2" s="33">
        <f>Reqd_MC!I2</f>
        <v>2.3369737093150369</v>
      </c>
      <c r="H2" s="33"/>
      <c r="I2" s="32">
        <v>3</v>
      </c>
      <c r="J2" s="34">
        <v>0.8</v>
      </c>
      <c r="K2" s="35" t="s">
        <v>87</v>
      </c>
      <c r="L2" s="32"/>
      <c r="M2" s="36">
        <f>IF(MOD(G2*J2,1)&lt;0.3,ROUNDUP(G2*J2*3,0),ROUNDUP(G2*J2,0)*3)</f>
        <v>6</v>
      </c>
      <c r="N2" s="32"/>
      <c r="O2" s="32"/>
      <c r="P2" s="32"/>
      <c r="Q2" s="37">
        <f t="shared" ref="Q2:Q65" si="0">M2</f>
        <v>6</v>
      </c>
      <c r="R2" s="32"/>
      <c r="S2" s="32"/>
      <c r="T2" s="32"/>
      <c r="U2" s="32"/>
      <c r="V2" s="32"/>
      <c r="W2" s="38"/>
    </row>
    <row r="3" spans="1:23" x14ac:dyDescent="0.35">
      <c r="A3" s="39" t="s">
        <v>84</v>
      </c>
      <c r="B3" s="39" t="s">
        <v>85</v>
      </c>
      <c r="C3" s="39" t="s">
        <v>9</v>
      </c>
      <c r="D3" s="39">
        <v>2</v>
      </c>
      <c r="E3" s="39" t="s">
        <v>9</v>
      </c>
      <c r="F3" s="39" t="s">
        <v>88</v>
      </c>
      <c r="G3" s="39"/>
      <c r="H3" s="39"/>
      <c r="I3" s="39">
        <v>3</v>
      </c>
      <c r="J3" s="40"/>
      <c r="K3" s="39"/>
      <c r="L3" s="39"/>
      <c r="M3" s="39">
        <v>3</v>
      </c>
      <c r="N3" s="39"/>
      <c r="O3" s="39"/>
      <c r="P3" s="39"/>
      <c r="Q3" s="41">
        <f t="shared" si="0"/>
        <v>3</v>
      </c>
      <c r="R3" s="39"/>
      <c r="S3" s="39"/>
      <c r="T3" s="39"/>
      <c r="U3" s="39"/>
      <c r="V3" s="39"/>
      <c r="W3" s="42"/>
    </row>
    <row r="4" spans="1:23" x14ac:dyDescent="0.35">
      <c r="A4" s="32" t="s">
        <v>84</v>
      </c>
      <c r="B4" s="32" t="s">
        <v>85</v>
      </c>
      <c r="C4" s="32" t="s">
        <v>9</v>
      </c>
      <c r="D4" s="32">
        <v>3</v>
      </c>
      <c r="E4" s="32" t="s">
        <v>9</v>
      </c>
      <c r="F4" s="32" t="s">
        <v>89</v>
      </c>
      <c r="G4" s="32"/>
      <c r="H4" s="32"/>
      <c r="I4" s="32">
        <v>3</v>
      </c>
      <c r="J4" s="34"/>
      <c r="K4" s="32"/>
      <c r="L4" s="32"/>
      <c r="M4" s="32">
        <v>4</v>
      </c>
      <c r="N4" s="32"/>
      <c r="O4" s="32"/>
      <c r="P4" s="32"/>
      <c r="Q4" s="37">
        <f t="shared" si="0"/>
        <v>4</v>
      </c>
      <c r="R4" s="32"/>
      <c r="S4" s="32"/>
      <c r="T4" s="32"/>
      <c r="U4" s="32"/>
      <c r="V4" s="32"/>
      <c r="W4" s="38"/>
    </row>
    <row r="5" spans="1:23" x14ac:dyDescent="0.35">
      <c r="A5" s="39" t="s">
        <v>84</v>
      </c>
      <c r="B5" s="39" t="s">
        <v>85</v>
      </c>
      <c r="C5" s="39" t="s">
        <v>9</v>
      </c>
      <c r="D5" s="39">
        <v>4</v>
      </c>
      <c r="E5" s="39" t="s">
        <v>9</v>
      </c>
      <c r="F5" s="39" t="s">
        <v>90</v>
      </c>
      <c r="G5" s="39"/>
      <c r="H5" s="39"/>
      <c r="I5" s="39">
        <v>3</v>
      </c>
      <c r="J5" s="40"/>
      <c r="K5" s="39"/>
      <c r="L5" s="39"/>
      <c r="M5" s="39">
        <v>0</v>
      </c>
      <c r="N5" s="39"/>
      <c r="O5" s="39"/>
      <c r="P5" s="39"/>
      <c r="Q5" s="41">
        <f t="shared" si="0"/>
        <v>0</v>
      </c>
      <c r="R5" s="39"/>
      <c r="S5" s="39"/>
      <c r="T5" s="39"/>
      <c r="U5" s="39"/>
      <c r="V5" s="39"/>
      <c r="W5" s="42"/>
    </row>
    <row r="6" spans="1:23" x14ac:dyDescent="0.35">
      <c r="A6" s="32" t="s">
        <v>84</v>
      </c>
      <c r="B6" s="32" t="s">
        <v>85</v>
      </c>
      <c r="C6" s="32" t="s">
        <v>9</v>
      </c>
      <c r="D6" s="32">
        <v>5</v>
      </c>
      <c r="E6" s="32" t="s">
        <v>9</v>
      </c>
      <c r="F6" s="32" t="s">
        <v>91</v>
      </c>
      <c r="G6" s="32"/>
      <c r="H6" s="32"/>
      <c r="I6" s="32">
        <v>3</v>
      </c>
      <c r="J6" s="34"/>
      <c r="K6" s="32"/>
      <c r="L6" s="32"/>
      <c r="M6" s="32">
        <v>4</v>
      </c>
      <c r="N6" s="32"/>
      <c r="O6" s="32"/>
      <c r="P6" s="32"/>
      <c r="Q6" s="37">
        <f t="shared" si="0"/>
        <v>4</v>
      </c>
      <c r="R6" s="32"/>
      <c r="S6" s="32"/>
      <c r="T6" s="32"/>
      <c r="U6" s="32"/>
      <c r="V6" s="32"/>
      <c r="W6" s="38"/>
    </row>
    <row r="7" spans="1:23" x14ac:dyDescent="0.35">
      <c r="A7" s="39" t="s">
        <v>84</v>
      </c>
      <c r="B7" s="39" t="s">
        <v>85</v>
      </c>
      <c r="C7" s="39" t="s">
        <v>9</v>
      </c>
      <c r="D7" s="39">
        <v>6</v>
      </c>
      <c r="E7" s="39" t="s">
        <v>9</v>
      </c>
      <c r="F7" s="39" t="s">
        <v>92</v>
      </c>
      <c r="G7" s="39"/>
      <c r="H7" s="39"/>
      <c r="I7" s="39">
        <v>3</v>
      </c>
      <c r="J7" s="40"/>
      <c r="K7" s="39"/>
      <c r="L7" s="39"/>
      <c r="M7" s="39">
        <v>3</v>
      </c>
      <c r="N7" s="39"/>
      <c r="O7" s="39"/>
      <c r="P7" s="39"/>
      <c r="Q7" s="41">
        <f t="shared" si="0"/>
        <v>3</v>
      </c>
      <c r="R7" s="39"/>
      <c r="S7" s="39"/>
      <c r="T7" s="39"/>
      <c r="U7" s="39"/>
      <c r="V7" s="39"/>
      <c r="W7" s="42"/>
    </row>
    <row r="8" spans="1:23" x14ac:dyDescent="0.35">
      <c r="A8" s="32" t="s">
        <v>84</v>
      </c>
      <c r="B8" s="32" t="s">
        <v>85</v>
      </c>
      <c r="C8" s="32" t="s">
        <v>9</v>
      </c>
      <c r="D8" s="32">
        <v>7</v>
      </c>
      <c r="E8" s="32" t="s">
        <v>9</v>
      </c>
      <c r="F8" s="32" t="s">
        <v>93</v>
      </c>
      <c r="G8" s="32"/>
      <c r="H8" s="32"/>
      <c r="I8" s="32">
        <v>3</v>
      </c>
      <c r="J8" s="34"/>
      <c r="K8" s="32"/>
      <c r="L8" s="32"/>
      <c r="M8" s="32">
        <v>3</v>
      </c>
      <c r="N8" s="32"/>
      <c r="O8" s="32">
        <v>1</v>
      </c>
      <c r="P8" s="32"/>
      <c r="Q8" s="37">
        <f t="shared" si="0"/>
        <v>3</v>
      </c>
      <c r="R8" s="32"/>
      <c r="S8" s="32"/>
      <c r="T8" s="32"/>
      <c r="U8" s="32"/>
      <c r="V8" s="32"/>
      <c r="W8" s="38"/>
    </row>
    <row r="9" spans="1:23" x14ac:dyDescent="0.35">
      <c r="A9" s="39" t="s">
        <v>84</v>
      </c>
      <c r="B9" s="39" t="s">
        <v>85</v>
      </c>
      <c r="C9" s="39" t="s">
        <v>10</v>
      </c>
      <c r="D9" s="39">
        <v>1</v>
      </c>
      <c r="E9" s="39" t="s">
        <v>10</v>
      </c>
      <c r="F9" s="39" t="s">
        <v>86</v>
      </c>
      <c r="G9" s="43">
        <f>Reqd_MC!I3</f>
        <v>12</v>
      </c>
      <c r="H9" s="39">
        <v>2</v>
      </c>
      <c r="I9" s="39">
        <v>3</v>
      </c>
      <c r="J9" s="40">
        <v>0.5</v>
      </c>
      <c r="K9" s="39" t="s">
        <v>94</v>
      </c>
      <c r="L9" s="39"/>
      <c r="M9" s="36">
        <f>IF(MOD(G9*J9,1)&lt;0.3,ROUNDUP(G9*J9*3,0),ROUNDUP(G9*J9,0)*3)</f>
        <v>18</v>
      </c>
      <c r="N9" s="39"/>
      <c r="O9" s="39"/>
      <c r="P9" s="39"/>
      <c r="Q9" s="41">
        <f t="shared" si="0"/>
        <v>18</v>
      </c>
      <c r="R9" s="39"/>
      <c r="S9" s="39"/>
      <c r="T9" s="39"/>
      <c r="U9" s="39"/>
      <c r="V9" s="39"/>
      <c r="W9" s="42"/>
    </row>
    <row r="10" spans="1:23" x14ac:dyDescent="0.35">
      <c r="A10" s="32" t="s">
        <v>84</v>
      </c>
      <c r="B10" s="32" t="s">
        <v>85</v>
      </c>
      <c r="C10" s="32" t="s">
        <v>10</v>
      </c>
      <c r="D10" s="32">
        <v>2</v>
      </c>
      <c r="E10" s="32" t="s">
        <v>10</v>
      </c>
      <c r="F10" s="32" t="s">
        <v>93</v>
      </c>
      <c r="G10" s="32"/>
      <c r="H10" s="32"/>
      <c r="I10" s="32">
        <v>3</v>
      </c>
      <c r="J10" s="34"/>
      <c r="K10" s="32"/>
      <c r="L10" s="32"/>
      <c r="M10" s="32">
        <v>3</v>
      </c>
      <c r="N10" s="32"/>
      <c r="O10" s="32">
        <v>1</v>
      </c>
      <c r="P10" s="32"/>
      <c r="Q10" s="37">
        <f t="shared" si="0"/>
        <v>3</v>
      </c>
      <c r="R10" s="32"/>
      <c r="S10" s="32"/>
      <c r="T10" s="32"/>
      <c r="U10" s="32"/>
      <c r="V10" s="32"/>
      <c r="W10" s="38"/>
    </row>
    <row r="11" spans="1:23" x14ac:dyDescent="0.35">
      <c r="A11" s="39" t="s">
        <v>84</v>
      </c>
      <c r="B11" s="39" t="s">
        <v>85</v>
      </c>
      <c r="C11" s="39" t="s">
        <v>10</v>
      </c>
      <c r="D11" s="39">
        <v>3</v>
      </c>
      <c r="E11" s="39" t="s">
        <v>10</v>
      </c>
      <c r="F11" s="39" t="s">
        <v>95</v>
      </c>
      <c r="G11" s="39"/>
      <c r="H11" s="39"/>
      <c r="I11" s="39">
        <v>3</v>
      </c>
      <c r="J11" s="40"/>
      <c r="K11" s="39"/>
      <c r="L11" s="39"/>
      <c r="M11" s="39">
        <v>6</v>
      </c>
      <c r="N11" s="39"/>
      <c r="O11" s="39"/>
      <c r="P11" s="39"/>
      <c r="Q11" s="41">
        <f t="shared" si="0"/>
        <v>6</v>
      </c>
      <c r="R11" s="39"/>
      <c r="S11" s="39"/>
      <c r="T11" s="39"/>
      <c r="U11" s="39"/>
      <c r="V11" s="39"/>
      <c r="W11" s="42"/>
    </row>
    <row r="12" spans="1:23" x14ac:dyDescent="0.35">
      <c r="A12" s="32" t="s">
        <v>84</v>
      </c>
      <c r="B12" s="32" t="s">
        <v>85</v>
      </c>
      <c r="C12" s="32" t="s">
        <v>10</v>
      </c>
      <c r="D12" s="32">
        <v>4</v>
      </c>
      <c r="E12" s="32" t="s">
        <v>10</v>
      </c>
      <c r="F12" s="32" t="s">
        <v>96</v>
      </c>
      <c r="G12" s="32"/>
      <c r="H12" s="32"/>
      <c r="I12" s="32">
        <v>3</v>
      </c>
      <c r="J12" s="34"/>
      <c r="K12" s="32"/>
      <c r="L12" s="32"/>
      <c r="M12" s="32">
        <v>9</v>
      </c>
      <c r="N12" s="32"/>
      <c r="O12" s="32"/>
      <c r="P12" s="32"/>
      <c r="Q12" s="37">
        <f t="shared" si="0"/>
        <v>9</v>
      </c>
      <c r="R12" s="32"/>
      <c r="S12" s="32"/>
      <c r="T12" s="32"/>
      <c r="U12" s="32"/>
      <c r="V12" s="32"/>
      <c r="W12" s="38"/>
    </row>
    <row r="13" spans="1:23" x14ac:dyDescent="0.35">
      <c r="A13" s="39" t="s">
        <v>84</v>
      </c>
      <c r="B13" s="39" t="s">
        <v>85</v>
      </c>
      <c r="C13" s="39" t="s">
        <v>10</v>
      </c>
      <c r="D13" s="39">
        <v>5</v>
      </c>
      <c r="E13" s="39" t="s">
        <v>10</v>
      </c>
      <c r="F13" s="39" t="s">
        <v>97</v>
      </c>
      <c r="G13" s="39"/>
      <c r="H13" s="39"/>
      <c r="I13" s="39">
        <v>3</v>
      </c>
      <c r="J13" s="40"/>
      <c r="K13" s="39"/>
      <c r="L13" s="39"/>
      <c r="M13" s="39">
        <v>1</v>
      </c>
      <c r="N13" s="39"/>
      <c r="O13" s="39"/>
      <c r="P13" s="39"/>
      <c r="Q13" s="41">
        <f t="shared" si="0"/>
        <v>1</v>
      </c>
      <c r="R13" s="39"/>
      <c r="S13" s="39"/>
      <c r="T13" s="39"/>
      <c r="U13" s="39"/>
      <c r="V13" s="39"/>
      <c r="W13" s="42"/>
    </row>
    <row r="14" spans="1:23" x14ac:dyDescent="0.35">
      <c r="A14" s="32" t="s">
        <v>84</v>
      </c>
      <c r="B14" s="32" t="s">
        <v>85</v>
      </c>
      <c r="C14" s="32" t="s">
        <v>10</v>
      </c>
      <c r="D14" s="32">
        <v>6</v>
      </c>
      <c r="E14" s="32" t="s">
        <v>10</v>
      </c>
      <c r="F14" s="32" t="s">
        <v>98</v>
      </c>
      <c r="G14" s="32"/>
      <c r="H14" s="32"/>
      <c r="I14" s="32">
        <v>3</v>
      </c>
      <c r="J14" s="34"/>
      <c r="K14" s="32"/>
      <c r="L14" s="32"/>
      <c r="M14" s="32">
        <v>6</v>
      </c>
      <c r="N14" s="32"/>
      <c r="O14" s="32"/>
      <c r="P14" s="32"/>
      <c r="Q14" s="37">
        <f t="shared" si="0"/>
        <v>6</v>
      </c>
      <c r="R14" s="32"/>
      <c r="S14" s="32"/>
      <c r="T14" s="32"/>
      <c r="U14" s="32"/>
      <c r="V14" s="32"/>
      <c r="W14" s="38"/>
    </row>
    <row r="15" spans="1:23" x14ac:dyDescent="0.35">
      <c r="A15" s="39" t="s">
        <v>84</v>
      </c>
      <c r="B15" s="39" t="s">
        <v>85</v>
      </c>
      <c r="C15" s="39" t="s">
        <v>10</v>
      </c>
      <c r="D15" s="39">
        <v>7</v>
      </c>
      <c r="E15" s="39" t="s">
        <v>10</v>
      </c>
      <c r="F15" s="39" t="s">
        <v>99</v>
      </c>
      <c r="G15" s="39"/>
      <c r="H15" s="39"/>
      <c r="I15" s="39">
        <v>3</v>
      </c>
      <c r="J15" s="40"/>
      <c r="K15" s="39"/>
      <c r="L15" s="39"/>
      <c r="M15" s="39"/>
      <c r="N15" s="39"/>
      <c r="O15" s="39"/>
      <c r="P15" s="39"/>
      <c r="Q15" s="41">
        <f t="shared" si="0"/>
        <v>0</v>
      </c>
      <c r="R15" s="39"/>
      <c r="S15" s="39"/>
      <c r="T15" s="39"/>
      <c r="U15" s="39"/>
      <c r="V15" s="39"/>
      <c r="W15" s="42"/>
    </row>
    <row r="16" spans="1:23" x14ac:dyDescent="0.35">
      <c r="A16" s="32" t="s">
        <v>84</v>
      </c>
      <c r="B16" s="32" t="s">
        <v>85</v>
      </c>
      <c r="C16" s="32" t="s">
        <v>11</v>
      </c>
      <c r="D16" s="32">
        <v>1</v>
      </c>
      <c r="E16" s="32" t="s">
        <v>11</v>
      </c>
      <c r="F16" s="32" t="s">
        <v>86</v>
      </c>
      <c r="G16" s="34">
        <f>Reqd_MC!I4</f>
        <v>8</v>
      </c>
      <c r="H16" s="32"/>
      <c r="I16" s="32">
        <v>3</v>
      </c>
      <c r="J16" s="34">
        <v>2.5625</v>
      </c>
      <c r="K16" s="32" t="s">
        <v>100</v>
      </c>
      <c r="L16" s="32"/>
      <c r="M16" s="36">
        <f>IF(MOD(G16*J16,1)&lt;0.3,ROUNDUP(G16*J16*3,0),ROUNDUP(G16*J16,0)*3)</f>
        <v>63</v>
      </c>
      <c r="N16" s="32"/>
      <c r="O16" s="32">
        <v>1</v>
      </c>
      <c r="P16" s="32"/>
      <c r="Q16" s="37">
        <f t="shared" si="0"/>
        <v>63</v>
      </c>
      <c r="R16" s="32"/>
      <c r="S16" s="32"/>
      <c r="T16" s="32"/>
      <c r="U16" s="32"/>
      <c r="V16" s="32"/>
      <c r="W16" s="38"/>
    </row>
    <row r="17" spans="1:23" x14ac:dyDescent="0.35">
      <c r="A17" s="39" t="s">
        <v>84</v>
      </c>
      <c r="B17" s="39" t="s">
        <v>85</v>
      </c>
      <c r="C17" s="39" t="s">
        <v>11</v>
      </c>
      <c r="D17" s="39">
        <v>2</v>
      </c>
      <c r="E17" s="39" t="s">
        <v>11</v>
      </c>
      <c r="F17" s="39" t="s">
        <v>101</v>
      </c>
      <c r="G17" s="39"/>
      <c r="H17" s="39"/>
      <c r="I17" s="39">
        <v>3</v>
      </c>
      <c r="J17" s="40"/>
      <c r="K17" s="39"/>
      <c r="L17" s="39"/>
      <c r="M17" s="39">
        <v>9</v>
      </c>
      <c r="N17" s="39"/>
      <c r="O17" s="39">
        <v>1</v>
      </c>
      <c r="P17" s="39"/>
      <c r="Q17" s="41">
        <f t="shared" si="0"/>
        <v>9</v>
      </c>
      <c r="R17" s="39"/>
      <c r="S17" s="39"/>
      <c r="T17" s="39"/>
      <c r="U17" s="39"/>
      <c r="V17" s="39"/>
      <c r="W17" s="42"/>
    </row>
    <row r="18" spans="1:23" x14ac:dyDescent="0.35">
      <c r="A18" s="32" t="s">
        <v>84</v>
      </c>
      <c r="B18" s="32" t="s">
        <v>85</v>
      </c>
      <c r="C18" s="32" t="s">
        <v>11</v>
      </c>
      <c r="D18" s="32">
        <v>3</v>
      </c>
      <c r="E18" s="32" t="s">
        <v>11</v>
      </c>
      <c r="F18" s="32" t="s">
        <v>102</v>
      </c>
      <c r="G18" s="32"/>
      <c r="H18" s="32"/>
      <c r="I18" s="32">
        <v>3</v>
      </c>
      <c r="J18" s="34"/>
      <c r="K18" s="32"/>
      <c r="L18" s="32"/>
      <c r="M18" s="32"/>
      <c r="N18" s="32"/>
      <c r="O18" s="32">
        <v>1</v>
      </c>
      <c r="P18" s="32"/>
      <c r="Q18" s="37">
        <f t="shared" si="0"/>
        <v>0</v>
      </c>
      <c r="R18" s="32"/>
      <c r="S18" s="32"/>
      <c r="T18" s="32"/>
      <c r="U18" s="32"/>
      <c r="V18" s="32"/>
      <c r="W18" s="38"/>
    </row>
    <row r="19" spans="1:23" x14ac:dyDescent="0.35">
      <c r="A19" s="39" t="s">
        <v>84</v>
      </c>
      <c r="B19" s="39" t="s">
        <v>85</v>
      </c>
      <c r="C19" s="39" t="s">
        <v>11</v>
      </c>
      <c r="D19" s="39">
        <v>4</v>
      </c>
      <c r="E19" s="39" t="s">
        <v>11</v>
      </c>
      <c r="F19" s="39" t="s">
        <v>103</v>
      </c>
      <c r="G19" s="39"/>
      <c r="H19" s="39"/>
      <c r="I19" s="39">
        <v>3</v>
      </c>
      <c r="J19" s="40"/>
      <c r="K19" s="39"/>
      <c r="L19" s="39"/>
      <c r="M19" s="39">
        <v>3</v>
      </c>
      <c r="N19" s="39"/>
      <c r="O19" s="39">
        <v>1</v>
      </c>
      <c r="P19" s="39"/>
      <c r="Q19" s="41">
        <f t="shared" si="0"/>
        <v>3</v>
      </c>
      <c r="R19" s="39"/>
      <c r="S19" s="39"/>
      <c r="T19" s="39"/>
      <c r="U19" s="39"/>
      <c r="V19" s="39"/>
      <c r="W19" s="42"/>
    </row>
    <row r="20" spans="1:23" x14ac:dyDescent="0.35">
      <c r="A20" s="32" t="s">
        <v>84</v>
      </c>
      <c r="B20" s="32" t="s">
        <v>85</v>
      </c>
      <c r="C20" s="32" t="s">
        <v>11</v>
      </c>
      <c r="D20" s="32">
        <v>5</v>
      </c>
      <c r="E20" s="32" t="s">
        <v>11</v>
      </c>
      <c r="F20" s="32" t="s">
        <v>104</v>
      </c>
      <c r="G20" s="32"/>
      <c r="H20" s="32"/>
      <c r="I20" s="32">
        <v>3</v>
      </c>
      <c r="J20" s="34"/>
      <c r="K20" s="32"/>
      <c r="L20" s="32"/>
      <c r="M20" s="32">
        <v>3</v>
      </c>
      <c r="N20" s="32"/>
      <c r="O20" s="32">
        <v>1</v>
      </c>
      <c r="P20" s="32"/>
      <c r="Q20" s="37">
        <f t="shared" si="0"/>
        <v>3</v>
      </c>
      <c r="R20" s="32"/>
      <c r="S20" s="32"/>
      <c r="T20" s="32"/>
      <c r="U20" s="32"/>
      <c r="V20" s="32"/>
      <c r="W20" s="38"/>
    </row>
    <row r="21" spans="1:23" x14ac:dyDescent="0.35">
      <c r="A21" s="39" t="s">
        <v>84</v>
      </c>
      <c r="B21" s="39" t="s">
        <v>85</v>
      </c>
      <c r="C21" s="39" t="s">
        <v>11</v>
      </c>
      <c r="D21" s="39">
        <v>6</v>
      </c>
      <c r="E21" s="39" t="s">
        <v>11</v>
      </c>
      <c r="F21" s="39" t="s">
        <v>105</v>
      </c>
      <c r="G21" s="39"/>
      <c r="H21" s="39"/>
      <c r="I21" s="39">
        <v>3</v>
      </c>
      <c r="J21" s="40"/>
      <c r="K21" s="39"/>
      <c r="L21" s="39"/>
      <c r="M21" s="39">
        <v>3</v>
      </c>
      <c r="N21" s="39"/>
      <c r="O21" s="39">
        <v>1</v>
      </c>
      <c r="P21" s="39"/>
      <c r="Q21" s="41">
        <f t="shared" si="0"/>
        <v>3</v>
      </c>
      <c r="R21" s="39"/>
      <c r="S21" s="39"/>
      <c r="T21" s="39"/>
      <c r="U21" s="39"/>
      <c r="V21" s="39"/>
      <c r="W21" s="42"/>
    </row>
    <row r="22" spans="1:23" x14ac:dyDescent="0.35">
      <c r="A22" s="32" t="s">
        <v>84</v>
      </c>
      <c r="B22" s="32" t="s">
        <v>85</v>
      </c>
      <c r="C22" s="32" t="s">
        <v>11</v>
      </c>
      <c r="D22" s="32">
        <v>7</v>
      </c>
      <c r="E22" s="32" t="s">
        <v>11</v>
      </c>
      <c r="F22" s="32" t="s">
        <v>106</v>
      </c>
      <c r="G22" s="32"/>
      <c r="H22" s="32"/>
      <c r="I22" s="32">
        <v>3</v>
      </c>
      <c r="J22" s="34"/>
      <c r="K22" s="32"/>
      <c r="L22" s="32"/>
      <c r="M22" s="32">
        <v>1</v>
      </c>
      <c r="N22" s="32"/>
      <c r="O22" s="32">
        <v>1</v>
      </c>
      <c r="P22" s="32"/>
      <c r="Q22" s="37">
        <f t="shared" si="0"/>
        <v>1</v>
      </c>
      <c r="R22" s="32"/>
      <c r="S22" s="32"/>
      <c r="T22" s="32"/>
      <c r="U22" s="32"/>
      <c r="V22" s="32"/>
      <c r="W22" s="38"/>
    </row>
    <row r="23" spans="1:23" x14ac:dyDescent="0.35">
      <c r="A23" s="39" t="s">
        <v>84</v>
      </c>
      <c r="B23" s="39" t="s">
        <v>85</v>
      </c>
      <c r="C23" s="39" t="s">
        <v>11</v>
      </c>
      <c r="D23" s="39">
        <v>8</v>
      </c>
      <c r="E23" s="39" t="s">
        <v>11</v>
      </c>
      <c r="F23" s="39" t="s">
        <v>107</v>
      </c>
      <c r="G23" s="39"/>
      <c r="H23" s="39"/>
      <c r="I23" s="39">
        <v>3</v>
      </c>
      <c r="J23" s="40"/>
      <c r="K23" s="39"/>
      <c r="L23" s="39"/>
      <c r="M23" s="39">
        <v>3</v>
      </c>
      <c r="N23" s="39"/>
      <c r="O23" s="39">
        <v>1</v>
      </c>
      <c r="P23" s="39"/>
      <c r="Q23" s="41">
        <f t="shared" si="0"/>
        <v>3</v>
      </c>
      <c r="R23" s="39"/>
      <c r="S23" s="39"/>
      <c r="T23" s="39"/>
      <c r="U23" s="39"/>
      <c r="V23" s="39"/>
      <c r="W23" s="42"/>
    </row>
    <row r="24" spans="1:23" x14ac:dyDescent="0.35">
      <c r="A24" s="32" t="s">
        <v>84</v>
      </c>
      <c r="B24" s="32" t="s">
        <v>85</v>
      </c>
      <c r="C24" s="32" t="s">
        <v>12</v>
      </c>
      <c r="D24" s="32">
        <v>1</v>
      </c>
      <c r="E24" s="32" t="s">
        <v>12</v>
      </c>
      <c r="F24" s="32" t="s">
        <v>86</v>
      </c>
      <c r="G24" s="34">
        <f>Reqd_MC!H5</f>
        <v>4</v>
      </c>
      <c r="H24" s="32"/>
      <c r="I24" s="32">
        <v>3</v>
      </c>
      <c r="J24" s="34">
        <v>2</v>
      </c>
      <c r="K24" s="32" t="s">
        <v>108</v>
      </c>
      <c r="L24" s="32"/>
      <c r="M24" s="36">
        <f>IF(MOD(G24*J24,1)&lt;0.3,ROUNDUP(G24*J24*3,0),ROUNDUP(G24*J24,0)*3)</f>
        <v>24</v>
      </c>
      <c r="N24" s="32"/>
      <c r="O24" s="32">
        <v>1</v>
      </c>
      <c r="P24" s="32"/>
      <c r="Q24" s="37">
        <f t="shared" si="0"/>
        <v>24</v>
      </c>
      <c r="R24" s="32"/>
      <c r="S24" s="32"/>
      <c r="T24" s="32"/>
      <c r="U24" s="32"/>
      <c r="V24" s="32"/>
      <c r="W24" s="38"/>
    </row>
    <row r="25" spans="1:23" x14ac:dyDescent="0.35">
      <c r="A25" s="39" t="s">
        <v>84</v>
      </c>
      <c r="B25" s="39" t="s">
        <v>85</v>
      </c>
      <c r="C25" s="39" t="s">
        <v>12</v>
      </c>
      <c r="D25" s="39">
        <v>2</v>
      </c>
      <c r="E25" s="39" t="s">
        <v>12</v>
      </c>
      <c r="F25" s="39" t="s">
        <v>103</v>
      </c>
      <c r="G25" s="39"/>
      <c r="H25" s="39"/>
      <c r="I25" s="39">
        <v>3</v>
      </c>
      <c r="J25" s="40"/>
      <c r="K25" s="39"/>
      <c r="L25" s="39"/>
      <c r="M25" s="39">
        <v>3</v>
      </c>
      <c r="N25" s="39"/>
      <c r="O25" s="39">
        <v>1</v>
      </c>
      <c r="P25" s="39"/>
      <c r="Q25" s="41">
        <f t="shared" si="0"/>
        <v>3</v>
      </c>
      <c r="R25" s="39"/>
      <c r="S25" s="39"/>
      <c r="T25" s="39"/>
      <c r="U25" s="39"/>
      <c r="V25" s="39"/>
      <c r="W25" s="42"/>
    </row>
    <row r="26" spans="1:23" x14ac:dyDescent="0.35">
      <c r="A26" s="32" t="s">
        <v>84</v>
      </c>
      <c r="B26" s="32" t="s">
        <v>85</v>
      </c>
      <c r="C26" s="32" t="s">
        <v>13</v>
      </c>
      <c r="D26" s="32">
        <v>1</v>
      </c>
      <c r="E26" s="32" t="s">
        <v>13</v>
      </c>
      <c r="F26" s="32" t="s">
        <v>86</v>
      </c>
      <c r="G26" s="34">
        <f>Reqd_MC!H6</f>
        <v>19</v>
      </c>
      <c r="H26" s="32"/>
      <c r="I26" s="32">
        <v>3</v>
      </c>
      <c r="J26" s="34">
        <v>1</v>
      </c>
      <c r="K26" s="32" t="s">
        <v>109</v>
      </c>
      <c r="L26" s="32"/>
      <c r="M26" s="36">
        <f>IF(MOD(G26*J26,1)&lt;0.3,ROUNDUP(G26*J26*3,0),ROUNDUP(G26*J26,0)*3)</f>
        <v>57</v>
      </c>
      <c r="N26" s="32"/>
      <c r="O26" s="32">
        <v>1</v>
      </c>
      <c r="P26" s="32"/>
      <c r="Q26" s="37">
        <f t="shared" si="0"/>
        <v>57</v>
      </c>
      <c r="R26" s="32"/>
      <c r="S26" s="32"/>
      <c r="T26" s="32"/>
      <c r="U26" s="32"/>
      <c r="V26" s="32"/>
      <c r="W26" s="38"/>
    </row>
    <row r="27" spans="1:23" x14ac:dyDescent="0.35">
      <c r="A27" s="39" t="s">
        <v>84</v>
      </c>
      <c r="B27" s="39" t="s">
        <v>85</v>
      </c>
      <c r="C27" s="39" t="s">
        <v>13</v>
      </c>
      <c r="D27" s="39">
        <v>2</v>
      </c>
      <c r="E27" s="39" t="s">
        <v>13</v>
      </c>
      <c r="F27" s="44" t="s">
        <v>102</v>
      </c>
      <c r="G27" s="39"/>
      <c r="H27" s="39"/>
      <c r="I27" s="39">
        <v>3</v>
      </c>
      <c r="J27" s="40"/>
      <c r="K27" s="39"/>
      <c r="L27" s="39"/>
      <c r="M27" s="39">
        <f>0</f>
        <v>0</v>
      </c>
      <c r="N27" s="39"/>
      <c r="O27" s="39">
        <v>1</v>
      </c>
      <c r="P27" s="39"/>
      <c r="Q27" s="41">
        <f t="shared" si="0"/>
        <v>0</v>
      </c>
      <c r="R27" s="39"/>
      <c r="S27" s="39"/>
      <c r="T27" s="39"/>
      <c r="U27" s="39"/>
      <c r="V27" s="39"/>
      <c r="W27" s="42"/>
    </row>
    <row r="28" spans="1:23" x14ac:dyDescent="0.35">
      <c r="A28" s="32" t="s">
        <v>84</v>
      </c>
      <c r="B28" s="32" t="s">
        <v>85</v>
      </c>
      <c r="C28" s="32" t="s">
        <v>13</v>
      </c>
      <c r="D28" s="32">
        <v>3</v>
      </c>
      <c r="E28" s="32" t="s">
        <v>13</v>
      </c>
      <c r="F28" s="45" t="s">
        <v>103</v>
      </c>
      <c r="G28" s="32"/>
      <c r="H28" s="32"/>
      <c r="I28" s="32">
        <v>3</v>
      </c>
      <c r="J28" s="34"/>
      <c r="K28" s="32"/>
      <c r="L28" s="32"/>
      <c r="M28" s="32">
        <f>1*3</f>
        <v>3</v>
      </c>
      <c r="N28" s="32"/>
      <c r="O28" s="32">
        <v>1</v>
      </c>
      <c r="P28" s="32"/>
      <c r="Q28" s="37">
        <f t="shared" si="0"/>
        <v>3</v>
      </c>
      <c r="R28" s="32"/>
      <c r="S28" s="32"/>
      <c r="T28" s="32"/>
      <c r="U28" s="32"/>
      <c r="V28" s="32"/>
      <c r="W28" s="38"/>
    </row>
    <row r="29" spans="1:23" x14ac:dyDescent="0.35">
      <c r="A29" s="39" t="s">
        <v>84</v>
      </c>
      <c r="B29" s="39" t="s">
        <v>85</v>
      </c>
      <c r="C29" s="39" t="s">
        <v>13</v>
      </c>
      <c r="D29" s="39">
        <v>4</v>
      </c>
      <c r="E29" s="39" t="s">
        <v>13</v>
      </c>
      <c r="F29" s="44" t="s">
        <v>104</v>
      </c>
      <c r="G29" s="39"/>
      <c r="H29" s="39"/>
      <c r="I29" s="39">
        <v>3</v>
      </c>
      <c r="J29" s="40"/>
      <c r="K29" s="39"/>
      <c r="L29" s="39"/>
      <c r="M29" s="39">
        <f>1*3</f>
        <v>3</v>
      </c>
      <c r="N29" s="39"/>
      <c r="O29" s="39">
        <v>1</v>
      </c>
      <c r="P29" s="39"/>
      <c r="Q29" s="41">
        <f t="shared" si="0"/>
        <v>3</v>
      </c>
      <c r="R29" s="39"/>
      <c r="S29" s="39"/>
      <c r="T29" s="39"/>
      <c r="U29" s="39"/>
      <c r="V29" s="39"/>
      <c r="W29" s="42"/>
    </row>
    <row r="30" spans="1:23" x14ac:dyDescent="0.35">
      <c r="A30" s="32" t="s">
        <v>84</v>
      </c>
      <c r="B30" s="32" t="s">
        <v>85</v>
      </c>
      <c r="C30" s="32" t="s">
        <v>13</v>
      </c>
      <c r="D30" s="32">
        <v>5</v>
      </c>
      <c r="E30" s="32" t="s">
        <v>13</v>
      </c>
      <c r="F30" s="45" t="s">
        <v>105</v>
      </c>
      <c r="G30" s="32"/>
      <c r="H30" s="32"/>
      <c r="I30" s="32">
        <v>3</v>
      </c>
      <c r="J30" s="34"/>
      <c r="K30" s="32"/>
      <c r="L30" s="32"/>
      <c r="M30" s="32">
        <f>1*3</f>
        <v>3</v>
      </c>
      <c r="N30" s="32"/>
      <c r="O30" s="32">
        <v>1</v>
      </c>
      <c r="P30" s="32"/>
      <c r="Q30" s="37">
        <f t="shared" si="0"/>
        <v>3</v>
      </c>
      <c r="R30" s="32"/>
      <c r="S30" s="32"/>
      <c r="T30" s="32"/>
      <c r="U30" s="32"/>
      <c r="V30" s="32"/>
      <c r="W30" s="38"/>
    </row>
    <row r="31" spans="1:23" x14ac:dyDescent="0.35">
      <c r="A31" s="39" t="s">
        <v>84</v>
      </c>
      <c r="B31" s="39" t="s">
        <v>85</v>
      </c>
      <c r="C31" s="39" t="s">
        <v>13</v>
      </c>
      <c r="D31" s="39">
        <v>6</v>
      </c>
      <c r="E31" s="39" t="s">
        <v>13</v>
      </c>
      <c r="F31" s="44" t="s">
        <v>101</v>
      </c>
      <c r="G31" s="39"/>
      <c r="H31" s="39"/>
      <c r="I31" s="39">
        <v>3</v>
      </c>
      <c r="J31" s="40"/>
      <c r="K31" s="39"/>
      <c r="L31" s="39"/>
      <c r="M31" s="39">
        <f>1*3</f>
        <v>3</v>
      </c>
      <c r="N31" s="39"/>
      <c r="O31" s="39">
        <v>1</v>
      </c>
      <c r="P31" s="39"/>
      <c r="Q31" s="41">
        <f t="shared" si="0"/>
        <v>3</v>
      </c>
      <c r="R31" s="39"/>
      <c r="S31" s="39"/>
      <c r="T31" s="39"/>
      <c r="U31" s="39"/>
      <c r="V31" s="39"/>
      <c r="W31" s="42"/>
    </row>
    <row r="32" spans="1:23" x14ac:dyDescent="0.35">
      <c r="A32" s="32" t="s">
        <v>84</v>
      </c>
      <c r="B32" s="32" t="s">
        <v>85</v>
      </c>
      <c r="C32" s="32" t="s">
        <v>14</v>
      </c>
      <c r="D32" s="32">
        <v>1</v>
      </c>
      <c r="E32" s="32" t="s">
        <v>15</v>
      </c>
      <c r="F32" s="32" t="s">
        <v>86</v>
      </c>
      <c r="G32" s="34">
        <f>Reqd_MC!H7</f>
        <v>5</v>
      </c>
      <c r="H32" s="32"/>
      <c r="I32" s="32">
        <v>3</v>
      </c>
      <c r="J32" s="34">
        <v>4</v>
      </c>
      <c r="K32" s="32" t="s">
        <v>110</v>
      </c>
      <c r="L32" s="32"/>
      <c r="M32" s="36">
        <f>IF(MOD(G32*J32,1)&lt;0.3,ROUNDUP(G32*J32*3,0),ROUNDUP(G32*J32,0)*3)</f>
        <v>60</v>
      </c>
      <c r="N32" s="32"/>
      <c r="O32" s="32"/>
      <c r="P32" s="32"/>
      <c r="Q32" s="37">
        <f t="shared" si="0"/>
        <v>60</v>
      </c>
      <c r="R32" s="32"/>
      <c r="S32" s="32"/>
      <c r="T32" s="32"/>
      <c r="U32" s="32"/>
      <c r="V32" s="32"/>
      <c r="W32" s="38"/>
    </row>
    <row r="33" spans="1:23" x14ac:dyDescent="0.35">
      <c r="A33" s="39" t="s">
        <v>84</v>
      </c>
      <c r="B33" s="39" t="s">
        <v>85</v>
      </c>
      <c r="C33" s="39" t="s">
        <v>14</v>
      </c>
      <c r="D33" s="39">
        <v>2</v>
      </c>
      <c r="E33" s="39" t="s">
        <v>15</v>
      </c>
      <c r="F33" s="39" t="s">
        <v>102</v>
      </c>
      <c r="G33" s="39"/>
      <c r="H33" s="39"/>
      <c r="I33" s="39">
        <v>3</v>
      </c>
      <c r="J33" s="40"/>
      <c r="K33" s="39"/>
      <c r="L33" s="39"/>
      <c r="M33" s="39">
        <v>0</v>
      </c>
      <c r="N33" s="39"/>
      <c r="O33" s="39"/>
      <c r="P33" s="39"/>
      <c r="Q33" s="41">
        <f t="shared" si="0"/>
        <v>0</v>
      </c>
      <c r="R33" s="39"/>
      <c r="S33" s="39"/>
      <c r="T33" s="39"/>
      <c r="U33" s="39"/>
      <c r="V33" s="39"/>
      <c r="W33" s="42"/>
    </row>
    <row r="34" spans="1:23" x14ac:dyDescent="0.35">
      <c r="A34" s="32" t="s">
        <v>84</v>
      </c>
      <c r="B34" s="32" t="s">
        <v>85</v>
      </c>
      <c r="C34" s="32" t="s">
        <v>14</v>
      </c>
      <c r="D34" s="32">
        <v>3</v>
      </c>
      <c r="E34" s="32" t="s">
        <v>15</v>
      </c>
      <c r="F34" s="32" t="s">
        <v>103</v>
      </c>
      <c r="G34" s="32"/>
      <c r="H34" s="32"/>
      <c r="I34" s="32">
        <v>3</v>
      </c>
      <c r="J34" s="34"/>
      <c r="K34" s="32"/>
      <c r="L34" s="32"/>
      <c r="M34" s="32">
        <v>3</v>
      </c>
      <c r="N34" s="32"/>
      <c r="O34" s="32"/>
      <c r="P34" s="32"/>
      <c r="Q34" s="37">
        <f t="shared" si="0"/>
        <v>3</v>
      </c>
      <c r="R34" s="32"/>
      <c r="S34" s="32"/>
      <c r="T34" s="32"/>
      <c r="U34" s="32"/>
      <c r="V34" s="32"/>
      <c r="W34" s="38"/>
    </row>
    <row r="35" spans="1:23" x14ac:dyDescent="0.35">
      <c r="A35" s="39" t="s">
        <v>84</v>
      </c>
      <c r="B35" s="39" t="s">
        <v>85</v>
      </c>
      <c r="C35" s="39" t="s">
        <v>14</v>
      </c>
      <c r="D35" s="39">
        <v>4</v>
      </c>
      <c r="E35" s="39" t="s">
        <v>15</v>
      </c>
      <c r="F35" s="39" t="s">
        <v>105</v>
      </c>
      <c r="G35" s="39"/>
      <c r="H35" s="39"/>
      <c r="I35" s="39">
        <v>3</v>
      </c>
      <c r="J35" s="40"/>
      <c r="K35" s="39"/>
      <c r="L35" s="39"/>
      <c r="M35" s="39">
        <v>3</v>
      </c>
      <c r="N35" s="39"/>
      <c r="O35" s="39">
        <v>1</v>
      </c>
      <c r="P35" s="39"/>
      <c r="Q35" s="41">
        <f t="shared" si="0"/>
        <v>3</v>
      </c>
      <c r="R35" s="39"/>
      <c r="S35" s="39"/>
      <c r="T35" s="39"/>
      <c r="U35" s="39"/>
      <c r="V35" s="39"/>
      <c r="W35" s="42"/>
    </row>
    <row r="36" spans="1:23" x14ac:dyDescent="0.35">
      <c r="A36" s="32" t="s">
        <v>84</v>
      </c>
      <c r="B36" s="32" t="s">
        <v>85</v>
      </c>
      <c r="C36" s="32" t="s">
        <v>14</v>
      </c>
      <c r="D36" s="32">
        <v>5</v>
      </c>
      <c r="E36" s="32" t="s">
        <v>15</v>
      </c>
      <c r="F36" s="32" t="s">
        <v>111</v>
      </c>
      <c r="G36" s="32"/>
      <c r="H36" s="32"/>
      <c r="I36" s="32">
        <v>3</v>
      </c>
      <c r="J36" s="34"/>
      <c r="K36" s="32"/>
      <c r="L36" s="32"/>
      <c r="M36" s="32">
        <v>3</v>
      </c>
      <c r="N36" s="32"/>
      <c r="O36" s="32">
        <v>1</v>
      </c>
      <c r="P36" s="32"/>
      <c r="Q36" s="37">
        <f t="shared" si="0"/>
        <v>3</v>
      </c>
      <c r="R36" s="32"/>
      <c r="S36" s="32"/>
      <c r="T36" s="32"/>
      <c r="U36" s="32"/>
      <c r="V36" s="32"/>
      <c r="W36" s="38"/>
    </row>
    <row r="37" spans="1:23" x14ac:dyDescent="0.35">
      <c r="A37" s="39" t="s">
        <v>84</v>
      </c>
      <c r="B37" s="39" t="s">
        <v>85</v>
      </c>
      <c r="C37" s="39" t="s">
        <v>14</v>
      </c>
      <c r="D37" s="39">
        <v>6</v>
      </c>
      <c r="E37" s="39" t="s">
        <v>15</v>
      </c>
      <c r="F37" s="39" t="s">
        <v>104</v>
      </c>
      <c r="G37" s="39"/>
      <c r="H37" s="39"/>
      <c r="I37" s="39">
        <v>3</v>
      </c>
      <c r="J37" s="40"/>
      <c r="K37" s="39"/>
      <c r="L37" s="39"/>
      <c r="M37" s="39">
        <v>3</v>
      </c>
      <c r="N37" s="39"/>
      <c r="O37" s="39"/>
      <c r="P37" s="39"/>
      <c r="Q37" s="41">
        <f t="shared" si="0"/>
        <v>3</v>
      </c>
      <c r="R37" s="39"/>
      <c r="S37" s="39"/>
      <c r="T37" s="39"/>
      <c r="U37" s="39"/>
      <c r="V37" s="39"/>
      <c r="W37" s="42"/>
    </row>
    <row r="38" spans="1:23" x14ac:dyDescent="0.35">
      <c r="A38" s="32" t="s">
        <v>84</v>
      </c>
      <c r="B38" s="32" t="s">
        <v>85</v>
      </c>
      <c r="C38" s="32" t="s">
        <v>14</v>
      </c>
      <c r="D38" s="32">
        <v>1</v>
      </c>
      <c r="E38" s="32" t="s">
        <v>16</v>
      </c>
      <c r="F38" s="32" t="s">
        <v>86</v>
      </c>
      <c r="G38" s="34">
        <f>Reqd_MC!I8</f>
        <v>0.38619961299366995</v>
      </c>
      <c r="H38" s="32"/>
      <c r="I38" s="32">
        <v>3</v>
      </c>
      <c r="J38" s="34">
        <v>4</v>
      </c>
      <c r="K38" s="32" t="s">
        <v>110</v>
      </c>
      <c r="L38" s="32"/>
      <c r="M38" s="39">
        <f>IF(G38&lt;=0.33,1,(IF(G38&lt;=0.66,2,3)))*J38</f>
        <v>8</v>
      </c>
      <c r="N38" s="32"/>
      <c r="O38" s="32"/>
      <c r="P38" s="32"/>
      <c r="Q38" s="37">
        <f t="shared" si="0"/>
        <v>8</v>
      </c>
      <c r="R38" s="32"/>
      <c r="S38" s="32"/>
      <c r="T38" s="32"/>
      <c r="U38" s="32"/>
      <c r="V38" s="32"/>
      <c r="W38" s="38"/>
    </row>
    <row r="39" spans="1:23" x14ac:dyDescent="0.35">
      <c r="A39" s="39" t="s">
        <v>84</v>
      </c>
      <c r="B39" s="39" t="s">
        <v>85</v>
      </c>
      <c r="C39" s="39" t="s">
        <v>17</v>
      </c>
      <c r="D39" s="39">
        <v>1</v>
      </c>
      <c r="E39" s="39" t="s">
        <v>18</v>
      </c>
      <c r="F39" s="39" t="s">
        <v>86</v>
      </c>
      <c r="G39" s="40">
        <f>Reqd_MC!I9</f>
        <v>1</v>
      </c>
      <c r="H39" s="39"/>
      <c r="I39" s="39">
        <v>3</v>
      </c>
      <c r="J39" s="40">
        <v>9</v>
      </c>
      <c r="K39" s="39" t="s">
        <v>112</v>
      </c>
      <c r="L39" s="39"/>
      <c r="M39" s="39">
        <f>IF(G39&lt;=0.33,1,(IF(G39&lt;=0.66,2,3)))*J39</f>
        <v>27</v>
      </c>
      <c r="N39" s="39"/>
      <c r="O39" s="39"/>
      <c r="P39" s="39"/>
      <c r="Q39" s="41">
        <f t="shared" si="0"/>
        <v>27</v>
      </c>
      <c r="R39" s="39"/>
      <c r="S39" s="39"/>
      <c r="T39" s="39"/>
      <c r="U39" s="39"/>
      <c r="V39" s="39"/>
      <c r="W39" s="42"/>
    </row>
    <row r="40" spans="1:23" x14ac:dyDescent="0.35">
      <c r="A40" s="32" t="s">
        <v>84</v>
      </c>
      <c r="B40" s="32" t="s">
        <v>85</v>
      </c>
      <c r="C40" s="32" t="s">
        <v>17</v>
      </c>
      <c r="D40" s="32">
        <v>2</v>
      </c>
      <c r="E40" s="32" t="s">
        <v>18</v>
      </c>
      <c r="F40" s="32" t="s">
        <v>113</v>
      </c>
      <c r="G40" s="32"/>
      <c r="H40" s="32"/>
      <c r="I40" s="32">
        <v>3</v>
      </c>
      <c r="J40" s="34"/>
      <c r="K40" s="32"/>
      <c r="L40" s="32"/>
      <c r="M40" s="32">
        <v>6</v>
      </c>
      <c r="N40" s="32"/>
      <c r="O40" s="32"/>
      <c r="P40" s="32"/>
      <c r="Q40" s="37">
        <f t="shared" si="0"/>
        <v>6</v>
      </c>
      <c r="R40" s="32"/>
      <c r="S40" s="32"/>
      <c r="T40" s="32"/>
      <c r="U40" s="32"/>
      <c r="V40" s="32"/>
      <c r="W40" s="38"/>
    </row>
    <row r="41" spans="1:23" x14ac:dyDescent="0.35">
      <c r="A41" s="39" t="s">
        <v>84</v>
      </c>
      <c r="B41" s="39" t="s">
        <v>85</v>
      </c>
      <c r="C41" s="39" t="s">
        <v>17</v>
      </c>
      <c r="D41" s="39">
        <v>1</v>
      </c>
      <c r="E41" s="39" t="s">
        <v>19</v>
      </c>
      <c r="F41" s="39" t="s">
        <v>86</v>
      </c>
      <c r="G41" s="40">
        <f>Reqd_MC!I10</f>
        <v>0.33301261836436963</v>
      </c>
      <c r="H41" s="39"/>
      <c r="I41" s="39">
        <v>3</v>
      </c>
      <c r="J41" s="40">
        <v>6</v>
      </c>
      <c r="K41" s="39" t="s">
        <v>114</v>
      </c>
      <c r="L41" s="39"/>
      <c r="M41" s="39">
        <f>IF(G41&lt;=0.33,1,(IF(G41&lt;=0.66,2,3)))*J41</f>
        <v>12</v>
      </c>
      <c r="N41" s="39"/>
      <c r="O41" s="39"/>
      <c r="P41" s="39"/>
      <c r="Q41" s="41">
        <f t="shared" si="0"/>
        <v>12</v>
      </c>
      <c r="R41" s="39"/>
      <c r="S41" s="39"/>
      <c r="T41" s="39"/>
      <c r="U41" s="39"/>
      <c r="V41" s="39"/>
      <c r="W41" s="42"/>
    </row>
    <row r="42" spans="1:23" x14ac:dyDescent="0.35">
      <c r="A42" s="32" t="s">
        <v>84</v>
      </c>
      <c r="B42" s="32" t="s">
        <v>85</v>
      </c>
      <c r="C42" s="32" t="s">
        <v>17</v>
      </c>
      <c r="D42" s="32">
        <v>2</v>
      </c>
      <c r="E42" s="32" t="s">
        <v>19</v>
      </c>
      <c r="F42" s="32" t="s">
        <v>115</v>
      </c>
      <c r="G42" s="32"/>
      <c r="H42" s="32"/>
      <c r="I42" s="32">
        <v>3</v>
      </c>
      <c r="J42" s="34"/>
      <c r="K42" s="32"/>
      <c r="L42" s="32"/>
      <c r="M42" s="32">
        <v>3</v>
      </c>
      <c r="N42" s="32"/>
      <c r="O42" s="32"/>
      <c r="P42" s="32"/>
      <c r="Q42" s="37">
        <f t="shared" si="0"/>
        <v>3</v>
      </c>
      <c r="R42" s="32"/>
      <c r="S42" s="32"/>
      <c r="T42" s="32"/>
      <c r="U42" s="32"/>
      <c r="V42" s="32"/>
      <c r="W42" s="38"/>
    </row>
    <row r="43" spans="1:23" x14ac:dyDescent="0.35">
      <c r="A43" s="39" t="s">
        <v>84</v>
      </c>
      <c r="B43" s="39" t="s">
        <v>85</v>
      </c>
      <c r="C43" s="39" t="s">
        <v>20</v>
      </c>
      <c r="D43" s="39">
        <v>1</v>
      </c>
      <c r="E43" s="39" t="s">
        <v>59</v>
      </c>
      <c r="F43" s="39" t="s">
        <v>86</v>
      </c>
      <c r="G43" s="40">
        <f>Reqd_MC!I11</f>
        <v>0.21756521229418765</v>
      </c>
      <c r="H43" s="39"/>
      <c r="I43" s="39">
        <v>3</v>
      </c>
      <c r="J43" s="40">
        <v>21</v>
      </c>
      <c r="K43" s="39" t="s">
        <v>116</v>
      </c>
      <c r="L43" s="39"/>
      <c r="M43" s="39">
        <f>IF(G43&lt;=0.33,1,(IF(G43&lt;=0.66,2,3)))*J43</f>
        <v>21</v>
      </c>
      <c r="N43" s="39"/>
      <c r="O43" s="39"/>
      <c r="P43" s="39"/>
      <c r="Q43" s="41">
        <f t="shared" si="0"/>
        <v>21</v>
      </c>
      <c r="R43" s="39"/>
      <c r="S43" s="39"/>
      <c r="T43" s="39"/>
      <c r="U43" s="39"/>
      <c r="V43" s="39"/>
      <c r="W43" s="42"/>
    </row>
    <row r="44" spans="1:23" x14ac:dyDescent="0.35">
      <c r="A44" s="32" t="s">
        <v>84</v>
      </c>
      <c r="B44" s="32" t="s">
        <v>85</v>
      </c>
      <c r="C44" s="32" t="s">
        <v>20</v>
      </c>
      <c r="D44" s="32">
        <v>2</v>
      </c>
      <c r="E44" s="32" t="s">
        <v>59</v>
      </c>
      <c r="F44" s="32" t="s">
        <v>117</v>
      </c>
      <c r="G44" s="32"/>
      <c r="H44" s="32"/>
      <c r="I44" s="32">
        <v>3</v>
      </c>
      <c r="J44" s="34"/>
      <c r="K44" s="32"/>
      <c r="L44" s="32"/>
      <c r="M44" s="32">
        <v>2</v>
      </c>
      <c r="N44" s="32"/>
      <c r="O44" s="32"/>
      <c r="P44" s="32"/>
      <c r="Q44" s="37">
        <f t="shared" si="0"/>
        <v>2</v>
      </c>
      <c r="R44" s="32"/>
      <c r="S44" s="32"/>
      <c r="T44" s="32"/>
      <c r="U44" s="32"/>
      <c r="V44" s="32"/>
      <c r="W44" s="38"/>
    </row>
    <row r="45" spans="1:23" x14ac:dyDescent="0.35">
      <c r="A45" s="39" t="s">
        <v>84</v>
      </c>
      <c r="B45" s="39" t="s">
        <v>85</v>
      </c>
      <c r="C45" s="39" t="s">
        <v>20</v>
      </c>
      <c r="D45" s="39">
        <v>3</v>
      </c>
      <c r="E45" s="39" t="s">
        <v>59</v>
      </c>
      <c r="F45" s="39" t="s">
        <v>118</v>
      </c>
      <c r="G45" s="39"/>
      <c r="H45" s="39"/>
      <c r="I45" s="39">
        <v>3</v>
      </c>
      <c r="J45" s="40"/>
      <c r="K45" s="39"/>
      <c r="L45" s="39"/>
      <c r="M45" s="39">
        <v>5</v>
      </c>
      <c r="N45" s="39"/>
      <c r="O45" s="39"/>
      <c r="P45" s="39"/>
      <c r="Q45" s="41">
        <f t="shared" si="0"/>
        <v>5</v>
      </c>
      <c r="R45" s="39"/>
      <c r="S45" s="39"/>
      <c r="T45" s="39"/>
      <c r="U45" s="39"/>
      <c r="V45" s="39"/>
      <c r="W45" s="42"/>
    </row>
    <row r="46" spans="1:23" x14ac:dyDescent="0.35">
      <c r="A46" s="32" t="s">
        <v>84</v>
      </c>
      <c r="B46" s="32" t="s">
        <v>85</v>
      </c>
      <c r="C46" s="32" t="s">
        <v>20</v>
      </c>
      <c r="D46" s="32">
        <v>4</v>
      </c>
      <c r="E46" s="32" t="s">
        <v>59</v>
      </c>
      <c r="F46" s="32" t="s">
        <v>119</v>
      </c>
      <c r="G46" s="32"/>
      <c r="H46" s="32"/>
      <c r="I46" s="32">
        <v>3</v>
      </c>
      <c r="J46" s="34"/>
      <c r="K46" s="32"/>
      <c r="L46" s="32"/>
      <c r="M46" s="32">
        <v>5</v>
      </c>
      <c r="N46" s="32"/>
      <c r="O46" s="32"/>
      <c r="P46" s="32"/>
      <c r="Q46" s="37">
        <f t="shared" si="0"/>
        <v>5</v>
      </c>
      <c r="R46" s="32"/>
      <c r="S46" s="32"/>
      <c r="T46" s="32"/>
      <c r="U46" s="32"/>
      <c r="V46" s="32"/>
      <c r="W46" s="38"/>
    </row>
    <row r="47" spans="1:23" x14ac:dyDescent="0.35">
      <c r="A47" s="39" t="s">
        <v>84</v>
      </c>
      <c r="B47" s="39" t="s">
        <v>85</v>
      </c>
      <c r="C47" s="39" t="s">
        <v>20</v>
      </c>
      <c r="D47" s="39">
        <v>1</v>
      </c>
      <c r="E47" s="39" t="s">
        <v>60</v>
      </c>
      <c r="F47" s="39" t="s">
        <v>86</v>
      </c>
      <c r="G47" s="40">
        <f>Reqd_MC!I12</f>
        <v>0.2202668250265444</v>
      </c>
      <c r="H47" s="39"/>
      <c r="I47" s="39">
        <v>3</v>
      </c>
      <c r="J47" s="40">
        <v>10</v>
      </c>
      <c r="K47" s="39" t="s">
        <v>120</v>
      </c>
      <c r="L47" s="39"/>
      <c r="M47" s="39">
        <f>IF(G47&lt;=0.33,1,(IF(G47&lt;=0.66,2,3)))*J47</f>
        <v>10</v>
      </c>
      <c r="N47" s="39"/>
      <c r="O47" s="39"/>
      <c r="P47" s="39"/>
      <c r="Q47" s="41">
        <f t="shared" si="0"/>
        <v>10</v>
      </c>
      <c r="R47" s="39"/>
      <c r="S47" s="39"/>
      <c r="T47" s="39"/>
      <c r="U47" s="39"/>
      <c r="V47" s="39"/>
      <c r="W47" s="42"/>
    </row>
    <row r="48" spans="1:23" x14ac:dyDescent="0.35">
      <c r="A48" s="32" t="s">
        <v>84</v>
      </c>
      <c r="B48" s="32" t="s">
        <v>85</v>
      </c>
      <c r="C48" s="32" t="s">
        <v>20</v>
      </c>
      <c r="D48" s="32">
        <v>2</v>
      </c>
      <c r="E48" s="32" t="s">
        <v>60</v>
      </c>
      <c r="F48" s="32" t="s">
        <v>121</v>
      </c>
      <c r="G48" s="32"/>
      <c r="H48" s="32"/>
      <c r="I48" s="32">
        <v>3</v>
      </c>
      <c r="J48" s="34"/>
      <c r="K48" s="32"/>
      <c r="L48" s="32"/>
      <c r="M48" s="32">
        <v>9</v>
      </c>
      <c r="N48" s="32"/>
      <c r="O48" s="32"/>
      <c r="P48" s="32"/>
      <c r="Q48" s="37">
        <f t="shared" si="0"/>
        <v>9</v>
      </c>
      <c r="R48" s="32"/>
      <c r="S48" s="32"/>
      <c r="T48" s="32"/>
      <c r="U48" s="32"/>
      <c r="V48" s="32"/>
      <c r="W48" s="38"/>
    </row>
    <row r="49" spans="1:23" x14ac:dyDescent="0.35">
      <c r="A49" s="39" t="s">
        <v>84</v>
      </c>
      <c r="B49" s="39" t="s">
        <v>85</v>
      </c>
      <c r="C49" s="39" t="s">
        <v>20</v>
      </c>
      <c r="D49" s="39">
        <v>3</v>
      </c>
      <c r="E49" s="39" t="s">
        <v>60</v>
      </c>
      <c r="F49" s="39" t="s">
        <v>122</v>
      </c>
      <c r="G49" s="39"/>
      <c r="H49" s="39"/>
      <c r="I49" s="39">
        <v>3</v>
      </c>
      <c r="J49" s="40"/>
      <c r="K49" s="39"/>
      <c r="L49" s="39"/>
      <c r="M49" s="39">
        <v>6</v>
      </c>
      <c r="N49" s="39"/>
      <c r="O49" s="39"/>
      <c r="P49" s="39"/>
      <c r="Q49" s="41">
        <f t="shared" si="0"/>
        <v>6</v>
      </c>
      <c r="R49" s="39"/>
      <c r="S49" s="39"/>
      <c r="T49" s="39"/>
      <c r="U49" s="39"/>
      <c r="V49" s="39"/>
      <c r="W49" s="42"/>
    </row>
    <row r="50" spans="1:23" x14ac:dyDescent="0.35">
      <c r="A50" s="32" t="s">
        <v>84</v>
      </c>
      <c r="B50" s="32" t="s">
        <v>85</v>
      </c>
      <c r="C50" s="32" t="s">
        <v>20</v>
      </c>
      <c r="D50" s="32">
        <v>4</v>
      </c>
      <c r="E50" s="32" t="s">
        <v>60</v>
      </c>
      <c r="F50" s="32" t="s">
        <v>123</v>
      </c>
      <c r="G50" s="32"/>
      <c r="H50" s="32"/>
      <c r="I50" s="32">
        <v>3</v>
      </c>
      <c r="J50" s="34"/>
      <c r="K50" s="32"/>
      <c r="L50" s="32"/>
      <c r="M50" s="32">
        <v>8</v>
      </c>
      <c r="N50" s="32"/>
      <c r="O50" s="32"/>
      <c r="P50" s="32"/>
      <c r="Q50" s="37">
        <f t="shared" si="0"/>
        <v>8</v>
      </c>
      <c r="R50" s="32"/>
      <c r="S50" s="32"/>
      <c r="T50" s="32"/>
      <c r="U50" s="32"/>
      <c r="V50" s="32"/>
      <c r="W50" s="38"/>
    </row>
    <row r="51" spans="1:23" x14ac:dyDescent="0.35">
      <c r="A51" s="39" t="s">
        <v>84</v>
      </c>
      <c r="B51" s="39" t="s">
        <v>85</v>
      </c>
      <c r="C51" s="39" t="s">
        <v>20</v>
      </c>
      <c r="D51" s="39">
        <v>5</v>
      </c>
      <c r="E51" s="39" t="s">
        <v>60</v>
      </c>
      <c r="F51" s="39" t="s">
        <v>124</v>
      </c>
      <c r="G51" s="39"/>
      <c r="H51" s="39"/>
      <c r="I51" s="39">
        <v>3</v>
      </c>
      <c r="J51" s="40"/>
      <c r="K51" s="39"/>
      <c r="L51" s="39"/>
      <c r="M51" s="39">
        <v>6</v>
      </c>
      <c r="N51" s="39"/>
      <c r="O51" s="39"/>
      <c r="P51" s="39"/>
      <c r="Q51" s="41">
        <f t="shared" si="0"/>
        <v>6</v>
      </c>
      <c r="R51" s="39"/>
      <c r="S51" s="39"/>
      <c r="T51" s="39"/>
      <c r="U51" s="39"/>
      <c r="V51" s="39"/>
      <c r="W51" s="42"/>
    </row>
    <row r="52" spans="1:23" x14ac:dyDescent="0.35">
      <c r="A52" s="32" t="s">
        <v>84</v>
      </c>
      <c r="B52" s="32" t="s">
        <v>85</v>
      </c>
      <c r="C52" s="32" t="s">
        <v>20</v>
      </c>
      <c r="D52" s="32">
        <v>6</v>
      </c>
      <c r="E52" s="32" t="s">
        <v>60</v>
      </c>
      <c r="F52" s="32" t="s">
        <v>125</v>
      </c>
      <c r="G52" s="32"/>
      <c r="H52" s="32"/>
      <c r="I52" s="32">
        <v>3</v>
      </c>
      <c r="J52" s="34"/>
      <c r="K52" s="32"/>
      <c r="L52" s="32"/>
      <c r="M52" s="32">
        <v>6</v>
      </c>
      <c r="N52" s="32"/>
      <c r="O52" s="32"/>
      <c r="P52" s="32"/>
      <c r="Q52" s="37">
        <f t="shared" si="0"/>
        <v>6</v>
      </c>
      <c r="R52" s="32"/>
      <c r="S52" s="32"/>
      <c r="T52" s="32"/>
      <c r="U52" s="32"/>
      <c r="V52" s="32"/>
      <c r="W52" s="38"/>
    </row>
    <row r="53" spans="1:23" x14ac:dyDescent="0.35">
      <c r="A53" s="39" t="s">
        <v>84</v>
      </c>
      <c r="B53" s="39" t="s">
        <v>85</v>
      </c>
      <c r="C53" s="39" t="s">
        <v>126</v>
      </c>
      <c r="D53" s="39">
        <v>1</v>
      </c>
      <c r="E53" s="39"/>
      <c r="F53" s="39" t="s">
        <v>127</v>
      </c>
      <c r="G53" s="39"/>
      <c r="H53" s="39"/>
      <c r="I53" s="39">
        <v>3</v>
      </c>
      <c r="J53" s="40"/>
      <c r="K53" s="39"/>
      <c r="L53" s="39"/>
      <c r="M53" s="39">
        <v>34</v>
      </c>
      <c r="N53" s="39"/>
      <c r="O53" s="39"/>
      <c r="P53" s="39"/>
      <c r="Q53" s="41">
        <f t="shared" si="0"/>
        <v>34</v>
      </c>
      <c r="R53" s="39"/>
      <c r="S53" s="39"/>
      <c r="T53" s="39"/>
      <c r="U53" s="39"/>
      <c r="V53" s="39"/>
      <c r="W53" s="42"/>
    </row>
    <row r="54" spans="1:23" x14ac:dyDescent="0.35">
      <c r="A54" s="32" t="s">
        <v>84</v>
      </c>
      <c r="B54" s="32" t="s">
        <v>85</v>
      </c>
      <c r="C54" s="32" t="s">
        <v>126</v>
      </c>
      <c r="D54" s="32">
        <v>2</v>
      </c>
      <c r="E54" s="32"/>
      <c r="F54" s="46" t="s">
        <v>29</v>
      </c>
      <c r="G54" s="32"/>
      <c r="H54" s="32"/>
      <c r="I54" s="32">
        <v>3</v>
      </c>
      <c r="J54" s="34"/>
      <c r="K54" s="32"/>
      <c r="L54" s="32"/>
      <c r="M54" s="32">
        <v>3</v>
      </c>
      <c r="N54" s="32"/>
      <c r="O54" s="32"/>
      <c r="P54" s="32"/>
      <c r="Q54" s="37">
        <f t="shared" si="0"/>
        <v>3</v>
      </c>
      <c r="R54" s="32"/>
      <c r="S54" s="32"/>
      <c r="T54" s="32"/>
      <c r="U54" s="32"/>
      <c r="V54" s="32"/>
      <c r="W54" s="38"/>
    </row>
    <row r="55" spans="1:23" x14ac:dyDescent="0.35">
      <c r="A55" s="39" t="s">
        <v>84</v>
      </c>
      <c r="B55" s="39" t="s">
        <v>85</v>
      </c>
      <c r="C55" s="39" t="s">
        <v>126</v>
      </c>
      <c r="D55" s="39">
        <v>3</v>
      </c>
      <c r="E55" s="39"/>
      <c r="F55" s="47" t="s">
        <v>17</v>
      </c>
      <c r="G55" s="39"/>
      <c r="H55" s="39"/>
      <c r="I55" s="39">
        <v>3</v>
      </c>
      <c r="J55" s="40"/>
      <c r="K55" s="39"/>
      <c r="L55" s="39"/>
      <c r="M55" s="39">
        <v>3</v>
      </c>
      <c r="N55" s="39"/>
      <c r="O55" s="39"/>
      <c r="P55" s="39"/>
      <c r="Q55" s="41">
        <f t="shared" si="0"/>
        <v>3</v>
      </c>
      <c r="R55" s="39"/>
      <c r="S55" s="39"/>
      <c r="T55" s="39"/>
      <c r="U55" s="39"/>
      <c r="V55" s="39"/>
      <c r="W55" s="42"/>
    </row>
    <row r="56" spans="1:23" x14ac:dyDescent="0.35">
      <c r="A56" s="32" t="s">
        <v>84</v>
      </c>
      <c r="B56" s="32" t="s">
        <v>85</v>
      </c>
      <c r="C56" s="32" t="s">
        <v>126</v>
      </c>
      <c r="D56" s="32">
        <v>4</v>
      </c>
      <c r="E56" s="32"/>
      <c r="F56" s="46" t="s">
        <v>20</v>
      </c>
      <c r="G56" s="32"/>
      <c r="H56" s="32"/>
      <c r="I56" s="32">
        <v>3</v>
      </c>
      <c r="J56" s="34"/>
      <c r="K56" s="32"/>
      <c r="L56" s="32"/>
      <c r="M56" s="32">
        <v>19</v>
      </c>
      <c r="N56" s="32"/>
      <c r="O56" s="32"/>
      <c r="P56" s="32"/>
      <c r="Q56" s="37">
        <f t="shared" si="0"/>
        <v>19</v>
      </c>
      <c r="R56" s="32"/>
      <c r="S56" s="32"/>
      <c r="T56" s="32"/>
      <c r="U56" s="32"/>
      <c r="V56" s="32"/>
      <c r="W56" s="38"/>
    </row>
    <row r="57" spans="1:23" x14ac:dyDescent="0.35">
      <c r="A57" s="39" t="s">
        <v>84</v>
      </c>
      <c r="B57" s="39" t="s">
        <v>85</v>
      </c>
      <c r="C57" s="39" t="s">
        <v>126</v>
      </c>
      <c r="D57" s="39">
        <v>5</v>
      </c>
      <c r="E57" s="39"/>
      <c r="F57" s="47" t="s">
        <v>42</v>
      </c>
      <c r="G57" s="39"/>
      <c r="H57" s="39"/>
      <c r="I57" s="39">
        <v>3</v>
      </c>
      <c r="J57" s="40"/>
      <c r="K57" s="39"/>
      <c r="L57" s="39"/>
      <c r="M57" s="39">
        <v>37</v>
      </c>
      <c r="N57" s="39"/>
      <c r="O57" s="39"/>
      <c r="P57" s="39"/>
      <c r="Q57" s="41">
        <f t="shared" si="0"/>
        <v>37</v>
      </c>
      <c r="R57" s="39"/>
      <c r="S57" s="39"/>
      <c r="T57" s="39"/>
      <c r="U57" s="39"/>
      <c r="V57" s="39"/>
      <c r="W57" s="42"/>
    </row>
    <row r="58" spans="1:23" x14ac:dyDescent="0.35">
      <c r="A58" s="32" t="s">
        <v>84</v>
      </c>
      <c r="B58" s="32" t="s">
        <v>85</v>
      </c>
      <c r="C58" s="32" t="s">
        <v>126</v>
      </c>
      <c r="D58" s="32">
        <v>6</v>
      </c>
      <c r="E58" s="32"/>
      <c r="F58" s="32" t="s">
        <v>128</v>
      </c>
      <c r="G58" s="32"/>
      <c r="H58" s="32"/>
      <c r="I58" s="32">
        <v>3</v>
      </c>
      <c r="J58" s="34"/>
      <c r="K58" s="32"/>
      <c r="L58" s="32"/>
      <c r="M58" s="32">
        <v>4</v>
      </c>
      <c r="N58" s="32"/>
      <c r="O58" s="32"/>
      <c r="P58" s="32"/>
      <c r="Q58" s="37">
        <f t="shared" si="0"/>
        <v>4</v>
      </c>
      <c r="R58" s="32"/>
      <c r="S58" s="32"/>
      <c r="T58" s="32"/>
      <c r="U58" s="32"/>
      <c r="V58" s="32"/>
      <c r="W58" s="38"/>
    </row>
    <row r="59" spans="1:23" x14ac:dyDescent="0.35">
      <c r="A59" s="39" t="s">
        <v>84</v>
      </c>
      <c r="B59" s="39" t="s">
        <v>85</v>
      </c>
      <c r="C59" s="39" t="s">
        <v>129</v>
      </c>
      <c r="D59" s="39">
        <v>1</v>
      </c>
      <c r="E59" s="39"/>
      <c r="F59" s="39" t="s">
        <v>130</v>
      </c>
      <c r="G59" s="39"/>
      <c r="H59" s="39"/>
      <c r="I59" s="39">
        <v>3</v>
      </c>
      <c r="J59" s="40"/>
      <c r="K59" s="39"/>
      <c r="L59" s="39"/>
      <c r="M59" s="39">
        <v>1</v>
      </c>
      <c r="N59" s="39"/>
      <c r="O59" s="39"/>
      <c r="P59" s="39"/>
      <c r="Q59" s="41">
        <f t="shared" si="0"/>
        <v>1</v>
      </c>
      <c r="R59" s="39"/>
      <c r="S59" s="39"/>
      <c r="T59" s="39"/>
      <c r="U59" s="39"/>
      <c r="V59" s="39"/>
      <c r="W59" s="42"/>
    </row>
    <row r="60" spans="1:23" x14ac:dyDescent="0.35">
      <c r="A60" s="32" t="s">
        <v>84</v>
      </c>
      <c r="B60" s="32" t="s">
        <v>85</v>
      </c>
      <c r="C60" s="32" t="s">
        <v>129</v>
      </c>
      <c r="D60" s="32">
        <v>2</v>
      </c>
      <c r="E60" s="32"/>
      <c r="F60" s="32"/>
      <c r="G60" s="32"/>
      <c r="H60" s="32"/>
      <c r="I60" s="32">
        <v>3</v>
      </c>
      <c r="J60" s="34"/>
      <c r="K60" s="32"/>
      <c r="L60" s="32"/>
      <c r="M60" s="32"/>
      <c r="N60" s="32"/>
      <c r="O60" s="32"/>
      <c r="P60" s="32"/>
      <c r="Q60" s="37">
        <f t="shared" si="0"/>
        <v>0</v>
      </c>
      <c r="R60" s="32"/>
      <c r="S60" s="32"/>
      <c r="T60" s="32"/>
      <c r="U60" s="32"/>
      <c r="V60" s="32"/>
      <c r="W60" s="38"/>
    </row>
    <row r="61" spans="1:23" x14ac:dyDescent="0.35">
      <c r="A61" s="39" t="s">
        <v>84</v>
      </c>
      <c r="B61" s="39" t="s">
        <v>85</v>
      </c>
      <c r="C61" s="39" t="s">
        <v>129</v>
      </c>
      <c r="D61" s="39">
        <v>3</v>
      </c>
      <c r="E61" s="39"/>
      <c r="F61" s="39" t="s">
        <v>131</v>
      </c>
      <c r="G61" s="39"/>
      <c r="H61" s="39"/>
      <c r="I61" s="39">
        <v>3</v>
      </c>
      <c r="J61" s="40"/>
      <c r="K61" s="39"/>
      <c r="L61" s="39"/>
      <c r="M61" s="39" t="s">
        <v>132</v>
      </c>
      <c r="N61" s="39"/>
      <c r="O61" s="39"/>
      <c r="P61" s="39"/>
      <c r="Q61" s="41" t="str">
        <f t="shared" si="0"/>
        <v>-</v>
      </c>
      <c r="R61" s="39"/>
      <c r="S61" s="39"/>
      <c r="T61" s="39"/>
      <c r="U61" s="39"/>
      <c r="V61" s="39"/>
      <c r="W61" s="42"/>
    </row>
    <row r="62" spans="1:23" x14ac:dyDescent="0.35">
      <c r="A62" s="32" t="s">
        <v>84</v>
      </c>
      <c r="B62" s="32" t="s">
        <v>85</v>
      </c>
      <c r="C62" s="32" t="s">
        <v>129</v>
      </c>
      <c r="D62" s="32">
        <v>4</v>
      </c>
      <c r="E62" s="32"/>
      <c r="F62" s="32" t="s">
        <v>133</v>
      </c>
      <c r="G62" s="32"/>
      <c r="H62" s="32"/>
      <c r="I62" s="32">
        <v>3</v>
      </c>
      <c r="J62" s="34"/>
      <c r="K62" s="32"/>
      <c r="L62" s="32"/>
      <c r="M62" s="32">
        <v>3</v>
      </c>
      <c r="N62" s="32"/>
      <c r="O62" s="32"/>
      <c r="P62" s="32"/>
      <c r="Q62" s="37">
        <f t="shared" si="0"/>
        <v>3</v>
      </c>
      <c r="R62" s="32"/>
      <c r="S62" s="32"/>
      <c r="T62" s="32"/>
      <c r="U62" s="32"/>
      <c r="V62" s="32"/>
      <c r="W62" s="38"/>
    </row>
    <row r="63" spans="1:23" x14ac:dyDescent="0.35">
      <c r="A63" s="39" t="s">
        <v>84</v>
      </c>
      <c r="B63" s="39" t="s">
        <v>85</v>
      </c>
      <c r="C63" s="39" t="s">
        <v>129</v>
      </c>
      <c r="D63" s="39">
        <v>5</v>
      </c>
      <c r="E63" s="39"/>
      <c r="F63" s="39" t="s">
        <v>134</v>
      </c>
      <c r="G63" s="39"/>
      <c r="H63" s="39"/>
      <c r="I63" s="39">
        <v>3</v>
      </c>
      <c r="J63" s="40"/>
      <c r="K63" s="39"/>
      <c r="L63" s="39"/>
      <c r="M63" s="39">
        <v>1</v>
      </c>
      <c r="N63" s="39"/>
      <c r="O63" s="39"/>
      <c r="P63" s="39"/>
      <c r="Q63" s="41">
        <f t="shared" si="0"/>
        <v>1</v>
      </c>
      <c r="R63" s="39"/>
      <c r="S63" s="39"/>
      <c r="T63" s="39"/>
      <c r="U63" s="39"/>
      <c r="V63" s="39"/>
      <c r="W63" s="42"/>
    </row>
    <row r="64" spans="1:23" x14ac:dyDescent="0.35">
      <c r="A64" s="32" t="s">
        <v>84</v>
      </c>
      <c r="B64" s="32" t="s">
        <v>85</v>
      </c>
      <c r="C64" s="32" t="s">
        <v>129</v>
      </c>
      <c r="D64" s="32">
        <v>6</v>
      </c>
      <c r="E64" s="32"/>
      <c r="F64" s="32" t="s">
        <v>135</v>
      </c>
      <c r="G64" s="32"/>
      <c r="H64" s="32"/>
      <c r="I64" s="32">
        <v>3</v>
      </c>
      <c r="J64" s="34"/>
      <c r="K64" s="32"/>
      <c r="L64" s="32"/>
      <c r="M64" s="32">
        <v>6</v>
      </c>
      <c r="N64" s="32"/>
      <c r="O64" s="32"/>
      <c r="P64" s="32"/>
      <c r="Q64" s="37">
        <f t="shared" si="0"/>
        <v>6</v>
      </c>
      <c r="R64" s="32"/>
      <c r="S64" s="32"/>
      <c r="T64" s="32"/>
      <c r="U64" s="32"/>
      <c r="V64" s="32"/>
      <c r="W64" s="38"/>
    </row>
    <row r="65" spans="1:23" x14ac:dyDescent="0.35">
      <c r="A65" s="39" t="s">
        <v>84</v>
      </c>
      <c r="B65" s="39" t="s">
        <v>85</v>
      </c>
      <c r="C65" s="39" t="s">
        <v>129</v>
      </c>
      <c r="D65" s="39">
        <v>7</v>
      </c>
      <c r="E65" s="39"/>
      <c r="F65" s="39" t="s">
        <v>136</v>
      </c>
      <c r="G65" s="39"/>
      <c r="H65" s="39"/>
      <c r="I65" s="39">
        <v>3</v>
      </c>
      <c r="J65" s="40"/>
      <c r="K65" s="39"/>
      <c r="L65" s="39"/>
      <c r="M65" s="39">
        <v>1</v>
      </c>
      <c r="N65" s="39"/>
      <c r="O65" s="39"/>
      <c r="P65" s="39"/>
      <c r="Q65" s="41">
        <f t="shared" si="0"/>
        <v>1</v>
      </c>
      <c r="R65" s="39"/>
      <c r="S65" s="39"/>
      <c r="T65" s="39"/>
      <c r="U65" s="39"/>
      <c r="V65" s="39"/>
      <c r="W65" s="42"/>
    </row>
    <row r="66" spans="1:23" x14ac:dyDescent="0.35">
      <c r="A66" s="32" t="s">
        <v>84</v>
      </c>
      <c r="B66" s="32" t="s">
        <v>85</v>
      </c>
      <c r="C66" s="32" t="s">
        <v>129</v>
      </c>
      <c r="D66" s="32">
        <v>8</v>
      </c>
      <c r="E66" s="32"/>
      <c r="F66" s="32" t="s">
        <v>137</v>
      </c>
      <c r="G66" s="32"/>
      <c r="H66" s="32"/>
      <c r="I66" s="32">
        <v>3</v>
      </c>
      <c r="J66" s="34"/>
      <c r="K66" s="32"/>
      <c r="L66" s="32"/>
      <c r="M66" s="32">
        <v>2</v>
      </c>
      <c r="N66" s="32"/>
      <c r="O66" s="32"/>
      <c r="P66" s="32"/>
      <c r="Q66" s="37">
        <f t="shared" ref="Q66:Q129" si="1">M66</f>
        <v>2</v>
      </c>
      <c r="R66" s="32"/>
      <c r="S66" s="32"/>
      <c r="T66" s="32"/>
      <c r="U66" s="32"/>
      <c r="V66" s="32"/>
      <c r="W66" s="38"/>
    </row>
    <row r="67" spans="1:23" x14ac:dyDescent="0.35">
      <c r="A67" s="39" t="s">
        <v>84</v>
      </c>
      <c r="B67" s="39" t="s">
        <v>85</v>
      </c>
      <c r="C67" s="39" t="s">
        <v>129</v>
      </c>
      <c r="D67" s="39">
        <v>9</v>
      </c>
      <c r="E67" s="39"/>
      <c r="F67" s="39" t="s">
        <v>138</v>
      </c>
      <c r="G67" s="39"/>
      <c r="H67" s="39"/>
      <c r="I67" s="39">
        <v>3</v>
      </c>
      <c r="J67" s="40"/>
      <c r="K67" s="39"/>
      <c r="L67" s="39"/>
      <c r="M67" s="39">
        <v>2</v>
      </c>
      <c r="N67" s="39"/>
      <c r="O67" s="39"/>
      <c r="P67" s="39"/>
      <c r="Q67" s="41">
        <f t="shared" si="1"/>
        <v>2</v>
      </c>
      <c r="R67" s="39"/>
      <c r="S67" s="39"/>
      <c r="T67" s="39"/>
      <c r="U67" s="39"/>
      <c r="V67" s="39"/>
      <c r="W67" s="42"/>
    </row>
    <row r="68" spans="1:23" x14ac:dyDescent="0.35">
      <c r="A68" s="32" t="s">
        <v>84</v>
      </c>
      <c r="B68" s="32" t="s">
        <v>85</v>
      </c>
      <c r="C68" s="32" t="s">
        <v>129</v>
      </c>
      <c r="D68" s="32">
        <v>10</v>
      </c>
      <c r="E68" s="32"/>
      <c r="F68" s="32" t="s">
        <v>139</v>
      </c>
      <c r="G68" s="32"/>
      <c r="H68" s="32"/>
      <c r="I68" s="32">
        <v>3</v>
      </c>
      <c r="J68" s="34"/>
      <c r="K68" s="32"/>
      <c r="L68" s="32"/>
      <c r="M68" s="32">
        <v>3</v>
      </c>
      <c r="N68" s="32"/>
      <c r="O68" s="32"/>
      <c r="P68" s="32"/>
      <c r="Q68" s="37">
        <f t="shared" si="1"/>
        <v>3</v>
      </c>
      <c r="R68" s="32"/>
      <c r="S68" s="32"/>
      <c r="T68" s="32"/>
      <c r="U68" s="32"/>
      <c r="V68" s="32"/>
      <c r="W68" s="38"/>
    </row>
    <row r="69" spans="1:23" x14ac:dyDescent="0.35">
      <c r="A69" s="39" t="s">
        <v>84</v>
      </c>
      <c r="B69" s="39" t="s">
        <v>85</v>
      </c>
      <c r="C69" s="39" t="s">
        <v>129</v>
      </c>
      <c r="D69" s="39">
        <v>11</v>
      </c>
      <c r="E69" s="39"/>
      <c r="F69" s="39" t="s">
        <v>140</v>
      </c>
      <c r="G69" s="39"/>
      <c r="H69" s="39"/>
      <c r="I69" s="39">
        <v>3</v>
      </c>
      <c r="J69" s="40"/>
      <c r="K69" s="39"/>
      <c r="L69" s="39"/>
      <c r="M69" s="39">
        <v>3</v>
      </c>
      <c r="N69" s="39"/>
      <c r="O69" s="39"/>
      <c r="P69" s="39"/>
      <c r="Q69" s="41">
        <f t="shared" si="1"/>
        <v>3</v>
      </c>
      <c r="R69" s="39"/>
      <c r="S69" s="39"/>
      <c r="T69" s="39"/>
      <c r="U69" s="39"/>
      <c r="V69" s="39"/>
      <c r="W69" s="42"/>
    </row>
    <row r="70" spans="1:23" x14ac:dyDescent="0.35">
      <c r="A70" s="32" t="s">
        <v>84</v>
      </c>
      <c r="B70" s="32" t="s">
        <v>85</v>
      </c>
      <c r="C70" s="32" t="s">
        <v>129</v>
      </c>
      <c r="D70" s="32">
        <v>12</v>
      </c>
      <c r="E70" s="32"/>
      <c r="F70" s="32" t="s">
        <v>141</v>
      </c>
      <c r="G70" s="32"/>
      <c r="H70" s="32"/>
      <c r="I70" s="32">
        <v>3</v>
      </c>
      <c r="J70" s="34"/>
      <c r="K70" s="32"/>
      <c r="L70" s="32"/>
      <c r="M70" s="32">
        <v>4</v>
      </c>
      <c r="N70" s="32"/>
      <c r="O70" s="32"/>
      <c r="P70" s="32"/>
      <c r="Q70" s="37">
        <f t="shared" si="1"/>
        <v>4</v>
      </c>
      <c r="R70" s="32"/>
      <c r="S70" s="32"/>
      <c r="T70" s="32"/>
      <c r="U70" s="32"/>
      <c r="V70" s="32"/>
      <c r="W70" s="38"/>
    </row>
    <row r="71" spans="1:23" x14ac:dyDescent="0.35">
      <c r="A71" s="39" t="s">
        <v>84</v>
      </c>
      <c r="B71" s="39" t="s">
        <v>85</v>
      </c>
      <c r="C71" s="39" t="s">
        <v>129</v>
      </c>
      <c r="D71" s="39">
        <v>13</v>
      </c>
      <c r="E71" s="39"/>
      <c r="F71" s="39" t="s">
        <v>142</v>
      </c>
      <c r="G71" s="39"/>
      <c r="H71" s="39"/>
      <c r="I71" s="39">
        <v>3</v>
      </c>
      <c r="J71" s="40"/>
      <c r="K71" s="39"/>
      <c r="L71" s="39"/>
      <c r="M71" s="39">
        <v>0</v>
      </c>
      <c r="N71" s="39"/>
      <c r="O71" s="39"/>
      <c r="P71" s="39"/>
      <c r="Q71" s="41">
        <f t="shared" si="1"/>
        <v>0</v>
      </c>
      <c r="R71" s="39"/>
      <c r="S71" s="39"/>
      <c r="T71" s="39"/>
      <c r="U71" s="39"/>
      <c r="V71" s="39"/>
      <c r="W71" s="42"/>
    </row>
    <row r="72" spans="1:23" x14ac:dyDescent="0.35">
      <c r="A72" s="32" t="s">
        <v>84</v>
      </c>
      <c r="B72" s="32" t="s">
        <v>85</v>
      </c>
      <c r="C72" s="32" t="s">
        <v>129</v>
      </c>
      <c r="D72" s="32">
        <v>14</v>
      </c>
      <c r="E72" s="32"/>
      <c r="F72" s="32" t="s">
        <v>143</v>
      </c>
      <c r="G72" s="32"/>
      <c r="H72" s="32"/>
      <c r="I72" s="32">
        <v>3</v>
      </c>
      <c r="J72" s="34"/>
      <c r="K72" s="32"/>
      <c r="L72" s="32"/>
      <c r="M72" s="32">
        <v>2</v>
      </c>
      <c r="N72" s="32"/>
      <c r="O72" s="32"/>
      <c r="P72" s="32"/>
      <c r="Q72" s="37">
        <f t="shared" si="1"/>
        <v>2</v>
      </c>
      <c r="R72" s="32"/>
      <c r="S72" s="32"/>
      <c r="T72" s="32"/>
      <c r="U72" s="32"/>
      <c r="V72" s="32"/>
      <c r="W72" s="38"/>
    </row>
    <row r="73" spans="1:23" x14ac:dyDescent="0.35">
      <c r="A73" s="39" t="s">
        <v>84</v>
      </c>
      <c r="B73" s="39" t="s">
        <v>85</v>
      </c>
      <c r="C73" s="39" t="s">
        <v>129</v>
      </c>
      <c r="D73" s="39">
        <v>15</v>
      </c>
      <c r="E73" s="39"/>
      <c r="F73" s="39" t="s">
        <v>144</v>
      </c>
      <c r="G73" s="39"/>
      <c r="H73" s="39"/>
      <c r="I73" s="39">
        <v>3</v>
      </c>
      <c r="J73" s="40"/>
      <c r="K73" s="39"/>
      <c r="L73" s="39"/>
      <c r="M73" s="39"/>
      <c r="N73" s="39"/>
      <c r="O73" s="39"/>
      <c r="P73" s="39"/>
      <c r="Q73" s="41">
        <f t="shared" si="1"/>
        <v>0</v>
      </c>
      <c r="R73" s="39"/>
      <c r="S73" s="39"/>
      <c r="T73" s="39"/>
      <c r="U73" s="39"/>
      <c r="V73" s="39"/>
      <c r="W73" s="42"/>
    </row>
    <row r="74" spans="1:23" x14ac:dyDescent="0.35">
      <c r="A74" s="32" t="s">
        <v>84</v>
      </c>
      <c r="B74" s="32" t="s">
        <v>85</v>
      </c>
      <c r="C74" s="32" t="s">
        <v>129</v>
      </c>
      <c r="D74" s="32">
        <v>16</v>
      </c>
      <c r="E74" s="32"/>
      <c r="F74" s="32" t="s">
        <v>145</v>
      </c>
      <c r="G74" s="32"/>
      <c r="H74" s="32"/>
      <c r="I74" s="32">
        <v>3</v>
      </c>
      <c r="J74" s="34"/>
      <c r="K74" s="32"/>
      <c r="L74" s="32"/>
      <c r="M74" s="32">
        <v>8</v>
      </c>
      <c r="N74" s="32"/>
      <c r="O74" s="32"/>
      <c r="P74" s="32"/>
      <c r="Q74" s="37">
        <f t="shared" si="1"/>
        <v>8</v>
      </c>
      <c r="R74" s="32"/>
      <c r="S74" s="32"/>
      <c r="T74" s="32"/>
      <c r="U74" s="32"/>
      <c r="V74" s="32"/>
      <c r="W74" s="38"/>
    </row>
    <row r="75" spans="1:23" x14ac:dyDescent="0.35">
      <c r="A75" s="39" t="s">
        <v>84</v>
      </c>
      <c r="B75" s="39" t="s">
        <v>85</v>
      </c>
      <c r="C75" s="39" t="s">
        <v>129</v>
      </c>
      <c r="D75" s="39">
        <v>17</v>
      </c>
      <c r="E75" s="39"/>
      <c r="F75" s="39" t="s">
        <v>146</v>
      </c>
      <c r="G75" s="39"/>
      <c r="H75" s="39"/>
      <c r="I75" s="39">
        <v>3</v>
      </c>
      <c r="J75" s="40"/>
      <c r="K75" s="39"/>
      <c r="L75" s="39"/>
      <c r="M75" s="39">
        <v>2</v>
      </c>
      <c r="N75" s="39"/>
      <c r="O75" s="39"/>
      <c r="P75" s="39"/>
      <c r="Q75" s="41">
        <f t="shared" si="1"/>
        <v>2</v>
      </c>
      <c r="R75" s="39"/>
      <c r="S75" s="39"/>
      <c r="T75" s="39"/>
      <c r="U75" s="39"/>
      <c r="V75" s="39"/>
      <c r="W75" s="42"/>
    </row>
    <row r="76" spans="1:23" x14ac:dyDescent="0.35">
      <c r="A76" s="32" t="s">
        <v>84</v>
      </c>
      <c r="B76" s="32" t="s">
        <v>85</v>
      </c>
      <c r="C76" s="32" t="s">
        <v>129</v>
      </c>
      <c r="D76" s="32">
        <v>18</v>
      </c>
      <c r="E76" s="32"/>
      <c r="F76" s="32" t="s">
        <v>147</v>
      </c>
      <c r="G76" s="32"/>
      <c r="H76" s="32"/>
      <c r="I76" s="32">
        <v>3</v>
      </c>
      <c r="J76" s="34"/>
      <c r="K76" s="32"/>
      <c r="L76" s="32"/>
      <c r="M76" s="32">
        <v>7</v>
      </c>
      <c r="N76" s="32"/>
      <c r="O76" s="32"/>
      <c r="P76" s="32"/>
      <c r="Q76" s="37">
        <f t="shared" si="1"/>
        <v>7</v>
      </c>
      <c r="R76" s="32"/>
      <c r="S76" s="32"/>
      <c r="T76" s="32"/>
      <c r="U76" s="32"/>
      <c r="V76" s="32"/>
      <c r="W76" s="38"/>
    </row>
    <row r="77" spans="1:23" x14ac:dyDescent="0.35">
      <c r="A77" s="39" t="s">
        <v>84</v>
      </c>
      <c r="B77" s="39" t="s">
        <v>85</v>
      </c>
      <c r="C77" s="39" t="s">
        <v>129</v>
      </c>
      <c r="D77" s="39">
        <v>19</v>
      </c>
      <c r="E77" s="39"/>
      <c r="F77" s="39" t="s">
        <v>148</v>
      </c>
      <c r="G77" s="39"/>
      <c r="H77" s="39"/>
      <c r="I77" s="39">
        <v>3</v>
      </c>
      <c r="J77" s="40"/>
      <c r="K77" s="39"/>
      <c r="L77" s="39"/>
      <c r="M77" s="39">
        <v>9</v>
      </c>
      <c r="N77" s="39"/>
      <c r="O77" s="39"/>
      <c r="P77" s="39"/>
      <c r="Q77" s="41">
        <f t="shared" si="1"/>
        <v>9</v>
      </c>
      <c r="R77" s="39"/>
      <c r="S77" s="39"/>
      <c r="T77" s="39"/>
      <c r="U77" s="39"/>
      <c r="V77" s="39"/>
      <c r="W77" s="42"/>
    </row>
    <row r="78" spans="1:23" x14ac:dyDescent="0.35">
      <c r="A78" s="32" t="s">
        <v>84</v>
      </c>
      <c r="B78" s="32" t="s">
        <v>85</v>
      </c>
      <c r="C78" s="32" t="s">
        <v>129</v>
      </c>
      <c r="D78" s="32">
        <v>20</v>
      </c>
      <c r="E78" s="32"/>
      <c r="F78" s="32" t="s">
        <v>149</v>
      </c>
      <c r="G78" s="32"/>
      <c r="H78" s="32"/>
      <c r="I78" s="32">
        <v>3</v>
      </c>
      <c r="J78" s="34"/>
      <c r="K78" s="32"/>
      <c r="L78" s="32"/>
      <c r="M78" s="32">
        <v>2</v>
      </c>
      <c r="N78" s="32"/>
      <c r="O78" s="32"/>
      <c r="P78" s="32"/>
      <c r="Q78" s="37">
        <f t="shared" si="1"/>
        <v>2</v>
      </c>
      <c r="R78" s="32"/>
      <c r="S78" s="32"/>
      <c r="T78" s="32"/>
      <c r="U78" s="32"/>
      <c r="V78" s="32"/>
      <c r="W78" s="38"/>
    </row>
    <row r="79" spans="1:23" x14ac:dyDescent="0.35">
      <c r="A79" s="39" t="s">
        <v>84</v>
      </c>
      <c r="B79" s="39" t="s">
        <v>85</v>
      </c>
      <c r="C79" s="39" t="s">
        <v>129</v>
      </c>
      <c r="D79" s="39">
        <v>21</v>
      </c>
      <c r="E79" s="39"/>
      <c r="F79" s="39" t="s">
        <v>150</v>
      </c>
      <c r="G79" s="39"/>
      <c r="H79" s="39"/>
      <c r="I79" s="39">
        <v>3</v>
      </c>
      <c r="J79" s="40"/>
      <c r="K79" s="39"/>
      <c r="L79" s="39"/>
      <c r="M79" s="39">
        <v>1</v>
      </c>
      <c r="N79" s="39"/>
      <c r="O79" s="39"/>
      <c r="P79" s="39"/>
      <c r="Q79" s="41">
        <f t="shared" si="1"/>
        <v>1</v>
      </c>
      <c r="R79" s="39"/>
      <c r="S79" s="39"/>
      <c r="T79" s="39"/>
      <c r="U79" s="39"/>
      <c r="V79" s="39"/>
      <c r="W79" s="42"/>
    </row>
    <row r="80" spans="1:23" x14ac:dyDescent="0.35">
      <c r="A80" s="32" t="s">
        <v>84</v>
      </c>
      <c r="B80" s="32" t="s">
        <v>85</v>
      </c>
      <c r="C80" s="32" t="s">
        <v>129</v>
      </c>
      <c r="D80" s="32">
        <v>22</v>
      </c>
      <c r="E80" s="32"/>
      <c r="F80" s="32" t="s">
        <v>104</v>
      </c>
      <c r="G80" s="32"/>
      <c r="H80" s="32"/>
      <c r="I80" s="32">
        <v>3</v>
      </c>
      <c r="J80" s="34"/>
      <c r="K80" s="32"/>
      <c r="L80" s="32"/>
      <c r="M80" s="32">
        <v>1</v>
      </c>
      <c r="N80" s="32"/>
      <c r="O80" s="32"/>
      <c r="P80" s="32"/>
      <c r="Q80" s="37">
        <f t="shared" si="1"/>
        <v>1</v>
      </c>
      <c r="R80" s="32"/>
      <c r="S80" s="32"/>
      <c r="T80" s="32"/>
      <c r="U80" s="32"/>
      <c r="V80" s="32"/>
      <c r="W80" s="38"/>
    </row>
    <row r="81" spans="1:23" x14ac:dyDescent="0.35">
      <c r="A81" s="39" t="s">
        <v>84</v>
      </c>
      <c r="B81" s="39" t="s">
        <v>85</v>
      </c>
      <c r="C81" s="39" t="s">
        <v>129</v>
      </c>
      <c r="D81" s="39">
        <v>23</v>
      </c>
      <c r="E81" s="39"/>
      <c r="F81" s="39" t="s">
        <v>151</v>
      </c>
      <c r="G81" s="39"/>
      <c r="H81" s="39"/>
      <c r="I81" s="39">
        <v>3</v>
      </c>
      <c r="J81" s="40"/>
      <c r="K81" s="39"/>
      <c r="L81" s="39"/>
      <c r="M81" s="39">
        <v>2</v>
      </c>
      <c r="N81" s="39"/>
      <c r="O81" s="39"/>
      <c r="P81" s="39"/>
      <c r="Q81" s="41">
        <f t="shared" si="1"/>
        <v>2</v>
      </c>
      <c r="R81" s="39"/>
      <c r="S81" s="39"/>
      <c r="T81" s="39"/>
      <c r="U81" s="39"/>
      <c r="V81" s="39"/>
      <c r="W81" s="42"/>
    </row>
    <row r="82" spans="1:23" x14ac:dyDescent="0.35">
      <c r="A82" s="32" t="s">
        <v>84</v>
      </c>
      <c r="B82" s="32" t="s">
        <v>85</v>
      </c>
      <c r="C82" s="32" t="s">
        <v>129</v>
      </c>
      <c r="D82" s="32">
        <v>24</v>
      </c>
      <c r="E82" s="32"/>
      <c r="F82" s="32" t="s">
        <v>152</v>
      </c>
      <c r="G82" s="32"/>
      <c r="H82" s="32"/>
      <c r="I82" s="32">
        <v>3</v>
      </c>
      <c r="J82" s="34"/>
      <c r="K82" s="32"/>
      <c r="L82" s="32"/>
      <c r="M82" s="32">
        <v>1</v>
      </c>
      <c r="N82" s="32"/>
      <c r="O82" s="32"/>
      <c r="P82" s="32"/>
      <c r="Q82" s="37">
        <f t="shared" si="1"/>
        <v>1</v>
      </c>
      <c r="R82" s="32"/>
      <c r="S82" s="32"/>
      <c r="T82" s="32"/>
      <c r="U82" s="32"/>
      <c r="V82" s="32"/>
      <c r="W82" s="38"/>
    </row>
    <row r="83" spans="1:23" x14ac:dyDescent="0.35">
      <c r="A83" s="39" t="s">
        <v>84</v>
      </c>
      <c r="B83" s="39" t="s">
        <v>85</v>
      </c>
      <c r="C83" s="39" t="s">
        <v>129</v>
      </c>
      <c r="D83" s="39">
        <v>25</v>
      </c>
      <c r="E83" s="39"/>
      <c r="F83" s="39" t="s">
        <v>153</v>
      </c>
      <c r="G83" s="39"/>
      <c r="H83" s="39"/>
      <c r="I83" s="39">
        <v>3</v>
      </c>
      <c r="J83" s="40"/>
      <c r="K83" s="39"/>
      <c r="L83" s="39"/>
      <c r="M83" s="39">
        <v>2</v>
      </c>
      <c r="N83" s="39"/>
      <c r="O83" s="39"/>
      <c r="P83" s="39"/>
      <c r="Q83" s="41">
        <f t="shared" si="1"/>
        <v>2</v>
      </c>
      <c r="R83" s="39"/>
      <c r="S83" s="39"/>
      <c r="T83" s="39"/>
      <c r="U83" s="39"/>
      <c r="V83" s="39"/>
      <c r="W83" s="42"/>
    </row>
    <row r="84" spans="1:23" x14ac:dyDescent="0.35">
      <c r="A84" s="32" t="s">
        <v>84</v>
      </c>
      <c r="B84" s="32" t="s">
        <v>85</v>
      </c>
      <c r="C84" s="32" t="s">
        <v>129</v>
      </c>
      <c r="D84" s="32">
        <v>26</v>
      </c>
      <c r="E84" s="32"/>
      <c r="F84" s="32" t="s">
        <v>127</v>
      </c>
      <c r="G84" s="32"/>
      <c r="H84" s="32"/>
      <c r="I84" s="32">
        <v>3</v>
      </c>
      <c r="J84" s="34"/>
      <c r="K84" s="32"/>
      <c r="L84" s="32"/>
      <c r="M84" s="32">
        <v>28</v>
      </c>
      <c r="N84" s="32"/>
      <c r="O84" s="32"/>
      <c r="P84" s="32"/>
      <c r="Q84" s="37">
        <f t="shared" si="1"/>
        <v>28</v>
      </c>
      <c r="R84" s="32"/>
      <c r="S84" s="32"/>
      <c r="T84" s="32"/>
      <c r="U84" s="32"/>
      <c r="V84" s="32"/>
      <c r="W84" s="38"/>
    </row>
    <row r="85" spans="1:23" x14ac:dyDescent="0.35">
      <c r="A85" s="39" t="s">
        <v>84</v>
      </c>
      <c r="B85" s="39" t="s">
        <v>85</v>
      </c>
      <c r="C85" s="39" t="s">
        <v>129</v>
      </c>
      <c r="D85" s="39">
        <v>27</v>
      </c>
      <c r="E85" s="39"/>
      <c r="F85" s="39" t="s">
        <v>154</v>
      </c>
      <c r="G85" s="39"/>
      <c r="H85" s="39"/>
      <c r="I85" s="39">
        <v>3</v>
      </c>
      <c r="J85" s="40"/>
      <c r="K85" s="39"/>
      <c r="L85" s="39"/>
      <c r="M85" s="39">
        <v>22</v>
      </c>
      <c r="N85" s="39"/>
      <c r="O85" s="39"/>
      <c r="P85" s="39"/>
      <c r="Q85" s="41">
        <f t="shared" si="1"/>
        <v>22</v>
      </c>
      <c r="R85" s="39"/>
      <c r="S85" s="39"/>
      <c r="T85" s="39"/>
      <c r="U85" s="39"/>
      <c r="V85" s="39"/>
      <c r="W85" s="42"/>
    </row>
    <row r="86" spans="1:23" x14ac:dyDescent="0.35">
      <c r="A86" s="32" t="s">
        <v>84</v>
      </c>
      <c r="B86" s="32" t="s">
        <v>85</v>
      </c>
      <c r="C86" s="32" t="s">
        <v>129</v>
      </c>
      <c r="D86" s="32">
        <v>28</v>
      </c>
      <c r="E86" s="32"/>
      <c r="F86" s="32"/>
      <c r="G86" s="32"/>
      <c r="H86" s="32"/>
      <c r="I86" s="32">
        <v>3</v>
      </c>
      <c r="J86" s="34"/>
      <c r="K86" s="32"/>
      <c r="L86" s="32"/>
      <c r="M86" s="32">
        <v>4</v>
      </c>
      <c r="N86" s="32"/>
      <c r="O86" s="32"/>
      <c r="P86" s="32"/>
      <c r="Q86" s="37">
        <f t="shared" si="1"/>
        <v>4</v>
      </c>
      <c r="R86" s="32"/>
      <c r="S86" s="32"/>
      <c r="T86" s="32"/>
      <c r="U86" s="32"/>
      <c r="V86" s="32"/>
      <c r="W86" s="38"/>
    </row>
    <row r="87" spans="1:23" x14ac:dyDescent="0.35">
      <c r="A87" s="39" t="s">
        <v>84</v>
      </c>
      <c r="B87" s="39" t="s">
        <v>85</v>
      </c>
      <c r="C87" s="39" t="s">
        <v>155</v>
      </c>
      <c r="D87" s="39">
        <v>1</v>
      </c>
      <c r="E87" s="39"/>
      <c r="F87" s="39" t="s">
        <v>127</v>
      </c>
      <c r="G87" s="39"/>
      <c r="H87" s="39"/>
      <c r="I87" s="39">
        <v>3</v>
      </c>
      <c r="J87" s="40"/>
      <c r="K87" s="39"/>
      <c r="L87" s="39"/>
      <c r="M87" s="39">
        <v>3</v>
      </c>
      <c r="N87" s="39"/>
      <c r="O87" s="39"/>
      <c r="P87" s="39"/>
      <c r="Q87" s="41">
        <f t="shared" si="1"/>
        <v>3</v>
      </c>
      <c r="R87" s="39"/>
      <c r="S87" s="39"/>
      <c r="T87" s="39"/>
      <c r="U87" s="39"/>
      <c r="V87" s="39"/>
      <c r="W87" s="42"/>
    </row>
    <row r="88" spans="1:23" x14ac:dyDescent="0.35">
      <c r="A88" s="32" t="s">
        <v>84</v>
      </c>
      <c r="B88" s="32" t="s">
        <v>85</v>
      </c>
      <c r="C88" s="32" t="s">
        <v>155</v>
      </c>
      <c r="D88" s="32">
        <v>2</v>
      </c>
      <c r="E88" s="32"/>
      <c r="F88" s="32" t="s">
        <v>29</v>
      </c>
      <c r="G88" s="32"/>
      <c r="H88" s="32"/>
      <c r="I88" s="32">
        <v>3</v>
      </c>
      <c r="J88" s="34"/>
      <c r="K88" s="32"/>
      <c r="L88" s="32"/>
      <c r="M88" s="32">
        <v>3</v>
      </c>
      <c r="N88" s="32"/>
      <c r="O88" s="32"/>
      <c r="P88" s="32"/>
      <c r="Q88" s="37">
        <f t="shared" si="1"/>
        <v>3</v>
      </c>
      <c r="R88" s="32"/>
      <c r="S88" s="32"/>
      <c r="T88" s="32"/>
      <c r="U88" s="32"/>
      <c r="V88" s="32"/>
      <c r="W88" s="38"/>
    </row>
    <row r="89" spans="1:23" x14ac:dyDescent="0.35">
      <c r="A89" s="39" t="s">
        <v>84</v>
      </c>
      <c r="B89" s="39" t="s">
        <v>85</v>
      </c>
      <c r="C89" s="39" t="s">
        <v>155</v>
      </c>
      <c r="D89" s="39">
        <v>3</v>
      </c>
      <c r="E89" s="39"/>
      <c r="F89" s="39" t="s">
        <v>17</v>
      </c>
      <c r="G89" s="39"/>
      <c r="H89" s="39"/>
      <c r="I89" s="39">
        <v>3</v>
      </c>
      <c r="J89" s="40"/>
      <c r="K89" s="39"/>
      <c r="L89" s="39"/>
      <c r="M89" s="39">
        <v>3</v>
      </c>
      <c r="N89" s="39"/>
      <c r="O89" s="39"/>
      <c r="P89" s="39"/>
      <c r="Q89" s="41">
        <f t="shared" si="1"/>
        <v>3</v>
      </c>
      <c r="R89" s="39"/>
      <c r="S89" s="39"/>
      <c r="T89" s="39"/>
      <c r="U89" s="39"/>
      <c r="V89" s="39"/>
      <c r="W89" s="42"/>
    </row>
    <row r="90" spans="1:23" x14ac:dyDescent="0.35">
      <c r="A90" s="32" t="s">
        <v>84</v>
      </c>
      <c r="B90" s="32" t="s">
        <v>85</v>
      </c>
      <c r="C90" s="32" t="s">
        <v>155</v>
      </c>
      <c r="D90" s="32">
        <v>4</v>
      </c>
      <c r="E90" s="32"/>
      <c r="F90" s="32" t="s">
        <v>20</v>
      </c>
      <c r="G90" s="32"/>
      <c r="H90" s="32"/>
      <c r="I90" s="32">
        <v>3</v>
      </c>
      <c r="J90" s="34"/>
      <c r="K90" s="32"/>
      <c r="L90" s="32"/>
      <c r="M90" s="32">
        <v>24</v>
      </c>
      <c r="N90" s="32"/>
      <c r="O90" s="32"/>
      <c r="P90" s="32"/>
      <c r="Q90" s="37">
        <f t="shared" si="1"/>
        <v>24</v>
      </c>
      <c r="R90" s="32"/>
      <c r="S90" s="32"/>
      <c r="T90" s="32"/>
      <c r="U90" s="32"/>
      <c r="V90" s="32"/>
      <c r="W90" s="38"/>
    </row>
    <row r="91" spans="1:23" x14ac:dyDescent="0.35">
      <c r="A91" s="39" t="s">
        <v>84</v>
      </c>
      <c r="B91" s="39" t="s">
        <v>85</v>
      </c>
      <c r="C91" s="39" t="s">
        <v>155</v>
      </c>
      <c r="D91" s="39">
        <v>5</v>
      </c>
      <c r="E91" s="39"/>
      <c r="F91" s="39" t="s">
        <v>128</v>
      </c>
      <c r="G91" s="39"/>
      <c r="H91" s="39"/>
      <c r="I91" s="39">
        <v>3</v>
      </c>
      <c r="J91" s="40"/>
      <c r="K91" s="39"/>
      <c r="L91" s="39"/>
      <c r="M91" s="39">
        <v>6</v>
      </c>
      <c r="N91" s="39"/>
      <c r="O91" s="39"/>
      <c r="P91" s="39"/>
      <c r="Q91" s="41">
        <f t="shared" si="1"/>
        <v>6</v>
      </c>
      <c r="R91" s="39"/>
      <c r="S91" s="39"/>
      <c r="T91" s="39"/>
      <c r="U91" s="39"/>
      <c r="V91" s="39"/>
      <c r="W91" s="42"/>
    </row>
    <row r="92" spans="1:23" x14ac:dyDescent="0.35">
      <c r="A92" s="32" t="s">
        <v>84</v>
      </c>
      <c r="B92" s="32" t="s">
        <v>85</v>
      </c>
      <c r="C92" s="32" t="s">
        <v>156</v>
      </c>
      <c r="D92" s="32">
        <v>1</v>
      </c>
      <c r="E92" s="32"/>
      <c r="F92" s="32" t="s">
        <v>157</v>
      </c>
      <c r="G92" s="32"/>
      <c r="H92" s="32"/>
      <c r="I92" s="32">
        <v>3</v>
      </c>
      <c r="J92" s="34"/>
      <c r="K92" s="32"/>
      <c r="L92" s="32"/>
      <c r="M92" s="32">
        <v>30</v>
      </c>
      <c r="N92" s="32"/>
      <c r="O92" s="32"/>
      <c r="P92" s="32"/>
      <c r="Q92" s="37">
        <f t="shared" si="1"/>
        <v>30</v>
      </c>
      <c r="R92" s="32"/>
      <c r="S92" s="32"/>
      <c r="T92" s="32"/>
      <c r="U92" s="32"/>
      <c r="V92" s="32"/>
      <c r="W92" s="38"/>
    </row>
    <row r="93" spans="1:23" x14ac:dyDescent="0.35">
      <c r="A93" s="39" t="s">
        <v>84</v>
      </c>
      <c r="B93" s="39" t="s">
        <v>85</v>
      </c>
      <c r="C93" s="39" t="s">
        <v>156</v>
      </c>
      <c r="D93" s="39">
        <v>2</v>
      </c>
      <c r="E93" s="39"/>
      <c r="F93" s="39" t="s">
        <v>158</v>
      </c>
      <c r="G93" s="39"/>
      <c r="H93" s="39"/>
      <c r="I93" s="39">
        <v>3</v>
      </c>
      <c r="J93" s="40"/>
      <c r="K93" s="39"/>
      <c r="L93" s="39"/>
      <c r="M93" s="39">
        <v>9</v>
      </c>
      <c r="N93" s="39"/>
      <c r="O93" s="39"/>
      <c r="P93" s="39"/>
      <c r="Q93" s="41">
        <f t="shared" si="1"/>
        <v>9</v>
      </c>
      <c r="R93" s="39"/>
      <c r="S93" s="39"/>
      <c r="T93" s="39"/>
      <c r="U93" s="39"/>
      <c r="V93" s="39"/>
      <c r="W93" s="42"/>
    </row>
    <row r="94" spans="1:23" x14ac:dyDescent="0.35">
      <c r="A94" s="32" t="s">
        <v>84</v>
      </c>
      <c r="B94" s="32" t="s">
        <v>85</v>
      </c>
      <c r="C94" s="32" t="s">
        <v>156</v>
      </c>
      <c r="D94" s="32">
        <v>3</v>
      </c>
      <c r="E94" s="32"/>
      <c r="F94" s="32" t="s">
        <v>159</v>
      </c>
      <c r="G94" s="32"/>
      <c r="H94" s="32"/>
      <c r="I94" s="32">
        <v>3</v>
      </c>
      <c r="J94" s="34"/>
      <c r="K94" s="32"/>
      <c r="L94" s="32"/>
      <c r="M94" s="32">
        <v>0</v>
      </c>
      <c r="N94" s="32"/>
      <c r="O94" s="32"/>
      <c r="P94" s="32"/>
      <c r="Q94" s="37">
        <f t="shared" si="1"/>
        <v>0</v>
      </c>
      <c r="R94" s="32"/>
      <c r="S94" s="32"/>
      <c r="T94" s="32"/>
      <c r="U94" s="32"/>
      <c r="V94" s="32"/>
      <c r="W94" s="38"/>
    </row>
    <row r="95" spans="1:23" x14ac:dyDescent="0.35">
      <c r="A95" s="39" t="s">
        <v>84</v>
      </c>
      <c r="B95" s="39" t="s">
        <v>85</v>
      </c>
      <c r="C95" s="39" t="s">
        <v>156</v>
      </c>
      <c r="D95" s="39">
        <v>4</v>
      </c>
      <c r="E95" s="39"/>
      <c r="F95" s="39" t="s">
        <v>160</v>
      </c>
      <c r="G95" s="39"/>
      <c r="H95" s="39"/>
      <c r="I95" s="39">
        <v>3</v>
      </c>
      <c r="J95" s="40"/>
      <c r="K95" s="39"/>
      <c r="L95" s="39"/>
      <c r="M95" s="39">
        <v>0</v>
      </c>
      <c r="N95" s="39"/>
      <c r="O95" s="39"/>
      <c r="P95" s="39"/>
      <c r="Q95" s="41">
        <f t="shared" si="1"/>
        <v>0</v>
      </c>
      <c r="R95" s="39"/>
      <c r="S95" s="39"/>
      <c r="T95" s="39"/>
      <c r="U95" s="39"/>
      <c r="V95" s="39"/>
      <c r="W95" s="42"/>
    </row>
    <row r="96" spans="1:23" x14ac:dyDescent="0.35">
      <c r="A96" s="32" t="s">
        <v>84</v>
      </c>
      <c r="B96" s="32" t="s">
        <v>85</v>
      </c>
      <c r="C96" s="32" t="s">
        <v>156</v>
      </c>
      <c r="D96" s="32">
        <v>5</v>
      </c>
      <c r="E96" s="32"/>
      <c r="F96" s="32" t="s">
        <v>161</v>
      </c>
      <c r="G96" s="32"/>
      <c r="H96" s="32"/>
      <c r="I96" s="32">
        <v>3</v>
      </c>
      <c r="J96" s="34"/>
      <c r="K96" s="32"/>
      <c r="L96" s="32"/>
      <c r="M96" s="32">
        <v>63</v>
      </c>
      <c r="N96" s="32"/>
      <c r="O96" s="32"/>
      <c r="P96" s="32"/>
      <c r="Q96" s="37">
        <f t="shared" si="1"/>
        <v>63</v>
      </c>
      <c r="R96" s="32"/>
      <c r="S96" s="32"/>
      <c r="T96" s="32"/>
      <c r="U96" s="32"/>
      <c r="V96" s="32"/>
      <c r="W96" s="38"/>
    </row>
    <row r="97" spans="1:23" x14ac:dyDescent="0.35">
      <c r="A97" s="39" t="s">
        <v>84</v>
      </c>
      <c r="B97" s="39" t="s">
        <v>85</v>
      </c>
      <c r="C97" s="39" t="s">
        <v>156</v>
      </c>
      <c r="D97" s="39">
        <v>6</v>
      </c>
      <c r="E97" s="39"/>
      <c r="F97" s="39" t="s">
        <v>128</v>
      </c>
      <c r="G97" s="39"/>
      <c r="H97" s="39"/>
      <c r="I97" s="39">
        <v>3</v>
      </c>
      <c r="J97" s="40"/>
      <c r="K97" s="39"/>
      <c r="L97" s="39"/>
      <c r="M97" s="39">
        <v>17</v>
      </c>
      <c r="N97" s="39"/>
      <c r="O97" s="39"/>
      <c r="P97" s="39"/>
      <c r="Q97" s="41">
        <f t="shared" si="1"/>
        <v>17</v>
      </c>
      <c r="R97" s="39"/>
      <c r="S97" s="39"/>
      <c r="T97" s="39"/>
      <c r="U97" s="39"/>
      <c r="V97" s="39"/>
      <c r="W97" s="42"/>
    </row>
    <row r="98" spans="1:23" x14ac:dyDescent="0.35">
      <c r="A98" s="32" t="s">
        <v>84</v>
      </c>
      <c r="B98" s="32" t="s">
        <v>85</v>
      </c>
      <c r="C98" s="32" t="s">
        <v>157</v>
      </c>
      <c r="D98" s="32">
        <v>1</v>
      </c>
      <c r="E98" s="32"/>
      <c r="F98" s="32" t="s">
        <v>162</v>
      </c>
      <c r="G98" s="32"/>
      <c r="H98" s="32"/>
      <c r="I98" s="32">
        <v>3</v>
      </c>
      <c r="J98" s="34"/>
      <c r="K98" s="32"/>
      <c r="L98" s="32"/>
      <c r="M98" s="32">
        <v>5</v>
      </c>
      <c r="N98" s="32"/>
      <c r="O98" s="32"/>
      <c r="P98" s="32"/>
      <c r="Q98" s="37">
        <f t="shared" si="1"/>
        <v>5</v>
      </c>
      <c r="R98" s="32"/>
      <c r="S98" s="32"/>
      <c r="T98" s="32"/>
      <c r="U98" s="32"/>
      <c r="V98" s="32"/>
      <c r="W98" s="38"/>
    </row>
    <row r="99" spans="1:23" x14ac:dyDescent="0.35">
      <c r="A99" s="39" t="s">
        <v>84</v>
      </c>
      <c r="B99" s="39" t="s">
        <v>85</v>
      </c>
      <c r="C99" s="39" t="s">
        <v>157</v>
      </c>
      <c r="D99" s="39">
        <v>2</v>
      </c>
      <c r="E99" s="39"/>
      <c r="F99" s="39" t="s">
        <v>163</v>
      </c>
      <c r="G99" s="39"/>
      <c r="H99" s="39"/>
      <c r="I99" s="39">
        <v>3</v>
      </c>
      <c r="J99" s="40"/>
      <c r="K99" s="39"/>
      <c r="L99" s="39"/>
      <c r="M99" s="39">
        <v>9</v>
      </c>
      <c r="N99" s="39"/>
      <c r="O99" s="39"/>
      <c r="P99" s="39"/>
      <c r="Q99" s="41">
        <f t="shared" si="1"/>
        <v>9</v>
      </c>
      <c r="R99" s="39"/>
      <c r="S99" s="39"/>
      <c r="T99" s="39"/>
      <c r="U99" s="39"/>
      <c r="V99" s="39"/>
      <c r="W99" s="42"/>
    </row>
    <row r="100" spans="1:23" x14ac:dyDescent="0.35">
      <c r="A100" s="32" t="s">
        <v>84</v>
      </c>
      <c r="B100" s="32" t="s">
        <v>85</v>
      </c>
      <c r="C100" s="32" t="s">
        <v>157</v>
      </c>
      <c r="D100" s="32">
        <v>3</v>
      </c>
      <c r="E100" s="32"/>
      <c r="F100" s="32" t="s">
        <v>164</v>
      </c>
      <c r="G100" s="32"/>
      <c r="H100" s="32"/>
      <c r="I100" s="32">
        <v>3</v>
      </c>
      <c r="J100" s="34"/>
      <c r="K100" s="32"/>
      <c r="L100" s="32"/>
      <c r="M100" s="32">
        <v>7</v>
      </c>
      <c r="N100" s="32"/>
      <c r="O100" s="32"/>
      <c r="P100" s="32"/>
      <c r="Q100" s="37">
        <f t="shared" si="1"/>
        <v>7</v>
      </c>
      <c r="R100" s="32"/>
      <c r="S100" s="32"/>
      <c r="T100" s="32"/>
      <c r="U100" s="32"/>
      <c r="V100" s="32"/>
      <c r="W100" s="38"/>
    </row>
    <row r="101" spans="1:23" x14ac:dyDescent="0.35">
      <c r="A101" s="39" t="s">
        <v>84</v>
      </c>
      <c r="B101" s="39" t="s">
        <v>85</v>
      </c>
      <c r="C101" s="39" t="s">
        <v>157</v>
      </c>
      <c r="D101" s="39">
        <v>4</v>
      </c>
      <c r="E101" s="39"/>
      <c r="F101" s="39" t="s">
        <v>165</v>
      </c>
      <c r="G101" s="39"/>
      <c r="H101" s="39"/>
      <c r="I101" s="39">
        <v>3</v>
      </c>
      <c r="J101" s="40"/>
      <c r="K101" s="39"/>
      <c r="L101" s="39"/>
      <c r="M101" s="39">
        <v>157</v>
      </c>
      <c r="N101" s="39"/>
      <c r="O101" s="39"/>
      <c r="P101" s="39"/>
      <c r="Q101" s="41">
        <f t="shared" si="1"/>
        <v>157</v>
      </c>
      <c r="R101" s="39"/>
      <c r="S101" s="39"/>
      <c r="T101" s="39"/>
      <c r="U101" s="39"/>
      <c r="V101" s="39"/>
      <c r="W101" s="42"/>
    </row>
    <row r="102" spans="1:23" x14ac:dyDescent="0.35">
      <c r="A102" s="32" t="s">
        <v>84</v>
      </c>
      <c r="B102" s="32" t="s">
        <v>85</v>
      </c>
      <c r="C102" s="32" t="s">
        <v>157</v>
      </c>
      <c r="D102" s="32">
        <v>5</v>
      </c>
      <c r="E102" s="32"/>
      <c r="F102" s="32" t="s">
        <v>166</v>
      </c>
      <c r="G102" s="32"/>
      <c r="H102" s="32"/>
      <c r="I102" s="32">
        <v>3</v>
      </c>
      <c r="J102" s="34"/>
      <c r="K102" s="32"/>
      <c r="L102" s="32"/>
      <c r="M102" s="32">
        <v>6</v>
      </c>
      <c r="N102" s="32"/>
      <c r="O102" s="32"/>
      <c r="P102" s="32"/>
      <c r="Q102" s="37">
        <f t="shared" si="1"/>
        <v>6</v>
      </c>
      <c r="R102" s="32"/>
      <c r="S102" s="32"/>
      <c r="T102" s="32"/>
      <c r="U102" s="32"/>
      <c r="V102" s="32"/>
      <c r="W102" s="38"/>
    </row>
    <row r="103" spans="1:23" x14ac:dyDescent="0.35">
      <c r="A103" s="39" t="s">
        <v>84</v>
      </c>
      <c r="B103" s="39" t="s">
        <v>85</v>
      </c>
      <c r="C103" s="39" t="s">
        <v>23</v>
      </c>
      <c r="D103" s="39">
        <v>1</v>
      </c>
      <c r="E103" s="39" t="s">
        <v>23</v>
      </c>
      <c r="F103" s="39" t="s">
        <v>86</v>
      </c>
      <c r="G103" s="40">
        <f>Reqd_MC!I13</f>
        <v>1.5266611721695924</v>
      </c>
      <c r="H103" s="39"/>
      <c r="I103" s="39">
        <v>3</v>
      </c>
      <c r="J103" s="40">
        <v>1.5</v>
      </c>
      <c r="K103" s="39"/>
      <c r="L103" s="39"/>
      <c r="M103" s="36">
        <f>ROUNDUP(G103*J103,0)*3</f>
        <v>9</v>
      </c>
      <c r="N103" s="39"/>
      <c r="O103" s="39"/>
      <c r="P103" s="39"/>
      <c r="Q103" s="41">
        <f t="shared" si="1"/>
        <v>9</v>
      </c>
      <c r="R103" s="39"/>
      <c r="S103" s="39"/>
      <c r="T103" s="39"/>
      <c r="U103" s="39"/>
      <c r="V103" s="39"/>
      <c r="W103" s="42" t="s">
        <v>167</v>
      </c>
    </row>
    <row r="104" spans="1:23" x14ac:dyDescent="0.35">
      <c r="A104" s="32" t="s">
        <v>84</v>
      </c>
      <c r="B104" s="32" t="s">
        <v>85</v>
      </c>
      <c r="C104" s="32" t="s">
        <v>24</v>
      </c>
      <c r="D104" s="32">
        <v>1</v>
      </c>
      <c r="E104" s="32" t="s">
        <v>24</v>
      </c>
      <c r="F104" s="32" t="s">
        <v>86</v>
      </c>
      <c r="G104" s="34">
        <f>Reqd_MC!I14</f>
        <v>7.5951315821997456</v>
      </c>
      <c r="H104" s="32"/>
      <c r="I104" s="32">
        <v>3</v>
      </c>
      <c r="J104" s="48">
        <v>1</v>
      </c>
      <c r="K104" s="32"/>
      <c r="L104" s="32"/>
      <c r="M104" s="36">
        <f>ROUNDUP(G104*J104,0)*3</f>
        <v>24</v>
      </c>
      <c r="N104" s="32"/>
      <c r="O104" s="32"/>
      <c r="P104" s="32"/>
      <c r="Q104" s="37">
        <f t="shared" si="1"/>
        <v>24</v>
      </c>
      <c r="R104" s="32"/>
      <c r="S104" s="32"/>
      <c r="T104" s="32"/>
      <c r="U104" s="32"/>
      <c r="V104" s="32"/>
      <c r="W104" s="38"/>
    </row>
    <row r="105" spans="1:23" x14ac:dyDescent="0.35">
      <c r="A105" s="39" t="s">
        <v>84</v>
      </c>
      <c r="B105" s="39" t="s">
        <v>85</v>
      </c>
      <c r="C105" s="39" t="s">
        <v>25</v>
      </c>
      <c r="D105" s="49">
        <v>1</v>
      </c>
      <c r="E105" s="39" t="s">
        <v>25</v>
      </c>
      <c r="F105" s="39" t="s">
        <v>86</v>
      </c>
      <c r="G105" s="40">
        <f>Reqd_MC!I15</f>
        <v>2</v>
      </c>
      <c r="H105" s="39"/>
      <c r="I105" s="39">
        <v>3</v>
      </c>
      <c r="J105" s="40">
        <v>5</v>
      </c>
      <c r="K105" s="39"/>
      <c r="L105" s="39"/>
      <c r="M105" s="36">
        <f>ROUNDUP(G105*J105*3,0)</f>
        <v>30</v>
      </c>
      <c r="N105" s="39"/>
      <c r="O105" s="39"/>
      <c r="P105" s="39"/>
      <c r="Q105" s="41">
        <f t="shared" si="1"/>
        <v>30</v>
      </c>
      <c r="R105" s="39"/>
      <c r="S105" s="39"/>
      <c r="T105" s="39"/>
      <c r="U105" s="39"/>
      <c r="V105" s="39"/>
      <c r="W105" s="42"/>
    </row>
    <row r="106" spans="1:23" x14ac:dyDescent="0.35">
      <c r="A106" s="32" t="s">
        <v>84</v>
      </c>
      <c r="B106" s="32" t="s">
        <v>85</v>
      </c>
      <c r="C106" s="32" t="s">
        <v>26</v>
      </c>
      <c r="D106" s="50">
        <v>1</v>
      </c>
      <c r="E106" s="32" t="s">
        <v>26</v>
      </c>
      <c r="F106" s="32" t="s">
        <v>86</v>
      </c>
      <c r="G106" s="34">
        <f>Reqd_MC!I16</f>
        <v>3</v>
      </c>
      <c r="H106" s="32"/>
      <c r="I106" s="32">
        <v>3</v>
      </c>
      <c r="J106" s="34">
        <v>1.5</v>
      </c>
      <c r="K106" s="32"/>
      <c r="L106" s="32"/>
      <c r="M106" s="36">
        <f>ROUNDUP(G106*J106*3,0)</f>
        <v>14</v>
      </c>
      <c r="N106" s="32"/>
      <c r="O106" s="32"/>
      <c r="P106" s="32"/>
      <c r="Q106" s="37">
        <f t="shared" si="1"/>
        <v>14</v>
      </c>
      <c r="R106" s="32"/>
      <c r="S106" s="32"/>
      <c r="T106" s="32"/>
      <c r="U106" s="32"/>
      <c r="V106" s="32"/>
      <c r="W106" s="38"/>
    </row>
    <row r="107" spans="1:23" x14ac:dyDescent="0.35">
      <c r="A107" s="39" t="s">
        <v>84</v>
      </c>
      <c r="B107" s="39" t="s">
        <v>85</v>
      </c>
      <c r="C107" s="39" t="s">
        <v>27</v>
      </c>
      <c r="D107" s="39">
        <v>1</v>
      </c>
      <c r="E107" s="39" t="s">
        <v>27</v>
      </c>
      <c r="F107" s="39" t="s">
        <v>86</v>
      </c>
      <c r="G107" s="40">
        <f>Reqd_MC!I17</f>
        <v>0.33092120324714808</v>
      </c>
      <c r="H107" s="39"/>
      <c r="I107" s="39">
        <v>3</v>
      </c>
      <c r="J107" s="40">
        <v>3</v>
      </c>
      <c r="K107" s="39"/>
      <c r="L107" s="39"/>
      <c r="M107" s="39">
        <f>IF(G107&lt;=0.33,1,(IF(G107&lt;=0.66,2,3)))*J107</f>
        <v>6</v>
      </c>
      <c r="N107" s="39"/>
      <c r="O107" s="39"/>
      <c r="P107" s="39"/>
      <c r="Q107" s="41">
        <f t="shared" si="1"/>
        <v>6</v>
      </c>
      <c r="R107" s="39"/>
      <c r="S107" s="39"/>
      <c r="T107" s="39"/>
      <c r="U107" s="39"/>
      <c r="V107" s="39"/>
      <c r="W107" s="42"/>
    </row>
    <row r="108" spans="1:23" x14ac:dyDescent="0.35">
      <c r="A108" s="32" t="s">
        <v>84</v>
      </c>
      <c r="B108" s="32" t="s">
        <v>85</v>
      </c>
      <c r="C108" s="32" t="s">
        <v>28</v>
      </c>
      <c r="D108" s="32">
        <v>1</v>
      </c>
      <c r="E108" s="32"/>
      <c r="F108" s="32" t="s">
        <v>86</v>
      </c>
      <c r="G108" s="32"/>
      <c r="H108" s="32"/>
      <c r="I108" s="32">
        <v>3</v>
      </c>
      <c r="J108" s="34"/>
      <c r="K108" s="32"/>
      <c r="L108" s="32"/>
      <c r="M108" s="32">
        <f>M107+M106+M105+M104+M103</f>
        <v>83</v>
      </c>
      <c r="N108" s="32"/>
      <c r="O108" s="32"/>
      <c r="P108" s="32"/>
      <c r="Q108" s="37">
        <f t="shared" si="1"/>
        <v>83</v>
      </c>
      <c r="R108" s="32"/>
      <c r="S108" s="32"/>
      <c r="T108" s="32"/>
      <c r="U108" s="32"/>
      <c r="V108" s="32"/>
      <c r="W108" s="38"/>
    </row>
    <row r="109" spans="1:23" x14ac:dyDescent="0.35">
      <c r="A109" s="39" t="s">
        <v>84</v>
      </c>
      <c r="B109" s="39" t="s">
        <v>85</v>
      </c>
      <c r="C109" s="32" t="s">
        <v>28</v>
      </c>
      <c r="D109" s="39">
        <v>2</v>
      </c>
      <c r="E109" s="39"/>
      <c r="F109" s="39" t="s">
        <v>101</v>
      </c>
      <c r="G109" s="39"/>
      <c r="H109" s="39"/>
      <c r="I109" s="39">
        <v>3</v>
      </c>
      <c r="J109" s="40"/>
      <c r="K109" s="39"/>
      <c r="L109" s="39"/>
      <c r="M109" s="39">
        <v>12</v>
      </c>
      <c r="O109" s="39"/>
      <c r="P109" s="39"/>
      <c r="Q109" s="41">
        <f t="shared" si="1"/>
        <v>12</v>
      </c>
      <c r="R109" s="39"/>
      <c r="S109" s="39"/>
      <c r="T109" s="39"/>
      <c r="U109" s="39"/>
      <c r="V109" s="39"/>
      <c r="W109" s="42"/>
    </row>
    <row r="110" spans="1:23" x14ac:dyDescent="0.35">
      <c r="A110" s="32" t="s">
        <v>84</v>
      </c>
      <c r="B110" s="32" t="s">
        <v>85</v>
      </c>
      <c r="C110" s="32" t="s">
        <v>28</v>
      </c>
      <c r="D110" s="32">
        <v>3</v>
      </c>
      <c r="E110" s="32"/>
      <c r="F110" s="32" t="s">
        <v>104</v>
      </c>
      <c r="G110" s="32"/>
      <c r="H110" s="32"/>
      <c r="I110" s="32">
        <v>3</v>
      </c>
      <c r="J110" s="34"/>
      <c r="K110" s="32"/>
      <c r="L110" s="32"/>
      <c r="M110" s="32">
        <v>3</v>
      </c>
      <c r="O110" s="32"/>
      <c r="P110" s="32"/>
      <c r="Q110" s="37">
        <f t="shared" si="1"/>
        <v>3</v>
      </c>
      <c r="R110" s="32"/>
      <c r="S110" s="32"/>
      <c r="T110" s="32"/>
      <c r="U110" s="32"/>
      <c r="V110" s="32"/>
      <c r="W110" s="38"/>
    </row>
    <row r="111" spans="1:23" x14ac:dyDescent="0.35">
      <c r="A111" s="39" t="s">
        <v>84</v>
      </c>
      <c r="B111" s="39" t="s">
        <v>85</v>
      </c>
      <c r="C111" s="32" t="s">
        <v>28</v>
      </c>
      <c r="D111" s="39">
        <v>4</v>
      </c>
      <c r="E111" s="39"/>
      <c r="F111" s="39" t="s">
        <v>103</v>
      </c>
      <c r="G111" s="39"/>
      <c r="H111" s="39"/>
      <c r="I111" s="39">
        <v>3</v>
      </c>
      <c r="J111" s="40"/>
      <c r="K111" s="39"/>
      <c r="L111" s="39"/>
      <c r="M111" s="39">
        <v>3</v>
      </c>
      <c r="O111" s="39"/>
      <c r="P111" s="39"/>
      <c r="Q111" s="41">
        <f t="shared" si="1"/>
        <v>3</v>
      </c>
      <c r="R111" s="39"/>
      <c r="S111" s="39"/>
      <c r="T111" s="39"/>
      <c r="U111" s="39"/>
      <c r="V111" s="39"/>
      <c r="W111" s="42"/>
    </row>
    <row r="112" spans="1:23" x14ac:dyDescent="0.35">
      <c r="A112" s="32" t="s">
        <v>84</v>
      </c>
      <c r="B112" s="32" t="s">
        <v>85</v>
      </c>
      <c r="C112" s="32" t="s">
        <v>28</v>
      </c>
      <c r="D112" s="32">
        <v>5</v>
      </c>
      <c r="E112" s="32"/>
      <c r="F112" s="32" t="s">
        <v>168</v>
      </c>
      <c r="G112" s="32"/>
      <c r="H112" s="32"/>
      <c r="I112" s="32">
        <v>3</v>
      </c>
      <c r="J112" s="34"/>
      <c r="K112" s="32"/>
      <c r="L112" s="32"/>
      <c r="M112" s="32">
        <v>3</v>
      </c>
      <c r="O112" s="32"/>
      <c r="P112" s="32"/>
      <c r="Q112" s="37">
        <f t="shared" si="1"/>
        <v>3</v>
      </c>
      <c r="R112" s="32"/>
      <c r="S112" s="32"/>
      <c r="T112" s="32"/>
      <c r="U112" s="32"/>
      <c r="V112" s="32"/>
      <c r="W112" s="38"/>
    </row>
    <row r="113" spans="1:23" x14ac:dyDescent="0.35">
      <c r="A113" s="39" t="s">
        <v>84</v>
      </c>
      <c r="B113" s="39" t="s">
        <v>85</v>
      </c>
      <c r="C113" s="32" t="s">
        <v>28</v>
      </c>
      <c r="D113" s="39">
        <v>6</v>
      </c>
      <c r="E113" s="39"/>
      <c r="F113" s="39" t="s">
        <v>169</v>
      </c>
      <c r="G113" s="39"/>
      <c r="H113" s="39"/>
      <c r="I113" s="39">
        <v>3</v>
      </c>
      <c r="J113" s="40"/>
      <c r="K113" s="39"/>
      <c r="L113" s="39"/>
      <c r="M113" s="39">
        <v>3</v>
      </c>
      <c r="O113" s="39"/>
      <c r="P113" s="39"/>
      <c r="Q113" s="41">
        <f t="shared" si="1"/>
        <v>3</v>
      </c>
      <c r="R113" s="39"/>
      <c r="S113" s="39"/>
      <c r="T113" s="39"/>
      <c r="U113" s="39"/>
      <c r="V113" s="39"/>
      <c r="W113" s="42"/>
    </row>
    <row r="114" spans="1:23" x14ac:dyDescent="0.35">
      <c r="A114" s="32" t="s">
        <v>84</v>
      </c>
      <c r="B114" s="32" t="s">
        <v>85</v>
      </c>
      <c r="C114" s="32" t="s">
        <v>29</v>
      </c>
      <c r="D114" s="32">
        <v>1</v>
      </c>
      <c r="E114" s="32" t="s">
        <v>30</v>
      </c>
      <c r="F114" s="32" t="s">
        <v>86</v>
      </c>
      <c r="G114" s="34">
        <f>Reqd_MC!I19</f>
        <v>0.52742596072822623</v>
      </c>
      <c r="H114" s="32"/>
      <c r="I114" s="32">
        <v>3</v>
      </c>
      <c r="J114" s="34">
        <v>2.5</v>
      </c>
      <c r="K114" s="32"/>
      <c r="L114" s="32"/>
      <c r="M114" s="39">
        <f>IF(MOD(G114,1)=0,0,IF(MOD(G114,1)&lt;=0.33,1,IF(MOD(G114,1)&lt;=0.66,2,3)))*J114+ROUNDDOWN(G114,0)*3*J114</f>
        <v>5</v>
      </c>
      <c r="N114" s="39"/>
      <c r="O114" s="32"/>
      <c r="P114" s="32"/>
      <c r="Q114" s="37">
        <f t="shared" si="1"/>
        <v>5</v>
      </c>
      <c r="R114" s="32"/>
      <c r="S114" s="32"/>
      <c r="T114" s="32"/>
      <c r="U114" s="32"/>
      <c r="V114" s="32"/>
      <c r="W114" s="38"/>
    </row>
    <row r="115" spans="1:23" x14ac:dyDescent="0.35">
      <c r="A115" s="39" t="s">
        <v>84</v>
      </c>
      <c r="B115" s="39" t="s">
        <v>85</v>
      </c>
      <c r="C115" s="39" t="s">
        <v>29</v>
      </c>
      <c r="D115" s="39">
        <v>2</v>
      </c>
      <c r="E115" s="39" t="s">
        <v>31</v>
      </c>
      <c r="F115" s="32" t="s">
        <v>86</v>
      </c>
      <c r="G115" s="34">
        <f>Reqd_MC!I20</f>
        <v>0.36002964328168396</v>
      </c>
      <c r="H115" s="39"/>
      <c r="I115" s="39">
        <v>3</v>
      </c>
      <c r="J115" s="40">
        <v>2.5</v>
      </c>
      <c r="K115" s="39"/>
      <c r="L115" s="39"/>
      <c r="M115" s="39">
        <f t="shared" ref="M115:M125" si="2">IF(MOD(G115,1)=0,0,IF(MOD(G115,1)&lt;=0.33,1,IF(MOD(G115,1)&lt;=0.66,2,3)))*J115+ROUNDDOWN(G115,0)*3*J115</f>
        <v>5</v>
      </c>
      <c r="N115" s="39"/>
      <c r="O115" s="32"/>
      <c r="P115" s="39"/>
      <c r="Q115" s="41">
        <f t="shared" si="1"/>
        <v>5</v>
      </c>
      <c r="R115" s="39"/>
      <c r="S115" s="39"/>
      <c r="T115" s="39"/>
      <c r="U115" s="39"/>
      <c r="V115" s="39"/>
      <c r="W115" s="42"/>
    </row>
    <row r="116" spans="1:23" x14ac:dyDescent="0.35">
      <c r="A116" s="32" t="s">
        <v>84</v>
      </c>
      <c r="B116" s="32" t="s">
        <v>85</v>
      </c>
      <c r="C116" s="32" t="s">
        <v>29</v>
      </c>
      <c r="D116" s="32">
        <v>3</v>
      </c>
      <c r="E116" s="32" t="s">
        <v>32</v>
      </c>
      <c r="F116" s="32" t="s">
        <v>86</v>
      </c>
      <c r="G116" s="34">
        <f>Reqd_MC!I21</f>
        <v>0.31682978841307924</v>
      </c>
      <c r="H116" s="32"/>
      <c r="I116" s="32">
        <v>3</v>
      </c>
      <c r="J116" s="34">
        <v>2.5</v>
      </c>
      <c r="K116" s="32"/>
      <c r="L116" s="32"/>
      <c r="M116" s="39">
        <f t="shared" si="2"/>
        <v>2.5</v>
      </c>
      <c r="N116" s="39"/>
      <c r="O116" s="32"/>
      <c r="P116" s="32"/>
      <c r="Q116" s="37">
        <f t="shared" si="1"/>
        <v>2.5</v>
      </c>
      <c r="R116" s="32"/>
      <c r="S116" s="32"/>
      <c r="T116" s="32"/>
      <c r="U116" s="32"/>
      <c r="V116" s="32"/>
      <c r="W116" s="38"/>
    </row>
    <row r="117" spans="1:23" x14ac:dyDescent="0.35">
      <c r="A117" s="39" t="s">
        <v>84</v>
      </c>
      <c r="B117" s="39" t="s">
        <v>85</v>
      </c>
      <c r="C117" s="39" t="s">
        <v>29</v>
      </c>
      <c r="D117" s="39">
        <v>4</v>
      </c>
      <c r="E117" s="39" t="s">
        <v>33</v>
      </c>
      <c r="F117" s="32" t="s">
        <v>86</v>
      </c>
      <c r="G117" s="34">
        <f>Reqd_MC!I22</f>
        <v>1</v>
      </c>
      <c r="H117" s="39"/>
      <c r="I117" s="39">
        <v>3</v>
      </c>
      <c r="J117" s="40">
        <v>2.5</v>
      </c>
      <c r="K117" s="39"/>
      <c r="L117" s="39"/>
      <c r="M117" s="39">
        <f t="shared" si="2"/>
        <v>7.5</v>
      </c>
      <c r="N117" s="39"/>
      <c r="O117" s="32"/>
      <c r="P117" s="39"/>
      <c r="Q117" s="41">
        <f t="shared" si="1"/>
        <v>7.5</v>
      </c>
      <c r="R117" s="39"/>
      <c r="S117" s="39"/>
      <c r="T117" s="39"/>
      <c r="U117" s="39"/>
      <c r="V117" s="39"/>
      <c r="W117" s="42"/>
    </row>
    <row r="118" spans="1:23" x14ac:dyDescent="0.35">
      <c r="A118" s="32" t="s">
        <v>84</v>
      </c>
      <c r="B118" s="32" t="s">
        <v>85</v>
      </c>
      <c r="C118" s="32" t="s">
        <v>29</v>
      </c>
      <c r="D118" s="32">
        <v>5</v>
      </c>
      <c r="E118" s="32" t="s">
        <v>34</v>
      </c>
      <c r="F118" s="32" t="s">
        <v>86</v>
      </c>
      <c r="G118" s="34">
        <f>Reqd_MC!I23</f>
        <v>1.2673300566876298E-2</v>
      </c>
      <c r="H118" s="32"/>
      <c r="I118" s="32">
        <v>3</v>
      </c>
      <c r="J118" s="34">
        <v>2.5</v>
      </c>
      <c r="K118" s="32"/>
      <c r="L118" s="32"/>
      <c r="M118" s="39">
        <f t="shared" si="2"/>
        <v>2.5</v>
      </c>
      <c r="N118" s="39"/>
      <c r="O118" s="32"/>
      <c r="P118" s="32"/>
      <c r="Q118" s="37">
        <f t="shared" si="1"/>
        <v>2.5</v>
      </c>
      <c r="R118" s="32"/>
      <c r="S118" s="32"/>
      <c r="T118" s="32"/>
      <c r="U118" s="32"/>
      <c r="V118" s="32"/>
      <c r="W118" s="38"/>
    </row>
    <row r="119" spans="1:23" x14ac:dyDescent="0.35">
      <c r="A119" s="39" t="s">
        <v>84</v>
      </c>
      <c r="B119" s="39" t="s">
        <v>85</v>
      </c>
      <c r="C119" s="39" t="s">
        <v>29</v>
      </c>
      <c r="D119" s="39">
        <v>6</v>
      </c>
      <c r="E119" s="39" t="s">
        <v>35</v>
      </c>
      <c r="F119" s="32" t="s">
        <v>86</v>
      </c>
      <c r="G119" s="34">
        <f>Reqd_MC!I24</f>
        <v>4</v>
      </c>
      <c r="H119" s="39"/>
      <c r="I119" s="39">
        <v>3</v>
      </c>
      <c r="J119" s="40">
        <v>2.5</v>
      </c>
      <c r="K119" s="39"/>
      <c r="L119" s="39"/>
      <c r="M119" s="39">
        <f t="shared" si="2"/>
        <v>30</v>
      </c>
      <c r="N119" s="39"/>
      <c r="O119" s="32"/>
      <c r="P119" s="39"/>
      <c r="Q119" s="41">
        <f t="shared" si="1"/>
        <v>30</v>
      </c>
      <c r="R119" s="39"/>
      <c r="S119" s="39"/>
      <c r="T119" s="39"/>
      <c r="U119" s="39"/>
      <c r="V119" s="39"/>
      <c r="W119" s="42"/>
    </row>
    <row r="120" spans="1:23" x14ac:dyDescent="0.35">
      <c r="A120" s="32" t="s">
        <v>84</v>
      </c>
      <c r="B120" s="32" t="s">
        <v>85</v>
      </c>
      <c r="C120" s="32" t="s">
        <v>29</v>
      </c>
      <c r="D120" s="32">
        <v>7</v>
      </c>
      <c r="E120" s="32" t="s">
        <v>36</v>
      </c>
      <c r="F120" s="32" t="s">
        <v>86</v>
      </c>
      <c r="G120" s="34" t="e">
        <f>Reqd_MC!I25</f>
        <v>#DIV/0!</v>
      </c>
      <c r="H120" s="32"/>
      <c r="I120" s="32">
        <v>3</v>
      </c>
      <c r="J120" s="34"/>
      <c r="K120" s="32"/>
      <c r="L120" s="32"/>
      <c r="M120" s="39" t="e">
        <f t="shared" si="2"/>
        <v>#DIV/0!</v>
      </c>
      <c r="N120" s="39"/>
      <c r="O120" s="32"/>
      <c r="P120" s="32"/>
      <c r="Q120" s="37" t="e">
        <f t="shared" si="1"/>
        <v>#DIV/0!</v>
      </c>
      <c r="R120" s="32"/>
      <c r="S120" s="32"/>
      <c r="T120" s="32"/>
      <c r="U120" s="32"/>
      <c r="V120" s="32"/>
      <c r="W120" s="38"/>
    </row>
    <row r="121" spans="1:23" x14ac:dyDescent="0.35">
      <c r="A121" s="39" t="s">
        <v>84</v>
      </c>
      <c r="B121" s="39" t="s">
        <v>85</v>
      </c>
      <c r="C121" s="39" t="s">
        <v>29</v>
      </c>
      <c r="D121" s="39">
        <v>8</v>
      </c>
      <c r="E121" s="39" t="s">
        <v>37</v>
      </c>
      <c r="F121" s="32" t="s">
        <v>86</v>
      </c>
      <c r="G121" s="34" t="e">
        <f>Reqd_MC!I26</f>
        <v>#DIV/0!</v>
      </c>
      <c r="H121" s="39"/>
      <c r="I121" s="39">
        <v>3</v>
      </c>
      <c r="J121" s="40"/>
      <c r="K121" s="39"/>
      <c r="L121" s="39"/>
      <c r="M121" s="39" t="e">
        <f t="shared" si="2"/>
        <v>#DIV/0!</v>
      </c>
      <c r="N121" s="39"/>
      <c r="O121" s="32"/>
      <c r="P121" s="39"/>
      <c r="Q121" s="41" t="e">
        <f t="shared" si="1"/>
        <v>#DIV/0!</v>
      </c>
      <c r="R121" s="39"/>
      <c r="S121" s="39"/>
      <c r="T121" s="39"/>
      <c r="U121" s="39"/>
      <c r="V121" s="39"/>
      <c r="W121" s="42"/>
    </row>
    <row r="122" spans="1:23" x14ac:dyDescent="0.35">
      <c r="A122" s="32" t="s">
        <v>84</v>
      </c>
      <c r="B122" s="32" t="s">
        <v>85</v>
      </c>
      <c r="C122" s="32" t="s">
        <v>29</v>
      </c>
      <c r="D122" s="32">
        <v>9</v>
      </c>
      <c r="E122" s="32" t="s">
        <v>38</v>
      </c>
      <c r="F122" s="32" t="s">
        <v>86</v>
      </c>
      <c r="G122" s="34">
        <f>Reqd_MC!I27</f>
        <v>2</v>
      </c>
      <c r="H122" s="32"/>
      <c r="I122" s="32">
        <v>3</v>
      </c>
      <c r="J122" s="34">
        <v>3.5</v>
      </c>
      <c r="K122" s="32"/>
      <c r="L122" s="32"/>
      <c r="M122" s="39">
        <f t="shared" si="2"/>
        <v>21</v>
      </c>
      <c r="N122" s="39"/>
      <c r="O122" s="32"/>
      <c r="P122" s="32"/>
      <c r="Q122" s="37">
        <f t="shared" si="1"/>
        <v>21</v>
      </c>
      <c r="R122" s="32"/>
      <c r="S122" s="32"/>
      <c r="T122" s="32"/>
      <c r="U122" s="32"/>
      <c r="V122" s="32"/>
      <c r="W122" s="38"/>
    </row>
    <row r="123" spans="1:23" x14ac:dyDescent="0.35">
      <c r="A123" s="39" t="s">
        <v>84</v>
      </c>
      <c r="B123" s="39" t="s">
        <v>85</v>
      </c>
      <c r="C123" s="39" t="s">
        <v>29</v>
      </c>
      <c r="D123" s="39">
        <v>10</v>
      </c>
      <c r="E123" s="39" t="s">
        <v>39</v>
      </c>
      <c r="F123" s="32" t="s">
        <v>86</v>
      </c>
      <c r="G123" s="34">
        <f>Reqd_MC!I28</f>
        <v>4</v>
      </c>
      <c r="H123" s="39"/>
      <c r="I123" s="39">
        <v>3</v>
      </c>
      <c r="J123" s="40">
        <v>2.5</v>
      </c>
      <c r="K123" s="39"/>
      <c r="L123" s="39"/>
      <c r="M123" s="39">
        <f t="shared" si="2"/>
        <v>30</v>
      </c>
      <c r="N123" s="39"/>
      <c r="O123" s="32"/>
      <c r="P123" s="39"/>
      <c r="Q123" s="41">
        <f t="shared" si="1"/>
        <v>30</v>
      </c>
      <c r="R123" s="39"/>
      <c r="S123" s="39"/>
      <c r="T123" s="39"/>
      <c r="U123" s="39"/>
      <c r="V123" s="39"/>
      <c r="W123" s="42"/>
    </row>
    <row r="124" spans="1:23" x14ac:dyDescent="0.35">
      <c r="A124" s="32" t="s">
        <v>84</v>
      </c>
      <c r="B124" s="32" t="s">
        <v>85</v>
      </c>
      <c r="C124" s="32" t="s">
        <v>29</v>
      </c>
      <c r="D124" s="32">
        <v>11</v>
      </c>
      <c r="E124" s="32" t="s">
        <v>40</v>
      </c>
      <c r="F124" s="32" t="s">
        <v>86</v>
      </c>
      <c r="G124" s="34">
        <f>Reqd_MC!I29</f>
        <v>2</v>
      </c>
      <c r="H124" s="32"/>
      <c r="I124" s="32">
        <v>3</v>
      </c>
      <c r="J124" s="34">
        <v>2.5</v>
      </c>
      <c r="K124" s="32"/>
      <c r="L124" s="32"/>
      <c r="M124" s="39">
        <f t="shared" si="2"/>
        <v>15</v>
      </c>
      <c r="N124" s="39"/>
      <c r="O124" s="32"/>
      <c r="P124" s="32"/>
      <c r="Q124" s="37">
        <f t="shared" si="1"/>
        <v>15</v>
      </c>
      <c r="R124" s="32"/>
      <c r="S124" s="32"/>
      <c r="T124" s="32"/>
      <c r="U124" s="32"/>
      <c r="V124" s="32"/>
      <c r="W124" s="38"/>
    </row>
    <row r="125" spans="1:23" x14ac:dyDescent="0.35">
      <c r="A125" s="39" t="s">
        <v>84</v>
      </c>
      <c r="B125" s="39" t="s">
        <v>85</v>
      </c>
      <c r="C125" s="39" t="s">
        <v>29</v>
      </c>
      <c r="D125" s="39">
        <v>12</v>
      </c>
      <c r="E125" s="39" t="s">
        <v>41</v>
      </c>
      <c r="F125" s="32" t="s">
        <v>86</v>
      </c>
      <c r="G125" s="34">
        <f>Reqd_MC!I30</f>
        <v>1.593510947094863E-2</v>
      </c>
      <c r="H125" s="39"/>
      <c r="I125" s="39">
        <v>3</v>
      </c>
      <c r="J125" s="40">
        <v>2.5</v>
      </c>
      <c r="K125" s="39"/>
      <c r="L125" s="39"/>
      <c r="M125" s="39">
        <f t="shared" si="2"/>
        <v>2.5</v>
      </c>
      <c r="N125" s="39"/>
      <c r="O125" s="32"/>
      <c r="P125" s="39"/>
      <c r="Q125" s="41">
        <f t="shared" si="1"/>
        <v>2.5</v>
      </c>
      <c r="R125" s="39"/>
      <c r="S125" s="39"/>
      <c r="T125" s="39"/>
      <c r="U125" s="39"/>
      <c r="V125" s="39"/>
      <c r="W125" s="42"/>
    </row>
    <row r="126" spans="1:23" x14ac:dyDescent="0.35">
      <c r="A126" s="32" t="s">
        <v>84</v>
      </c>
      <c r="B126" s="32" t="s">
        <v>85</v>
      </c>
      <c r="C126" s="39" t="s">
        <v>29</v>
      </c>
      <c r="D126" s="32">
        <v>13</v>
      </c>
      <c r="E126" s="32"/>
      <c r="F126" s="32" t="s">
        <v>103</v>
      </c>
      <c r="G126" s="32"/>
      <c r="H126" s="32"/>
      <c r="I126" s="32">
        <v>3</v>
      </c>
      <c r="J126" s="34"/>
      <c r="K126" s="32"/>
      <c r="L126" s="32"/>
      <c r="M126" s="32"/>
      <c r="N126" s="32"/>
      <c r="O126" s="32"/>
      <c r="P126" s="32"/>
      <c r="Q126" s="37">
        <f t="shared" si="1"/>
        <v>0</v>
      </c>
      <c r="R126" s="32"/>
      <c r="S126" s="32"/>
      <c r="T126" s="32"/>
      <c r="U126" s="32"/>
      <c r="V126" s="32"/>
      <c r="W126" s="38"/>
    </row>
    <row r="127" spans="1:23" x14ac:dyDescent="0.35">
      <c r="A127" s="39" t="s">
        <v>84</v>
      </c>
      <c r="B127" s="39" t="s">
        <v>85</v>
      </c>
      <c r="C127" s="39" t="s">
        <v>29</v>
      </c>
      <c r="D127" s="39">
        <v>14</v>
      </c>
      <c r="E127" s="39"/>
      <c r="F127" s="39" t="s">
        <v>170</v>
      </c>
      <c r="G127" s="39"/>
      <c r="H127" s="39"/>
      <c r="I127" s="39">
        <v>3</v>
      </c>
      <c r="J127" s="40"/>
      <c r="K127" s="39">
        <f>(2+1*3)*2.5</f>
        <v>12.5</v>
      </c>
      <c r="L127" s="39"/>
      <c r="M127" s="39"/>
      <c r="N127" s="39"/>
      <c r="O127" s="39">
        <v>1</v>
      </c>
      <c r="P127" s="39"/>
      <c r="Q127" s="41">
        <f t="shared" si="1"/>
        <v>0</v>
      </c>
      <c r="R127" s="39"/>
      <c r="S127" s="39"/>
      <c r="T127" s="39"/>
      <c r="U127" s="39"/>
      <c r="V127" s="39"/>
      <c r="W127" s="42"/>
    </row>
    <row r="128" spans="1:23" x14ac:dyDescent="0.35">
      <c r="A128" s="32" t="s">
        <v>84</v>
      </c>
      <c r="B128" s="32" t="s">
        <v>85</v>
      </c>
      <c r="C128" s="39" t="s">
        <v>29</v>
      </c>
      <c r="D128" s="32">
        <v>15</v>
      </c>
      <c r="E128" s="32"/>
      <c r="F128" s="32" t="s">
        <v>105</v>
      </c>
      <c r="G128" s="32"/>
      <c r="H128" s="32"/>
      <c r="I128" s="32">
        <v>3</v>
      </c>
      <c r="J128" s="34"/>
      <c r="K128" s="32"/>
      <c r="L128" s="32"/>
      <c r="M128" s="32"/>
      <c r="N128" s="32"/>
      <c r="O128" s="32">
        <v>1</v>
      </c>
      <c r="P128" s="32"/>
      <c r="Q128" s="37">
        <f t="shared" si="1"/>
        <v>0</v>
      </c>
      <c r="R128" s="32"/>
      <c r="S128" s="32"/>
      <c r="T128" s="32"/>
      <c r="U128" s="32"/>
      <c r="V128" s="32"/>
      <c r="W128" s="38"/>
    </row>
    <row r="129" spans="1:23" x14ac:dyDescent="0.35">
      <c r="A129" s="39" t="s">
        <v>84</v>
      </c>
      <c r="B129" s="39" t="s">
        <v>85</v>
      </c>
      <c r="C129" s="39" t="s">
        <v>29</v>
      </c>
      <c r="D129" s="39">
        <v>16</v>
      </c>
      <c r="E129" s="39"/>
      <c r="F129" s="39" t="s">
        <v>171</v>
      </c>
      <c r="G129" s="39"/>
      <c r="H129" s="39"/>
      <c r="I129" s="39">
        <v>3</v>
      </c>
      <c r="J129" s="40"/>
      <c r="K129" s="39"/>
      <c r="L129" s="39"/>
      <c r="M129" s="39"/>
      <c r="N129" s="39"/>
      <c r="O129" s="39"/>
      <c r="P129" s="39"/>
      <c r="Q129" s="41">
        <f t="shared" si="1"/>
        <v>0</v>
      </c>
      <c r="R129" s="39"/>
      <c r="S129" s="39"/>
      <c r="T129" s="39"/>
      <c r="U129" s="39"/>
      <c r="V129" s="39"/>
      <c r="W129" s="42"/>
    </row>
    <row r="130" spans="1:23" x14ac:dyDescent="0.35">
      <c r="A130" s="32" t="s">
        <v>84</v>
      </c>
      <c r="B130" s="32" t="s">
        <v>85</v>
      </c>
      <c r="C130" s="39" t="s">
        <v>29</v>
      </c>
      <c r="D130" s="32">
        <v>17</v>
      </c>
      <c r="E130" s="32"/>
      <c r="F130" s="32" t="s">
        <v>172</v>
      </c>
      <c r="G130" s="32"/>
      <c r="H130" s="32"/>
      <c r="I130" s="32">
        <v>3</v>
      </c>
      <c r="J130" s="34"/>
      <c r="K130" s="32"/>
      <c r="L130" s="32"/>
      <c r="M130" s="32"/>
      <c r="N130" s="32"/>
      <c r="O130" s="32"/>
      <c r="P130" s="32"/>
      <c r="Q130" s="37">
        <f t="shared" ref="Q130:Q135" si="3">M130</f>
        <v>0</v>
      </c>
      <c r="R130" s="32"/>
      <c r="S130" s="32"/>
      <c r="T130" s="32"/>
      <c r="U130" s="32"/>
      <c r="V130" s="32"/>
      <c r="W130" s="38"/>
    </row>
    <row r="131" spans="1:23" x14ac:dyDescent="0.35">
      <c r="A131" s="39" t="s">
        <v>84</v>
      </c>
      <c r="B131" s="39" t="s">
        <v>85</v>
      </c>
      <c r="C131" s="39" t="s">
        <v>29</v>
      </c>
      <c r="D131" s="39">
        <v>18</v>
      </c>
      <c r="E131" s="39"/>
      <c r="F131" s="39" t="s">
        <v>173</v>
      </c>
      <c r="G131" s="39"/>
      <c r="H131" s="39"/>
      <c r="I131" s="39">
        <v>3</v>
      </c>
      <c r="J131" s="40"/>
      <c r="K131" s="39"/>
      <c r="L131" s="39"/>
      <c r="M131" s="39"/>
      <c r="N131" s="39"/>
      <c r="O131" s="39">
        <v>1</v>
      </c>
      <c r="P131" s="39"/>
      <c r="Q131" s="41">
        <f t="shared" si="3"/>
        <v>0</v>
      </c>
      <c r="R131" s="39"/>
      <c r="S131" s="39"/>
      <c r="T131" s="39"/>
      <c r="U131" s="39"/>
      <c r="V131" s="39"/>
      <c r="W131" s="42"/>
    </row>
    <row r="132" spans="1:23" x14ac:dyDescent="0.35">
      <c r="A132" s="32" t="s">
        <v>84</v>
      </c>
      <c r="B132" s="32" t="s">
        <v>85</v>
      </c>
      <c r="C132" s="39" t="s">
        <v>29</v>
      </c>
      <c r="D132" s="32">
        <v>19</v>
      </c>
      <c r="E132" s="32"/>
      <c r="F132" s="32" t="s">
        <v>174</v>
      </c>
      <c r="G132" s="32"/>
      <c r="H132" s="32"/>
      <c r="I132" s="32">
        <v>3</v>
      </c>
      <c r="J132" s="34"/>
      <c r="K132" s="32"/>
      <c r="L132" s="32"/>
      <c r="M132" s="32"/>
      <c r="N132" s="32"/>
      <c r="O132" s="32">
        <v>1</v>
      </c>
      <c r="P132" s="32"/>
      <c r="Q132" s="37">
        <f t="shared" si="3"/>
        <v>0</v>
      </c>
      <c r="R132" s="32"/>
      <c r="S132" s="32"/>
      <c r="T132" s="32"/>
      <c r="U132" s="32"/>
      <c r="V132" s="32"/>
      <c r="W132" s="38"/>
    </row>
    <row r="133" spans="1:23" x14ac:dyDescent="0.35">
      <c r="A133" s="39" t="s">
        <v>84</v>
      </c>
      <c r="B133" s="39" t="s">
        <v>85</v>
      </c>
      <c r="C133" s="39" t="s">
        <v>29</v>
      </c>
      <c r="D133" s="39">
        <v>20</v>
      </c>
      <c r="E133" s="39"/>
      <c r="F133" s="39" t="s">
        <v>175</v>
      </c>
      <c r="G133" s="39"/>
      <c r="H133" s="39"/>
      <c r="I133" s="39">
        <v>3</v>
      </c>
      <c r="J133" s="40"/>
      <c r="K133" s="39"/>
      <c r="L133" s="39"/>
      <c r="M133" s="39"/>
      <c r="N133" s="39"/>
      <c r="O133" s="39"/>
      <c r="P133" s="39"/>
      <c r="Q133" s="41">
        <f t="shared" si="3"/>
        <v>0</v>
      </c>
      <c r="R133" s="39"/>
      <c r="S133" s="39"/>
      <c r="T133" s="39"/>
      <c r="U133" s="39"/>
      <c r="V133" s="39"/>
      <c r="W133" s="42"/>
    </row>
    <row r="134" spans="1:23" x14ac:dyDescent="0.35">
      <c r="A134" s="32" t="s">
        <v>84</v>
      </c>
      <c r="B134" s="32" t="s">
        <v>85</v>
      </c>
      <c r="C134" s="39" t="s">
        <v>29</v>
      </c>
      <c r="D134" s="32">
        <v>21</v>
      </c>
      <c r="E134" s="32"/>
      <c r="F134" s="32" t="s">
        <v>176</v>
      </c>
      <c r="G134" s="32"/>
      <c r="H134" s="32"/>
      <c r="I134" s="32">
        <v>3</v>
      </c>
      <c r="J134" s="34"/>
      <c r="K134" s="32"/>
      <c r="L134" s="32"/>
      <c r="M134" s="32"/>
      <c r="N134" s="32"/>
      <c r="O134" s="32"/>
      <c r="P134" s="32"/>
      <c r="Q134" s="37">
        <f t="shared" si="3"/>
        <v>0</v>
      </c>
      <c r="R134" s="32"/>
      <c r="S134" s="32"/>
      <c r="T134" s="32"/>
      <c r="U134" s="32"/>
      <c r="V134" s="32"/>
      <c r="W134" s="38"/>
    </row>
    <row r="135" spans="1:23" x14ac:dyDescent="0.35">
      <c r="A135" s="39" t="s">
        <v>84</v>
      </c>
      <c r="B135" s="39" t="s">
        <v>85</v>
      </c>
      <c r="C135" s="39" t="s">
        <v>29</v>
      </c>
      <c r="D135" s="39">
        <v>22</v>
      </c>
      <c r="E135" s="39"/>
      <c r="F135" s="39" t="s">
        <v>177</v>
      </c>
      <c r="G135" s="39"/>
      <c r="H135" s="39"/>
      <c r="I135" s="39">
        <v>3</v>
      </c>
      <c r="J135" s="40"/>
      <c r="K135" s="39"/>
      <c r="L135" s="39"/>
      <c r="M135" s="39"/>
      <c r="N135" s="39"/>
      <c r="O135" s="39">
        <v>1</v>
      </c>
      <c r="P135" s="39"/>
      <c r="Q135" s="41">
        <f t="shared" si="3"/>
        <v>0</v>
      </c>
      <c r="R135" s="39"/>
      <c r="S135" s="39"/>
      <c r="T135" s="39"/>
      <c r="U135" s="39"/>
      <c r="V135" s="39"/>
      <c r="W135" s="42"/>
    </row>
    <row r="136" spans="1:23" x14ac:dyDescent="0.35">
      <c r="A136" s="32"/>
      <c r="B136" s="32"/>
      <c r="C136" s="32"/>
      <c r="D136" s="32"/>
      <c r="E136" s="32"/>
      <c r="F136" s="32"/>
      <c r="G136" s="32"/>
      <c r="H136" s="32"/>
      <c r="I136" s="32"/>
      <c r="J136" s="34"/>
      <c r="K136" s="32"/>
      <c r="L136" s="32"/>
      <c r="M136" s="32"/>
      <c r="N136" s="32"/>
      <c r="O136" s="32"/>
      <c r="P136" s="32"/>
      <c r="Q136" s="37"/>
      <c r="R136" s="32"/>
      <c r="S136" s="32"/>
      <c r="T136" s="32"/>
      <c r="U136" s="32"/>
      <c r="V136" s="32"/>
      <c r="W136" s="38"/>
    </row>
    <row r="137" spans="1:23" x14ac:dyDescent="0.35">
      <c r="A137" s="39"/>
      <c r="B137" s="39"/>
      <c r="C137" s="39"/>
      <c r="D137" s="39"/>
      <c r="E137" s="39"/>
      <c r="F137" s="39"/>
      <c r="G137" s="39"/>
      <c r="H137" s="39"/>
      <c r="I137" s="39"/>
      <c r="J137" s="40"/>
      <c r="K137" s="39"/>
      <c r="L137" s="39"/>
      <c r="M137" s="39"/>
      <c r="N137" s="39"/>
      <c r="O137" s="39"/>
      <c r="P137" s="39"/>
      <c r="Q137" s="41"/>
      <c r="R137" s="39"/>
      <c r="S137" s="39"/>
      <c r="T137" s="39"/>
      <c r="U137" s="39"/>
      <c r="V137" s="39"/>
      <c r="W137" s="42"/>
    </row>
    <row r="138" spans="1:23" x14ac:dyDescent="0.35">
      <c r="A138" s="32"/>
      <c r="B138" s="32"/>
      <c r="C138" s="32"/>
      <c r="D138" s="32"/>
      <c r="E138" s="32"/>
      <c r="F138" s="32"/>
      <c r="G138" s="32"/>
      <c r="H138" s="32"/>
      <c r="I138" s="32"/>
      <c r="J138" s="34"/>
      <c r="K138" s="32"/>
      <c r="L138" s="32"/>
      <c r="M138" s="32"/>
      <c r="N138" s="32"/>
      <c r="O138" s="32"/>
      <c r="P138" s="32"/>
      <c r="Q138" s="37"/>
      <c r="R138" s="32"/>
      <c r="S138" s="32"/>
      <c r="T138" s="32"/>
      <c r="U138" s="32"/>
      <c r="V138" s="32"/>
      <c r="W138" s="38"/>
    </row>
    <row r="139" spans="1:23" x14ac:dyDescent="0.35">
      <c r="A139" s="39"/>
      <c r="B139" s="39"/>
      <c r="C139" s="39"/>
      <c r="D139" s="39"/>
      <c r="E139" s="39"/>
      <c r="F139" s="39"/>
      <c r="G139" s="39"/>
      <c r="H139" s="39"/>
      <c r="I139" s="39"/>
      <c r="J139" s="40"/>
      <c r="K139" s="39"/>
      <c r="L139" s="39"/>
      <c r="M139" s="39"/>
      <c r="N139" s="39"/>
      <c r="O139" s="39"/>
      <c r="P139" s="39"/>
      <c r="Q139" s="41"/>
      <c r="R139" s="39"/>
      <c r="S139" s="39"/>
      <c r="T139" s="39"/>
      <c r="U139" s="39"/>
      <c r="V139" s="39"/>
      <c r="W139" s="42"/>
    </row>
    <row r="140" spans="1:23" x14ac:dyDescent="0.35">
      <c r="A140" s="32"/>
      <c r="B140" s="32"/>
      <c r="C140" s="32"/>
      <c r="D140" s="32"/>
      <c r="E140" s="32"/>
      <c r="F140" s="32"/>
      <c r="G140" s="32"/>
      <c r="H140" s="32"/>
      <c r="I140" s="32"/>
      <c r="J140" s="34"/>
      <c r="K140" s="32"/>
      <c r="L140" s="32"/>
      <c r="M140" s="32"/>
      <c r="N140" s="32"/>
      <c r="O140" s="32"/>
      <c r="P140" s="32"/>
      <c r="Q140" s="37"/>
      <c r="R140" s="32"/>
      <c r="S140" s="32"/>
      <c r="T140" s="32"/>
      <c r="U140" s="32"/>
      <c r="V140" s="32"/>
      <c r="W140" s="38"/>
    </row>
    <row r="141" spans="1:23" x14ac:dyDescent="0.35">
      <c r="A141" s="39"/>
      <c r="B141" s="39"/>
      <c r="C141" s="39"/>
      <c r="D141" s="39"/>
      <c r="E141" s="39"/>
      <c r="F141" s="39"/>
      <c r="G141" s="39"/>
      <c r="H141" s="39"/>
      <c r="I141" s="39"/>
      <c r="J141" s="40"/>
      <c r="K141" s="39"/>
      <c r="L141" s="39"/>
      <c r="M141" s="39"/>
      <c r="N141" s="39"/>
      <c r="O141" s="39"/>
      <c r="P141" s="39"/>
      <c r="Q141" s="41"/>
      <c r="R141" s="39"/>
      <c r="S141" s="39"/>
      <c r="T141" s="39"/>
      <c r="U141" s="39"/>
      <c r="V141" s="39"/>
      <c r="W141" s="42"/>
    </row>
    <row r="142" spans="1:23" x14ac:dyDescent="0.35">
      <c r="A142" s="32"/>
      <c r="B142" s="32"/>
      <c r="C142" s="32"/>
      <c r="D142" s="32"/>
      <c r="E142" s="32"/>
      <c r="F142" s="32"/>
      <c r="G142" s="32"/>
      <c r="H142" s="32"/>
      <c r="I142" s="32"/>
      <c r="J142" s="34"/>
      <c r="K142" s="32"/>
      <c r="L142" s="32"/>
      <c r="M142" s="32"/>
      <c r="N142" s="32"/>
      <c r="O142" s="32"/>
      <c r="P142" s="32"/>
      <c r="Q142" s="37"/>
      <c r="R142" s="32"/>
      <c r="S142" s="32"/>
      <c r="T142" s="32"/>
      <c r="U142" s="32"/>
      <c r="V142" s="32"/>
      <c r="W142" s="38"/>
    </row>
    <row r="143" spans="1:23" x14ac:dyDescent="0.35">
      <c r="A143" s="39"/>
      <c r="B143" s="39"/>
      <c r="C143" s="39"/>
      <c r="D143" s="39"/>
      <c r="E143" s="39"/>
      <c r="F143" s="39"/>
      <c r="G143" s="39"/>
      <c r="H143" s="39"/>
      <c r="I143" s="39"/>
      <c r="J143" s="40"/>
      <c r="K143" s="39"/>
      <c r="L143" s="39"/>
      <c r="M143" s="39"/>
      <c r="N143" s="39"/>
      <c r="O143" s="39"/>
      <c r="P143" s="39"/>
      <c r="Q143" s="41"/>
      <c r="R143" s="39"/>
      <c r="S143" s="39"/>
      <c r="T143" s="39"/>
      <c r="U143" s="39"/>
      <c r="V143" s="39"/>
      <c r="W143" s="42"/>
    </row>
    <row r="144" spans="1:23" x14ac:dyDescent="0.35">
      <c r="A144" s="32"/>
      <c r="B144" s="32"/>
      <c r="C144" s="32"/>
      <c r="D144" s="32"/>
      <c r="E144" s="32"/>
      <c r="F144" s="32"/>
      <c r="G144" s="32"/>
      <c r="H144" s="32"/>
      <c r="I144" s="32"/>
      <c r="J144" s="34"/>
      <c r="K144" s="32"/>
      <c r="L144" s="32"/>
      <c r="M144" s="32"/>
      <c r="N144" s="32"/>
      <c r="O144" s="32"/>
      <c r="P144" s="32"/>
      <c r="Q144" s="37"/>
      <c r="R144" s="32"/>
      <c r="S144" s="32"/>
      <c r="T144" s="32"/>
      <c r="U144" s="32"/>
      <c r="V144" s="32"/>
      <c r="W144" s="38"/>
    </row>
    <row r="145" spans="1:23" x14ac:dyDescent="0.35">
      <c r="A145" s="39"/>
      <c r="B145" s="39"/>
      <c r="C145" s="39"/>
      <c r="D145" s="39"/>
      <c r="E145" s="39"/>
      <c r="F145" s="39"/>
      <c r="G145" s="39"/>
      <c r="H145" s="39"/>
      <c r="I145" s="39"/>
      <c r="J145" s="40"/>
      <c r="K145" s="39"/>
      <c r="L145" s="39"/>
      <c r="M145" s="39"/>
      <c r="N145" s="39"/>
      <c r="O145" s="39"/>
      <c r="P145" s="39"/>
      <c r="Q145" s="41"/>
      <c r="R145" s="39"/>
      <c r="S145" s="39"/>
      <c r="T145" s="39"/>
      <c r="U145" s="39"/>
      <c r="V145" s="39"/>
      <c r="W145" s="42"/>
    </row>
    <row r="146" spans="1:23" x14ac:dyDescent="0.35">
      <c r="A146" s="32"/>
      <c r="B146" s="32"/>
      <c r="C146" s="32"/>
      <c r="D146" s="32"/>
      <c r="E146" s="32"/>
      <c r="F146" s="32"/>
      <c r="G146" s="32"/>
      <c r="H146" s="32"/>
      <c r="I146" s="32"/>
      <c r="J146" s="34"/>
      <c r="K146" s="32"/>
      <c r="L146" s="32"/>
      <c r="M146" s="32"/>
      <c r="N146" s="32"/>
      <c r="O146" s="32"/>
      <c r="P146" s="32"/>
      <c r="Q146" s="37"/>
      <c r="R146" s="32"/>
      <c r="S146" s="32"/>
      <c r="T146" s="32"/>
      <c r="U146" s="32"/>
      <c r="V146" s="32"/>
      <c r="W146" s="38"/>
    </row>
    <row r="147" spans="1:23" x14ac:dyDescent="0.35">
      <c r="A147" s="39"/>
      <c r="B147" s="39"/>
      <c r="C147" s="39"/>
      <c r="D147" s="39"/>
      <c r="E147" s="39"/>
      <c r="F147" s="39"/>
      <c r="G147" s="39"/>
      <c r="H147" s="39"/>
      <c r="I147" s="39"/>
      <c r="J147" s="40"/>
      <c r="K147" s="39"/>
      <c r="L147" s="39"/>
      <c r="M147" s="39"/>
      <c r="N147" s="39"/>
      <c r="O147" s="39"/>
      <c r="P147" s="39"/>
      <c r="Q147" s="41"/>
      <c r="R147" s="39"/>
      <c r="S147" s="39"/>
      <c r="T147" s="39"/>
      <c r="U147" s="39"/>
      <c r="V147" s="39"/>
      <c r="W147" s="42"/>
    </row>
    <row r="148" spans="1:23" x14ac:dyDescent="0.35">
      <c r="A148" s="32"/>
      <c r="B148" s="32"/>
      <c r="C148" s="32"/>
      <c r="D148" s="32"/>
      <c r="E148" s="32"/>
      <c r="F148" s="32"/>
      <c r="G148" s="32"/>
      <c r="H148" s="32"/>
      <c r="I148" s="32"/>
      <c r="J148" s="34"/>
      <c r="K148" s="32"/>
      <c r="L148" s="32"/>
      <c r="M148" s="32"/>
      <c r="N148" s="32"/>
      <c r="O148" s="32"/>
      <c r="P148" s="32"/>
      <c r="Q148" s="37"/>
      <c r="R148" s="32"/>
      <c r="S148" s="32"/>
      <c r="T148" s="32"/>
      <c r="U148" s="32"/>
      <c r="V148" s="32"/>
      <c r="W148" s="38"/>
    </row>
    <row r="149" spans="1:23" x14ac:dyDescent="0.35">
      <c r="A149" s="39"/>
      <c r="B149" s="39"/>
      <c r="C149" s="39"/>
      <c r="D149" s="39"/>
      <c r="E149" s="39"/>
      <c r="F149" s="39"/>
      <c r="G149" s="39"/>
      <c r="H149" s="39"/>
      <c r="I149" s="39"/>
      <c r="J149" s="40"/>
      <c r="K149" s="39"/>
      <c r="L149" s="39"/>
      <c r="M149" s="39"/>
      <c r="N149" s="39"/>
      <c r="O149" s="39"/>
      <c r="P149" s="39"/>
      <c r="Q149" s="41"/>
      <c r="R149" s="39"/>
      <c r="S149" s="39"/>
      <c r="T149" s="39"/>
      <c r="U149" s="39"/>
      <c r="V149" s="39"/>
      <c r="W149" s="42"/>
    </row>
    <row r="150" spans="1:23" x14ac:dyDescent="0.35">
      <c r="A150" s="32"/>
      <c r="B150" s="32"/>
      <c r="C150" s="32"/>
      <c r="D150" s="32"/>
      <c r="E150" s="32"/>
      <c r="F150" s="32"/>
      <c r="G150" s="32"/>
      <c r="H150" s="32"/>
      <c r="I150" s="32"/>
      <c r="J150" s="34"/>
      <c r="K150" s="32"/>
      <c r="L150" s="32"/>
      <c r="M150" s="32"/>
      <c r="N150" s="32"/>
      <c r="O150" s="32"/>
      <c r="P150" s="32"/>
      <c r="Q150" s="37"/>
      <c r="R150" s="32"/>
      <c r="S150" s="32"/>
      <c r="T150" s="32"/>
      <c r="U150" s="32"/>
      <c r="V150" s="32"/>
      <c r="W150" s="38"/>
    </row>
    <row r="151" spans="1:23" x14ac:dyDescent="0.35">
      <c r="A151" s="39"/>
      <c r="B151" s="39"/>
      <c r="C151" s="39"/>
      <c r="D151" s="39"/>
      <c r="E151" s="39"/>
      <c r="F151" s="39"/>
      <c r="G151" s="39"/>
      <c r="H151" s="39"/>
      <c r="I151" s="39"/>
      <c r="J151" s="40"/>
      <c r="K151" s="39"/>
      <c r="L151" s="39"/>
      <c r="M151" s="39"/>
      <c r="N151" s="39"/>
      <c r="O151" s="39"/>
      <c r="P151" s="39"/>
      <c r="Q151" s="41"/>
      <c r="R151" s="39"/>
      <c r="S151" s="39"/>
      <c r="T151" s="39"/>
      <c r="U151" s="39"/>
      <c r="V151" s="39"/>
      <c r="W151" s="42"/>
    </row>
    <row r="152" spans="1:23" x14ac:dyDescent="0.35">
      <c r="A152" s="32"/>
      <c r="B152" s="32"/>
      <c r="C152" s="32"/>
      <c r="D152" s="32"/>
      <c r="E152" s="32"/>
      <c r="F152" s="32"/>
      <c r="G152" s="32"/>
      <c r="H152" s="32"/>
      <c r="I152" s="32"/>
      <c r="J152" s="34"/>
      <c r="K152" s="32"/>
      <c r="L152" s="32"/>
      <c r="M152" s="32"/>
      <c r="N152" s="32"/>
      <c r="O152" s="32"/>
      <c r="P152" s="32"/>
      <c r="Q152" s="37"/>
      <c r="R152" s="32"/>
      <c r="S152" s="32"/>
      <c r="T152" s="32"/>
      <c r="U152" s="32"/>
      <c r="V152" s="32"/>
      <c r="W152" s="38"/>
    </row>
    <row r="153" spans="1:23" x14ac:dyDescent="0.35">
      <c r="A153" s="39"/>
      <c r="B153" s="39"/>
      <c r="C153" s="39"/>
      <c r="D153" s="39"/>
      <c r="E153" s="39"/>
      <c r="F153" s="39"/>
      <c r="G153" s="39"/>
      <c r="H153" s="39"/>
      <c r="I153" s="39"/>
      <c r="J153" s="40"/>
      <c r="K153" s="39"/>
      <c r="L153" s="39"/>
      <c r="M153" s="39"/>
      <c r="N153" s="39"/>
      <c r="O153" s="39"/>
      <c r="P153" s="39"/>
      <c r="Q153" s="41"/>
      <c r="R153" s="39"/>
      <c r="S153" s="39"/>
      <c r="T153" s="39"/>
      <c r="U153" s="39"/>
      <c r="V153" s="39"/>
      <c r="W153" s="42"/>
    </row>
    <row r="154" spans="1:23" x14ac:dyDescent="0.35">
      <c r="A154" s="32"/>
      <c r="B154" s="32"/>
      <c r="C154" s="32"/>
      <c r="D154" s="32"/>
      <c r="E154" s="32"/>
      <c r="F154" s="32"/>
      <c r="G154" s="32"/>
      <c r="H154" s="32"/>
      <c r="I154" s="32"/>
      <c r="J154" s="34"/>
      <c r="K154" s="32"/>
      <c r="L154" s="32"/>
      <c r="M154" s="32"/>
      <c r="N154" s="32"/>
      <c r="O154" s="32"/>
      <c r="P154" s="32"/>
      <c r="Q154" s="37"/>
      <c r="R154" s="32"/>
      <c r="S154" s="32"/>
      <c r="T154" s="32"/>
      <c r="U154" s="32"/>
      <c r="V154" s="32"/>
      <c r="W154" s="38"/>
    </row>
    <row r="155" spans="1:23" x14ac:dyDescent="0.35">
      <c r="A155" s="39"/>
      <c r="B155" s="39"/>
      <c r="C155" s="39"/>
      <c r="D155" s="39"/>
      <c r="E155" s="39"/>
      <c r="F155" s="39"/>
      <c r="G155" s="39"/>
      <c r="H155" s="39"/>
      <c r="I155" s="39"/>
      <c r="J155" s="40"/>
      <c r="K155" s="39"/>
      <c r="L155" s="39"/>
      <c r="M155" s="39"/>
      <c r="N155" s="39"/>
      <c r="O155" s="39"/>
      <c r="P155" s="39"/>
      <c r="Q155" s="41"/>
      <c r="R155" s="39"/>
      <c r="S155" s="39"/>
      <c r="T155" s="39"/>
      <c r="U155" s="39"/>
      <c r="V155" s="39"/>
      <c r="W155" s="42"/>
    </row>
    <row r="156" spans="1:23" x14ac:dyDescent="0.35">
      <c r="A156" s="32"/>
      <c r="B156" s="32"/>
      <c r="C156" s="32"/>
      <c r="D156" s="32"/>
      <c r="E156" s="32"/>
      <c r="F156" s="32"/>
      <c r="G156" s="32"/>
      <c r="H156" s="32"/>
      <c r="I156" s="32"/>
      <c r="J156" s="34"/>
      <c r="K156" s="32"/>
      <c r="L156" s="32"/>
      <c r="M156" s="32"/>
      <c r="N156" s="32"/>
      <c r="O156" s="32"/>
      <c r="P156" s="32"/>
      <c r="Q156" s="37"/>
      <c r="R156" s="32"/>
      <c r="S156" s="32"/>
      <c r="T156" s="32"/>
      <c r="U156" s="32"/>
      <c r="V156" s="32"/>
      <c r="W156" s="38"/>
    </row>
    <row r="157" spans="1:23" x14ac:dyDescent="0.35">
      <c r="A157" s="39"/>
      <c r="B157" s="39"/>
      <c r="C157" s="39"/>
      <c r="D157" s="39"/>
      <c r="E157" s="39"/>
      <c r="F157" s="39"/>
      <c r="G157" s="39"/>
      <c r="H157" s="39"/>
      <c r="I157" s="39"/>
      <c r="J157" s="40"/>
      <c r="K157" s="39"/>
      <c r="L157" s="39"/>
      <c r="M157" s="39"/>
      <c r="N157" s="39"/>
      <c r="O157" s="39"/>
      <c r="P157" s="39"/>
      <c r="Q157" s="41"/>
      <c r="R157" s="39"/>
      <c r="S157" s="39"/>
      <c r="T157" s="39"/>
      <c r="U157" s="39"/>
      <c r="V157" s="39"/>
      <c r="W157" s="42"/>
    </row>
    <row r="158" spans="1:23" x14ac:dyDescent="0.35">
      <c r="A158" s="32"/>
      <c r="B158" s="32"/>
      <c r="C158" s="32"/>
      <c r="D158" s="32"/>
      <c r="E158" s="32"/>
      <c r="F158" s="32"/>
      <c r="G158" s="32"/>
      <c r="H158" s="32"/>
      <c r="I158" s="32"/>
      <c r="J158" s="34"/>
      <c r="K158" s="32"/>
      <c r="L158" s="32"/>
      <c r="M158" s="32"/>
      <c r="N158" s="32"/>
      <c r="O158" s="32"/>
      <c r="P158" s="32"/>
      <c r="Q158" s="37"/>
      <c r="R158" s="32"/>
      <c r="S158" s="32"/>
      <c r="T158" s="32"/>
      <c r="U158" s="32"/>
      <c r="V158" s="32"/>
      <c r="W158" s="38"/>
    </row>
    <row r="159" spans="1:23" x14ac:dyDescent="0.35">
      <c r="A159" s="39"/>
      <c r="B159" s="39"/>
      <c r="C159" s="39"/>
      <c r="D159" s="39"/>
      <c r="E159" s="39"/>
      <c r="F159" s="39"/>
      <c r="G159" s="39"/>
      <c r="H159" s="39"/>
      <c r="I159" s="39"/>
      <c r="J159" s="40"/>
      <c r="K159" s="39"/>
      <c r="L159" s="39"/>
      <c r="M159" s="39"/>
      <c r="N159" s="39"/>
      <c r="O159" s="39"/>
      <c r="P159" s="39"/>
      <c r="Q159" s="41"/>
      <c r="R159" s="39"/>
      <c r="S159" s="39"/>
      <c r="T159" s="39"/>
      <c r="U159" s="39"/>
      <c r="V159" s="39"/>
      <c r="W159" s="42"/>
    </row>
    <row r="160" spans="1:23" x14ac:dyDescent="0.35">
      <c r="A160" s="32"/>
      <c r="B160" s="32"/>
      <c r="C160" s="32"/>
      <c r="D160" s="32"/>
      <c r="E160" s="32"/>
      <c r="F160" s="32"/>
      <c r="G160" s="32"/>
      <c r="H160" s="32"/>
      <c r="I160" s="32"/>
      <c r="J160" s="34"/>
      <c r="K160" s="32"/>
      <c r="L160" s="32"/>
      <c r="M160" s="32"/>
      <c r="N160" s="32"/>
      <c r="O160" s="32"/>
      <c r="P160" s="32"/>
      <c r="Q160" s="37"/>
      <c r="R160" s="32"/>
      <c r="S160" s="32"/>
      <c r="T160" s="32"/>
      <c r="U160" s="32"/>
      <c r="V160" s="32"/>
      <c r="W160" s="38"/>
    </row>
    <row r="161" spans="1:23" x14ac:dyDescent="0.35">
      <c r="A161" s="39"/>
      <c r="B161" s="39"/>
      <c r="C161" s="39"/>
      <c r="D161" s="39"/>
      <c r="E161" s="39"/>
      <c r="F161" s="39"/>
      <c r="G161" s="39"/>
      <c r="H161" s="39"/>
      <c r="I161" s="39"/>
      <c r="J161" s="40"/>
      <c r="K161" s="39"/>
      <c r="L161" s="39"/>
      <c r="M161" s="39"/>
      <c r="N161" s="39"/>
      <c r="O161" s="39"/>
      <c r="P161" s="39"/>
      <c r="Q161" s="41"/>
      <c r="R161" s="39"/>
      <c r="S161" s="39"/>
      <c r="T161" s="39"/>
      <c r="U161" s="39"/>
      <c r="V161" s="39"/>
      <c r="W161" s="42"/>
    </row>
    <row r="162" spans="1:23" x14ac:dyDescent="0.35">
      <c r="A162" s="32"/>
      <c r="B162" s="32"/>
      <c r="C162" s="32"/>
      <c r="D162" s="32"/>
      <c r="E162" s="32"/>
      <c r="F162" s="32"/>
      <c r="G162" s="32"/>
      <c r="H162" s="32"/>
      <c r="I162" s="32"/>
      <c r="J162" s="34"/>
      <c r="K162" s="32"/>
      <c r="L162" s="32"/>
      <c r="M162" s="32"/>
      <c r="N162" s="32"/>
      <c r="O162" s="32"/>
      <c r="P162" s="32"/>
      <c r="Q162" s="37"/>
      <c r="R162" s="32"/>
      <c r="S162" s="32"/>
      <c r="T162" s="32"/>
      <c r="U162" s="32"/>
      <c r="V162" s="32"/>
      <c r="W162" s="38"/>
    </row>
    <row r="163" spans="1:23" x14ac:dyDescent="0.35">
      <c r="A163" s="39"/>
      <c r="B163" s="39"/>
      <c r="C163" s="39"/>
      <c r="D163" s="39"/>
      <c r="E163" s="39"/>
      <c r="F163" s="39"/>
      <c r="G163" s="39"/>
      <c r="H163" s="39"/>
      <c r="I163" s="39"/>
      <c r="J163" s="40"/>
      <c r="K163" s="39"/>
      <c r="L163" s="39"/>
      <c r="M163" s="39"/>
      <c r="N163" s="39"/>
      <c r="O163" s="39"/>
      <c r="P163" s="39"/>
      <c r="Q163" s="41"/>
      <c r="R163" s="39"/>
      <c r="S163" s="39"/>
      <c r="T163" s="39"/>
      <c r="U163" s="39"/>
      <c r="V163" s="39"/>
      <c r="W163" s="42"/>
    </row>
    <row r="164" spans="1:23" x14ac:dyDescent="0.35">
      <c r="A164" s="32"/>
      <c r="B164" s="32"/>
      <c r="C164" s="32"/>
      <c r="D164" s="32"/>
      <c r="E164" s="32"/>
      <c r="F164" s="32"/>
      <c r="G164" s="32"/>
      <c r="H164" s="32"/>
      <c r="I164" s="32"/>
      <c r="J164" s="34"/>
      <c r="K164" s="32"/>
      <c r="L164" s="32"/>
      <c r="M164" s="32"/>
      <c r="N164" s="32"/>
      <c r="O164" s="32"/>
      <c r="P164" s="32"/>
      <c r="Q164" s="37"/>
      <c r="R164" s="32"/>
      <c r="S164" s="32"/>
      <c r="T164" s="32"/>
      <c r="U164" s="32"/>
      <c r="V164" s="32"/>
      <c r="W164" s="38"/>
    </row>
    <row r="165" spans="1:23" x14ac:dyDescent="0.35">
      <c r="A165" s="39"/>
      <c r="B165" s="39"/>
      <c r="C165" s="39"/>
      <c r="D165" s="39"/>
      <c r="E165" s="39"/>
      <c r="F165" s="39"/>
      <c r="G165" s="39"/>
      <c r="H165" s="39"/>
      <c r="I165" s="39"/>
      <c r="J165" s="40"/>
      <c r="K165" s="39"/>
      <c r="L165" s="39"/>
      <c r="M165" s="39"/>
      <c r="N165" s="39"/>
      <c r="O165" s="39"/>
      <c r="P165" s="39"/>
      <c r="Q165" s="41"/>
      <c r="R165" s="39"/>
      <c r="S165" s="39"/>
      <c r="T165" s="39"/>
      <c r="U165" s="39"/>
      <c r="V165" s="39"/>
      <c r="W165" s="42"/>
    </row>
    <row r="166" spans="1:23" x14ac:dyDescent="0.35">
      <c r="A166" s="32"/>
      <c r="B166" s="32"/>
      <c r="C166" s="32"/>
      <c r="D166" s="32"/>
      <c r="E166" s="32"/>
      <c r="F166" s="32"/>
      <c r="G166" s="32"/>
      <c r="H166" s="32"/>
      <c r="I166" s="32"/>
      <c r="J166" s="34"/>
      <c r="K166" s="32"/>
      <c r="L166" s="32"/>
      <c r="M166" s="32"/>
      <c r="N166" s="32"/>
      <c r="O166" s="32"/>
      <c r="P166" s="32"/>
      <c r="Q166" s="37"/>
      <c r="R166" s="32"/>
      <c r="S166" s="32"/>
      <c r="T166" s="32"/>
      <c r="U166" s="32"/>
      <c r="V166" s="32"/>
      <c r="W166" s="38"/>
    </row>
    <row r="167" spans="1:23" x14ac:dyDescent="0.35">
      <c r="A167" s="39"/>
      <c r="B167" s="39"/>
      <c r="C167" s="39"/>
      <c r="D167" s="39"/>
      <c r="E167" s="39"/>
      <c r="F167" s="39"/>
      <c r="G167" s="39"/>
      <c r="H167" s="39"/>
      <c r="I167" s="39"/>
      <c r="J167" s="40"/>
      <c r="K167" s="39"/>
      <c r="L167" s="39"/>
      <c r="M167" s="39"/>
      <c r="N167" s="39"/>
      <c r="O167" s="39"/>
      <c r="P167" s="39"/>
      <c r="Q167" s="41"/>
      <c r="R167" s="39"/>
      <c r="S167" s="39"/>
      <c r="T167" s="39"/>
      <c r="U167" s="39"/>
      <c r="V167" s="39"/>
      <c r="W167" s="42"/>
    </row>
    <row r="168" spans="1:23" x14ac:dyDescent="0.35">
      <c r="A168" s="32"/>
      <c r="B168" s="32"/>
      <c r="C168" s="32"/>
      <c r="D168" s="32"/>
      <c r="E168" s="32"/>
      <c r="F168" s="32"/>
      <c r="G168" s="32"/>
      <c r="H168" s="32"/>
      <c r="I168" s="32"/>
      <c r="J168" s="34"/>
      <c r="K168" s="32"/>
      <c r="L168" s="32"/>
      <c r="M168" s="32"/>
      <c r="N168" s="32"/>
      <c r="O168" s="32"/>
      <c r="P168" s="32"/>
      <c r="Q168" s="37"/>
      <c r="R168" s="32"/>
      <c r="S168" s="32"/>
      <c r="T168" s="32"/>
      <c r="U168" s="32"/>
      <c r="V168" s="32"/>
      <c r="W168" s="38"/>
    </row>
    <row r="169" spans="1:23" x14ac:dyDescent="0.35">
      <c r="A169" s="39"/>
      <c r="B169" s="39"/>
      <c r="C169" s="39"/>
      <c r="D169" s="39"/>
      <c r="E169" s="39"/>
      <c r="F169" s="39"/>
      <c r="G169" s="39"/>
      <c r="H169" s="39"/>
      <c r="I169" s="39"/>
      <c r="J169" s="40"/>
      <c r="K169" s="39"/>
      <c r="L169" s="39"/>
      <c r="M169" s="39"/>
      <c r="N169" s="39"/>
      <c r="O169" s="39"/>
      <c r="P169" s="39"/>
      <c r="Q169" s="41"/>
      <c r="R169" s="39"/>
      <c r="S169" s="39"/>
      <c r="T169" s="39"/>
      <c r="U169" s="39"/>
      <c r="V169" s="39"/>
      <c r="W169" s="42"/>
    </row>
    <row r="170" spans="1:23" x14ac:dyDescent="0.35">
      <c r="A170" s="51"/>
      <c r="B170" s="51"/>
      <c r="C170" s="51"/>
      <c r="D170" s="51"/>
      <c r="E170" s="51"/>
      <c r="F170" s="51"/>
      <c r="G170" s="51"/>
      <c r="H170" s="51"/>
      <c r="I170" s="51"/>
      <c r="J170" s="52"/>
      <c r="K170" s="51"/>
      <c r="L170" s="51"/>
      <c r="M170" s="51"/>
      <c r="N170" s="51"/>
      <c r="O170" s="51"/>
      <c r="P170" s="51"/>
      <c r="Q170" s="53"/>
      <c r="R170" s="51"/>
      <c r="S170" s="51"/>
      <c r="T170" s="51"/>
      <c r="U170" s="51"/>
      <c r="V170" s="51"/>
      <c r="W170" s="5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64"/>
  <sheetViews>
    <sheetView workbookViewId="0">
      <selection activeCell="J11" sqref="J11"/>
    </sheetView>
  </sheetViews>
  <sheetFormatPr defaultRowHeight="14.5" x14ac:dyDescent="0.35"/>
  <cols>
    <col min="2" max="2" width="16.36328125" bestFit="1" customWidth="1"/>
    <col min="3" max="14" width="9.6328125" bestFit="1" customWidth="1"/>
  </cols>
  <sheetData>
    <row r="1" spans="1:15" x14ac:dyDescent="0.35">
      <c r="A1" s="12" t="s">
        <v>0</v>
      </c>
      <c r="B1" s="13" t="s">
        <v>1</v>
      </c>
      <c r="C1" s="14">
        <v>46113</v>
      </c>
      <c r="D1" s="14">
        <v>46143</v>
      </c>
      <c r="E1" s="14">
        <v>46174</v>
      </c>
      <c r="F1" s="14">
        <v>46204</v>
      </c>
      <c r="G1" s="14">
        <v>46235</v>
      </c>
      <c r="H1" s="14">
        <v>46266</v>
      </c>
      <c r="I1" s="14">
        <v>46296</v>
      </c>
      <c r="J1" s="14">
        <v>46327</v>
      </c>
      <c r="K1" s="14">
        <v>46357</v>
      </c>
      <c r="L1" s="14">
        <v>46388</v>
      </c>
      <c r="M1" s="14">
        <v>46419</v>
      </c>
      <c r="N1" s="14">
        <v>46447</v>
      </c>
      <c r="O1" s="12" t="s">
        <v>54</v>
      </c>
    </row>
    <row r="2" spans="1:15" x14ac:dyDescent="0.35">
      <c r="A2" s="10" t="s">
        <v>9</v>
      </c>
      <c r="B2" s="15" t="s">
        <v>9</v>
      </c>
      <c r="C2" s="16">
        <v>190053.55776565865</v>
      </c>
      <c r="D2" s="16">
        <v>227636.65632478247</v>
      </c>
      <c r="E2" s="16">
        <v>172736.18071804062</v>
      </c>
      <c r="F2" s="16">
        <v>205578.84821213907</v>
      </c>
      <c r="G2" s="16">
        <v>250826.70786830582</v>
      </c>
      <c r="H2" s="16">
        <v>393717.01019461418</v>
      </c>
      <c r="I2" s="16">
        <v>288952.27130070742</v>
      </c>
      <c r="J2" s="16">
        <v>367132.6221504276</v>
      </c>
      <c r="K2" s="16">
        <v>677193.28139733523</v>
      </c>
      <c r="L2" s="16">
        <v>528044.3611370225</v>
      </c>
      <c r="M2" s="16">
        <v>487687.56708971126</v>
      </c>
      <c r="N2" s="16">
        <v>451556.31916267134</v>
      </c>
      <c r="O2" s="10" t="s">
        <v>55</v>
      </c>
    </row>
    <row r="3" spans="1:15" x14ac:dyDescent="0.35">
      <c r="A3" s="17" t="s">
        <v>13</v>
      </c>
      <c r="B3" s="17" t="s">
        <v>13</v>
      </c>
      <c r="C3" s="16">
        <v>1238788.4569386472</v>
      </c>
      <c r="D3" s="16">
        <v>1080241.1453683665</v>
      </c>
      <c r="E3" s="16">
        <v>960682.68380392634</v>
      </c>
      <c r="F3" s="16">
        <v>1073640.3078553223</v>
      </c>
      <c r="G3" s="16">
        <v>1193689.1505791745</v>
      </c>
      <c r="H3" s="16">
        <v>1170212.3547063207</v>
      </c>
      <c r="I3" s="16">
        <v>1054869.4764985801</v>
      </c>
      <c r="J3" s="16">
        <v>940619.31850691908</v>
      </c>
      <c r="K3" s="16">
        <v>1170039.6826852199</v>
      </c>
      <c r="L3" s="16">
        <v>1163897.3365404399</v>
      </c>
      <c r="M3" s="16">
        <v>1089413.3619432696</v>
      </c>
      <c r="N3" s="16">
        <v>1033971.3268590876</v>
      </c>
      <c r="O3" s="10" t="s">
        <v>55</v>
      </c>
    </row>
    <row r="4" spans="1:15" x14ac:dyDescent="0.35">
      <c r="A4" s="10" t="s">
        <v>14</v>
      </c>
      <c r="B4" s="17" t="s">
        <v>16</v>
      </c>
      <c r="C4" s="16">
        <v>100470.29317355703</v>
      </c>
      <c r="D4" s="16">
        <v>77390.828574762971</v>
      </c>
      <c r="E4" s="16">
        <v>46293.57817805557</v>
      </c>
      <c r="F4" s="16">
        <v>73043.525763739235</v>
      </c>
      <c r="G4" s="16">
        <v>77436.853905849799</v>
      </c>
      <c r="H4" s="16">
        <v>86494.712764804775</v>
      </c>
      <c r="I4" s="16">
        <v>79944.330482420512</v>
      </c>
      <c r="J4" s="16">
        <v>125987.81049013692</v>
      </c>
      <c r="K4" s="16">
        <v>124745.61772641132</v>
      </c>
      <c r="L4" s="16">
        <v>137266.19026845609</v>
      </c>
      <c r="M4" s="16">
        <v>131559.3760210046</v>
      </c>
      <c r="N4" s="16">
        <v>129051.08324901889</v>
      </c>
      <c r="O4" s="10" t="s">
        <v>55</v>
      </c>
    </row>
    <row r="5" spans="1:15" x14ac:dyDescent="0.35">
      <c r="A5" s="10" t="s">
        <v>14</v>
      </c>
      <c r="B5" s="15" t="s">
        <v>15</v>
      </c>
      <c r="C5" s="16">
        <v>1108335.1661479664</v>
      </c>
      <c r="D5" s="16">
        <v>1028009.0860135073</v>
      </c>
      <c r="E5" s="16">
        <v>939711.64404554619</v>
      </c>
      <c r="F5" s="16">
        <v>1001669.8666879255</v>
      </c>
      <c r="G5" s="16">
        <v>1130540.247640067</v>
      </c>
      <c r="H5" s="16">
        <v>1056371.1068160413</v>
      </c>
      <c r="I5" s="16">
        <v>933369.0299695679</v>
      </c>
      <c r="J5" s="16">
        <v>920141.57983170624</v>
      </c>
      <c r="K5" s="16">
        <v>1212098.632002092</v>
      </c>
      <c r="L5" s="16">
        <v>992702.53521868575</v>
      </c>
      <c r="M5" s="16">
        <v>995401.92469487828</v>
      </c>
      <c r="N5" s="16">
        <v>941464.77243350295</v>
      </c>
      <c r="O5" s="10" t="s">
        <v>55</v>
      </c>
    </row>
    <row r="6" spans="1:15" x14ac:dyDescent="0.35">
      <c r="A6" s="10" t="s">
        <v>10</v>
      </c>
      <c r="B6" s="15" t="s">
        <v>10</v>
      </c>
      <c r="C6" s="16">
        <v>1518410.0261645445</v>
      </c>
      <c r="D6" s="16">
        <v>1270519.7081872937</v>
      </c>
      <c r="E6" s="16">
        <v>1070367.6121311053</v>
      </c>
      <c r="F6" s="16">
        <v>1503729.5860971897</v>
      </c>
      <c r="G6" s="16">
        <v>1172241.6099783394</v>
      </c>
      <c r="H6" s="16">
        <v>1069542.560646872</v>
      </c>
      <c r="I6" s="16">
        <v>1159497.9288042556</v>
      </c>
      <c r="J6" s="16">
        <v>1031857.8390389218</v>
      </c>
      <c r="K6" s="16">
        <v>1045049.7092607755</v>
      </c>
      <c r="L6" s="16">
        <v>1046607.0945533157</v>
      </c>
      <c r="M6" s="16">
        <v>999863.75552768027</v>
      </c>
      <c r="N6" s="16">
        <v>921180.84647538199</v>
      </c>
      <c r="O6" s="10" t="s">
        <v>55</v>
      </c>
    </row>
    <row r="7" spans="1:15" x14ac:dyDescent="0.35">
      <c r="A7" s="15" t="s">
        <v>11</v>
      </c>
      <c r="B7" s="15" t="s">
        <v>11</v>
      </c>
      <c r="C7" s="16">
        <v>1442558.3095265913</v>
      </c>
      <c r="D7" s="16">
        <v>1246077.2401243302</v>
      </c>
      <c r="E7" s="16">
        <v>1159707.0172842322</v>
      </c>
      <c r="F7" s="16">
        <v>1249148.5202252499</v>
      </c>
      <c r="G7" s="16">
        <v>1337464.3508931305</v>
      </c>
      <c r="H7" s="16">
        <v>1140459.1733545342</v>
      </c>
      <c r="I7" s="16">
        <v>1164411.0135394447</v>
      </c>
      <c r="J7" s="16">
        <v>1032182.3004485194</v>
      </c>
      <c r="K7" s="16">
        <v>1044370.11425747</v>
      </c>
      <c r="L7" s="16">
        <v>1045506.4862854941</v>
      </c>
      <c r="M7" s="16">
        <v>998580.62037813826</v>
      </c>
      <c r="N7" s="16">
        <v>924243.00289712637</v>
      </c>
      <c r="O7" s="10" t="s">
        <v>55</v>
      </c>
    </row>
    <row r="8" spans="1:15" x14ac:dyDescent="0.35">
      <c r="A8" s="15" t="s">
        <v>12</v>
      </c>
      <c r="B8" s="15" t="s">
        <v>12</v>
      </c>
      <c r="C8" s="16">
        <v>772731.27404659346</v>
      </c>
      <c r="D8" s="16">
        <v>674690.75761742878</v>
      </c>
      <c r="E8" s="16">
        <v>607856.37953567854</v>
      </c>
      <c r="F8" s="16">
        <v>697292.18303559953</v>
      </c>
      <c r="G8" s="16">
        <v>657301.77643918747</v>
      </c>
      <c r="H8" s="16">
        <v>634553.79035836656</v>
      </c>
      <c r="I8" s="16">
        <v>615480.76562742144</v>
      </c>
      <c r="J8" s="16">
        <v>549635.609338296</v>
      </c>
      <c r="K8" s="16">
        <v>663525.88689586485</v>
      </c>
      <c r="L8" s="16">
        <v>633577.83853506146</v>
      </c>
      <c r="M8" s="16">
        <v>603487.23985240574</v>
      </c>
      <c r="N8" s="16">
        <v>608598.74414246238</v>
      </c>
      <c r="O8" s="10" t="s">
        <v>55</v>
      </c>
    </row>
    <row r="9" spans="1:15" x14ac:dyDescent="0.35">
      <c r="A9" s="15" t="s">
        <v>28</v>
      </c>
      <c r="B9" s="15" t="s">
        <v>28</v>
      </c>
      <c r="C9" s="16">
        <v>96546.648183317797</v>
      </c>
      <c r="D9" s="16">
        <v>133921.5313615741</v>
      </c>
      <c r="E9" s="16">
        <v>145860.5129719892</v>
      </c>
      <c r="F9" s="16">
        <v>105972.23413770075</v>
      </c>
      <c r="G9" s="16">
        <v>150546.85195859807</v>
      </c>
      <c r="H9" s="16">
        <v>135954.37787847407</v>
      </c>
      <c r="I9" s="16">
        <v>147220.98853057422</v>
      </c>
      <c r="J9" s="16">
        <v>212414.35108799746</v>
      </c>
      <c r="K9" s="16">
        <v>222519.97078614187</v>
      </c>
      <c r="L9" s="16">
        <v>119372.28563599853</v>
      </c>
      <c r="M9" s="16">
        <v>156342.52910495715</v>
      </c>
      <c r="N9" s="16">
        <v>110249.8254101051</v>
      </c>
      <c r="O9" s="10" t="s">
        <v>55</v>
      </c>
    </row>
    <row r="10" spans="1:15" x14ac:dyDescent="0.35">
      <c r="A10" s="15" t="s">
        <v>27</v>
      </c>
      <c r="B10" s="15" t="s">
        <v>27</v>
      </c>
      <c r="C10" s="16">
        <v>72130.300754674143</v>
      </c>
      <c r="D10" s="16">
        <v>79680.975808986914</v>
      </c>
      <c r="E10" s="16">
        <v>73191.572113956019</v>
      </c>
      <c r="F10" s="16">
        <v>82743.928612041811</v>
      </c>
      <c r="G10" s="16">
        <v>70744.121770947022</v>
      </c>
      <c r="H10" s="16">
        <v>73504.264881859563</v>
      </c>
      <c r="I10" s="16">
        <v>78371.571888395512</v>
      </c>
      <c r="J10" s="16">
        <v>32784.195554211736</v>
      </c>
      <c r="K10" s="16">
        <v>140570.74870494704</v>
      </c>
      <c r="L10" s="16">
        <v>87002.910956388208</v>
      </c>
      <c r="M10" s="16">
        <v>66645.338599770563</v>
      </c>
      <c r="N10" s="16">
        <v>72988.028599770565</v>
      </c>
      <c r="O10" s="10" t="s">
        <v>55</v>
      </c>
    </row>
    <row r="11" spans="1:15" x14ac:dyDescent="0.35">
      <c r="A11" s="15" t="s">
        <v>25</v>
      </c>
      <c r="B11" s="15" t="s">
        <v>25</v>
      </c>
      <c r="C11" s="16">
        <v>168676.94893799193</v>
      </c>
      <c r="D11" s="16">
        <v>213602.507170561</v>
      </c>
      <c r="E11" s="16">
        <v>219052.0850859452</v>
      </c>
      <c r="F11" s="16">
        <v>188716.16274974257</v>
      </c>
      <c r="G11" s="16">
        <v>221290.97372954508</v>
      </c>
      <c r="H11" s="16">
        <v>209458.64276033363</v>
      </c>
      <c r="I11" s="16">
        <v>225592.56041896972</v>
      </c>
      <c r="J11" s="16">
        <v>245198.5466422092</v>
      </c>
      <c r="K11" s="16">
        <v>363090.71949108888</v>
      </c>
      <c r="L11" s="16">
        <v>206375.19659238675</v>
      </c>
      <c r="M11" s="16">
        <v>222987.86770472772</v>
      </c>
      <c r="N11" s="16">
        <v>183237.85400987568</v>
      </c>
      <c r="O11" s="10" t="s">
        <v>55</v>
      </c>
    </row>
    <row r="12" spans="1:15" x14ac:dyDescent="0.35">
      <c r="A12" s="15" t="s">
        <v>26</v>
      </c>
      <c r="B12" s="15" t="s">
        <v>26</v>
      </c>
      <c r="C12" s="16">
        <v>168676.94893799193</v>
      </c>
      <c r="D12" s="16">
        <v>213602.507170561</v>
      </c>
      <c r="E12" s="16">
        <v>219052.0850859452</v>
      </c>
      <c r="F12" s="16">
        <v>188716.16274974257</v>
      </c>
      <c r="G12" s="16">
        <v>221290.97372954508</v>
      </c>
      <c r="H12" s="16">
        <v>209458.64276033363</v>
      </c>
      <c r="I12" s="16">
        <v>225592.56041896972</v>
      </c>
      <c r="J12" s="16">
        <v>245198.5466422092</v>
      </c>
      <c r="K12" s="16">
        <v>363090.71949108888</v>
      </c>
      <c r="L12" s="16">
        <v>206375.19659238675</v>
      </c>
      <c r="M12" s="16">
        <v>222987.86770472772</v>
      </c>
      <c r="N12" s="16">
        <v>183237.85400987568</v>
      </c>
      <c r="O12" s="10" t="s">
        <v>55</v>
      </c>
    </row>
    <row r="13" spans="1:15" x14ac:dyDescent="0.35">
      <c r="A13" s="17" t="s">
        <v>17</v>
      </c>
      <c r="B13" s="10" t="s">
        <v>18</v>
      </c>
      <c r="C13" s="18">
        <v>112252.91138398668</v>
      </c>
      <c r="D13" s="18">
        <v>165692.45085088845</v>
      </c>
      <c r="E13" s="18">
        <v>114103.80933467718</v>
      </c>
      <c r="F13" s="18">
        <v>130436.13398491546</v>
      </c>
      <c r="G13" s="18">
        <v>114915.63766101819</v>
      </c>
      <c r="H13" s="18">
        <v>123084.28324758667</v>
      </c>
      <c r="I13" s="18">
        <v>109571.11223635124</v>
      </c>
      <c r="J13" s="18">
        <v>130904.65757053578</v>
      </c>
      <c r="K13" s="18">
        <v>162421.35760465695</v>
      </c>
      <c r="L13" s="18">
        <v>166076.48081126669</v>
      </c>
      <c r="M13" s="18">
        <v>170798.47120006668</v>
      </c>
      <c r="N13" s="18">
        <v>210645.28920006665</v>
      </c>
      <c r="O13" s="10" t="s">
        <v>56</v>
      </c>
    </row>
    <row r="14" spans="1:15" x14ac:dyDescent="0.35">
      <c r="A14" s="17" t="s">
        <v>17</v>
      </c>
      <c r="B14" s="17" t="s">
        <v>57</v>
      </c>
      <c r="C14" s="18">
        <v>24776.394560000001</v>
      </c>
      <c r="D14" s="18">
        <v>17312.448575000002</v>
      </c>
      <c r="E14" s="18">
        <v>17958.083989999999</v>
      </c>
      <c r="F14" s="18">
        <v>31250.290639999996</v>
      </c>
      <c r="G14" s="18">
        <v>58501.695890000003</v>
      </c>
      <c r="H14" s="18">
        <v>29612.5</v>
      </c>
      <c r="I14" s="18">
        <v>44805</v>
      </c>
      <c r="J14" s="18">
        <v>41509</v>
      </c>
      <c r="K14" s="18">
        <v>64589.755000000005</v>
      </c>
      <c r="L14" s="18">
        <v>99249.804814000003</v>
      </c>
      <c r="M14" s="18">
        <v>51551.5</v>
      </c>
      <c r="N14" s="18">
        <v>35998.5</v>
      </c>
      <c r="O14" s="10" t="s">
        <v>56</v>
      </c>
    </row>
    <row r="15" spans="1:15" x14ac:dyDescent="0.35">
      <c r="A15" s="17" t="s">
        <v>58</v>
      </c>
      <c r="B15" s="17" t="s">
        <v>59</v>
      </c>
      <c r="C15" s="18">
        <v>96326.28842105261</v>
      </c>
      <c r="D15" s="18">
        <v>83111.892105263192</v>
      </c>
      <c r="E15" s="18">
        <v>86394.534736842063</v>
      </c>
      <c r="F15" s="18">
        <v>77919.94315789477</v>
      </c>
      <c r="G15" s="18">
        <v>130832.62736842115</v>
      </c>
      <c r="H15" s="18">
        <v>165509.40631578953</v>
      </c>
      <c r="I15" s="18">
        <v>192346.40105263161</v>
      </c>
      <c r="J15" s="18">
        <v>151547.10473684216</v>
      </c>
      <c r="K15" s="18">
        <v>193751.39684210523</v>
      </c>
      <c r="L15" s="18">
        <v>236541.74610526284</v>
      </c>
      <c r="M15" s="18">
        <v>216059.34502923986</v>
      </c>
      <c r="N15" s="18">
        <v>190733.02923976618</v>
      </c>
      <c r="O15" s="10" t="s">
        <v>56</v>
      </c>
    </row>
    <row r="16" spans="1:15" x14ac:dyDescent="0.35">
      <c r="A16" s="17" t="s">
        <v>20</v>
      </c>
      <c r="B16" s="17" t="s">
        <v>60</v>
      </c>
      <c r="C16" s="18">
        <v>129572.20436027308</v>
      </c>
      <c r="D16" s="18">
        <v>143426.57123981504</v>
      </c>
      <c r="E16" s="18">
        <v>82226.31578947368</v>
      </c>
      <c r="F16" s="18">
        <v>87480.350877192977</v>
      </c>
      <c r="G16" s="18">
        <v>114311.47719298245</v>
      </c>
      <c r="H16" s="18">
        <v>155330.35087719298</v>
      </c>
      <c r="I16" s="19">
        <v>100160.35087719299</v>
      </c>
      <c r="J16" s="19">
        <v>182743.50877192983</v>
      </c>
      <c r="K16" s="19">
        <v>218937.19298245618</v>
      </c>
      <c r="L16" s="18">
        <v>233287.36842105267</v>
      </c>
      <c r="M16" s="18">
        <v>234664.81052631582</v>
      </c>
      <c r="N16" s="18">
        <v>235017.89473684214</v>
      </c>
      <c r="O16" s="10" t="s">
        <v>56</v>
      </c>
    </row>
    <row r="17" spans="1:15" x14ac:dyDescent="0.35">
      <c r="A17" s="17" t="s">
        <v>23</v>
      </c>
      <c r="B17" s="10" t="s">
        <v>23</v>
      </c>
      <c r="C17" s="16">
        <v>96546.648183317797</v>
      </c>
      <c r="D17" s="16">
        <v>133921.5313615741</v>
      </c>
      <c r="E17" s="16">
        <v>145860.5129719892</v>
      </c>
      <c r="F17" s="16">
        <v>105972.23413770075</v>
      </c>
      <c r="G17" s="16">
        <v>150546.85195859807</v>
      </c>
      <c r="H17" s="16">
        <v>135954.37787847407</v>
      </c>
      <c r="I17" s="16">
        <v>147220.98853057422</v>
      </c>
      <c r="J17" s="16">
        <v>212414.35108799746</v>
      </c>
      <c r="K17" s="16">
        <v>222519.97078614187</v>
      </c>
      <c r="L17" s="16">
        <v>119372.28563599853</v>
      </c>
      <c r="M17" s="16">
        <v>156342.52910495715</v>
      </c>
      <c r="N17" s="16">
        <v>110249.8254101051</v>
      </c>
      <c r="O17" s="10" t="s">
        <v>55</v>
      </c>
    </row>
    <row r="18" spans="1:15" x14ac:dyDescent="0.35">
      <c r="A18" s="17" t="s">
        <v>24</v>
      </c>
      <c r="B18" s="10" t="s">
        <v>24</v>
      </c>
      <c r="C18" s="16">
        <v>96546.648183317797</v>
      </c>
      <c r="D18" s="16">
        <v>133921.5313615741</v>
      </c>
      <c r="E18" s="16">
        <v>145860.5129719892</v>
      </c>
      <c r="F18" s="16">
        <v>105972.23413770075</v>
      </c>
      <c r="G18" s="16">
        <v>150546.85195859807</v>
      </c>
      <c r="H18" s="16">
        <v>135954.37787847407</v>
      </c>
      <c r="I18" s="16">
        <v>147220.98853057422</v>
      </c>
      <c r="J18" s="16">
        <v>212414.35108799746</v>
      </c>
      <c r="K18" s="16">
        <v>222519.97078614187</v>
      </c>
      <c r="L18" s="16">
        <v>119372.28563599853</v>
      </c>
      <c r="M18" s="16">
        <v>156342.52910495715</v>
      </c>
      <c r="N18" s="16">
        <v>110249.8254101051</v>
      </c>
      <c r="O18" s="10" t="s">
        <v>55</v>
      </c>
    </row>
    <row r="19" spans="1:15" x14ac:dyDescent="0.35">
      <c r="A19" s="17" t="s">
        <v>42</v>
      </c>
      <c r="B19" s="10" t="s">
        <v>42</v>
      </c>
      <c r="C19" s="20">
        <v>460411.64024567843</v>
      </c>
      <c r="D19" s="21">
        <v>318864.58668767568</v>
      </c>
      <c r="E19" s="21">
        <v>276183.06700537977</v>
      </c>
      <c r="F19" s="21">
        <v>375130.63631719211</v>
      </c>
      <c r="G19" s="20">
        <v>636810.07957177632</v>
      </c>
      <c r="H19" s="21">
        <v>340280.31888946606</v>
      </c>
      <c r="I19" s="19">
        <v>290110.77081198042</v>
      </c>
      <c r="J19" s="19">
        <v>238101.81614365615</v>
      </c>
      <c r="K19" s="19">
        <v>162912.3909009163</v>
      </c>
      <c r="L19" s="21">
        <v>144536.62180597585</v>
      </c>
      <c r="M19" s="21">
        <v>179386.83792063277</v>
      </c>
      <c r="N19" s="21">
        <v>197320.77728897543</v>
      </c>
      <c r="O19" s="10" t="s">
        <v>56</v>
      </c>
    </row>
    <row r="20" spans="1:15" x14ac:dyDescent="0.35">
      <c r="A20" s="17" t="s">
        <v>29</v>
      </c>
      <c r="B20" s="10" t="s">
        <v>30</v>
      </c>
      <c r="C20" s="22">
        <v>48046.267782426774</v>
      </c>
      <c r="D20" s="22">
        <v>105527.62</v>
      </c>
      <c r="E20" s="22">
        <v>24483.989890530505</v>
      </c>
      <c r="F20" s="22">
        <v>38286.911680288802</v>
      </c>
      <c r="G20" s="22">
        <v>60900.613056849863</v>
      </c>
      <c r="H20" s="22">
        <v>62006</v>
      </c>
      <c r="I20" s="22">
        <v>49680.333333333336</v>
      </c>
      <c r="J20" s="22">
        <v>100047.33333333334</v>
      </c>
      <c r="K20" s="22">
        <v>89580.473333333328</v>
      </c>
      <c r="L20" s="22">
        <v>84803.333333333328</v>
      </c>
      <c r="M20" s="22">
        <v>116836.33333333333</v>
      </c>
      <c r="N20" s="22">
        <v>62967.333333333328</v>
      </c>
      <c r="O20" s="10" t="s">
        <v>61</v>
      </c>
    </row>
    <row r="21" spans="1:15" x14ac:dyDescent="0.35">
      <c r="A21" s="17" t="s">
        <v>29</v>
      </c>
      <c r="B21" s="10" t="s">
        <v>31</v>
      </c>
      <c r="C21" s="22">
        <v>38977.96490376287</v>
      </c>
      <c r="D21" s="22">
        <v>40937.941270000003</v>
      </c>
      <c r="E21" s="22">
        <v>50338.300594999979</v>
      </c>
      <c r="F21" s="22">
        <v>42208.457549999999</v>
      </c>
      <c r="G21" s="22">
        <v>73162.589199999959</v>
      </c>
      <c r="H21" s="22">
        <v>127085.45407999998</v>
      </c>
      <c r="I21" s="22">
        <v>155250.95342999999</v>
      </c>
      <c r="J21" s="22">
        <v>106985.84198499999</v>
      </c>
      <c r="K21" s="22">
        <v>112379.77430999998</v>
      </c>
      <c r="L21" s="22">
        <v>134670.15675000002</v>
      </c>
      <c r="M21" s="22">
        <v>110708.8118333334</v>
      </c>
      <c r="N21" s="22">
        <v>111059.01183333341</v>
      </c>
      <c r="O21" s="10" t="s">
        <v>61</v>
      </c>
    </row>
    <row r="22" spans="1:15" x14ac:dyDescent="0.35">
      <c r="A22" s="17" t="s">
        <v>29</v>
      </c>
      <c r="B22" s="10" t="s">
        <v>32</v>
      </c>
      <c r="C22" s="22">
        <v>41310.012240000004</v>
      </c>
      <c r="D22" s="22">
        <v>75545.605439999999</v>
      </c>
      <c r="E22" s="22">
        <v>23691.285440000003</v>
      </c>
      <c r="F22" s="22">
        <v>27153.046773333332</v>
      </c>
      <c r="G22" s="22">
        <v>22208.593573333335</v>
      </c>
      <c r="H22" s="22">
        <v>25804.982773333333</v>
      </c>
      <c r="I22" s="22">
        <v>13645.477080000001</v>
      </c>
      <c r="J22" s="22">
        <v>47631.369440000002</v>
      </c>
      <c r="K22" s="22">
        <v>63749.180240000002</v>
      </c>
      <c r="L22" s="22">
        <v>61538.593690666668</v>
      </c>
      <c r="M22" s="22">
        <v>85902.736106666664</v>
      </c>
      <c r="N22" s="22">
        <v>116339.23610666666</v>
      </c>
      <c r="O22" s="10" t="s">
        <v>61</v>
      </c>
    </row>
    <row r="23" spans="1:15" x14ac:dyDescent="0.35">
      <c r="A23" s="17" t="s">
        <v>29</v>
      </c>
      <c r="B23" s="10" t="s">
        <v>33</v>
      </c>
      <c r="C23" s="22">
        <v>54425.196909999984</v>
      </c>
      <c r="D23" s="22">
        <v>38012.38175</v>
      </c>
      <c r="E23" s="22">
        <v>29375.574250000005</v>
      </c>
      <c r="F23" s="22">
        <v>25879.054364999996</v>
      </c>
      <c r="G23" s="22">
        <v>27139.098685000001</v>
      </c>
      <c r="H23" s="22">
        <v>22969</v>
      </c>
      <c r="I23" s="22">
        <v>24205</v>
      </c>
      <c r="J23" s="22">
        <v>24514</v>
      </c>
      <c r="K23" s="22">
        <v>36512.212500000001</v>
      </c>
      <c r="L23" s="22">
        <v>37096.6345</v>
      </c>
      <c r="M23" s="22">
        <v>61204.757277777804</v>
      </c>
      <c r="N23" s="22">
        <v>54921.757277777804</v>
      </c>
      <c r="O23" s="10" t="s">
        <v>61</v>
      </c>
    </row>
    <row r="24" spans="1:15" x14ac:dyDescent="0.35">
      <c r="A24" s="17" t="s">
        <v>29</v>
      </c>
      <c r="B24" s="10" t="s">
        <v>34</v>
      </c>
      <c r="C24" s="22">
        <v>850.67236499999956</v>
      </c>
      <c r="D24" s="22">
        <v>1103.0537800000002</v>
      </c>
      <c r="E24" s="22">
        <v>1817.8047700000004</v>
      </c>
      <c r="F24" s="22">
        <v>7763.3062149999987</v>
      </c>
      <c r="G24" s="22">
        <v>27718.037995000002</v>
      </c>
      <c r="H24" s="22">
        <v>11896.5</v>
      </c>
      <c r="I24" s="22">
        <v>8755</v>
      </c>
      <c r="J24" s="22">
        <v>16789</v>
      </c>
      <c r="K24" s="22">
        <v>40693.755000000005</v>
      </c>
      <c r="L24" s="22">
        <v>59689.307313999991</v>
      </c>
      <c r="M24" s="22">
        <v>39500.5</v>
      </c>
      <c r="N24" s="22">
        <v>20651.5</v>
      </c>
      <c r="O24" s="10" t="s">
        <v>61</v>
      </c>
    </row>
    <row r="25" spans="1:15" x14ac:dyDescent="0.35">
      <c r="A25" s="17" t="s">
        <v>29</v>
      </c>
      <c r="B25" s="10" t="s">
        <v>35</v>
      </c>
      <c r="C25" s="22">
        <v>312281.87841379881</v>
      </c>
      <c r="D25" s="22">
        <v>204155.63546010677</v>
      </c>
      <c r="E25" s="22">
        <v>282966.87632799282</v>
      </c>
      <c r="F25" s="22">
        <v>279914.37778341176</v>
      </c>
      <c r="G25" s="22">
        <v>251133.57588498687</v>
      </c>
      <c r="H25" s="22">
        <v>271358.74386837415</v>
      </c>
      <c r="I25" s="22">
        <v>239213.35798354057</v>
      </c>
      <c r="J25" s="22">
        <v>248995.67658953249</v>
      </c>
      <c r="K25" s="22">
        <v>348199.78716501564</v>
      </c>
      <c r="L25" s="22">
        <v>355959.46362425917</v>
      </c>
      <c r="M25" s="22">
        <v>268046.12194834836</v>
      </c>
      <c r="N25" s="22">
        <v>317268.37445953308</v>
      </c>
      <c r="O25" s="10" t="s">
        <v>61</v>
      </c>
    </row>
    <row r="26" spans="1:15" x14ac:dyDescent="0.35">
      <c r="A26" s="17" t="s">
        <v>29</v>
      </c>
      <c r="B26" s="10" t="s">
        <v>36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0" t="s">
        <v>61</v>
      </c>
    </row>
    <row r="27" spans="1:15" x14ac:dyDescent="0.35">
      <c r="A27" s="17" t="s">
        <v>29</v>
      </c>
      <c r="B27" s="10" t="s">
        <v>37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10" t="s">
        <v>61</v>
      </c>
    </row>
    <row r="28" spans="1:15" x14ac:dyDescent="0.35">
      <c r="A28" s="17" t="s">
        <v>29</v>
      </c>
      <c r="B28" s="10" t="s">
        <v>38</v>
      </c>
      <c r="C28" s="22">
        <v>194493.0164128957</v>
      </c>
      <c r="D28" s="22">
        <v>185935.82210072927</v>
      </c>
      <c r="E28" s="22">
        <v>171464.73456019169</v>
      </c>
      <c r="F28" s="22">
        <v>161996.20638619171</v>
      </c>
      <c r="G28" s="22">
        <v>182479.17071824931</v>
      </c>
      <c r="H28" s="22">
        <v>180874.7313361917</v>
      </c>
      <c r="I28" s="22">
        <v>179649.94597619167</v>
      </c>
      <c r="J28" s="22">
        <v>173868.50531864929</v>
      </c>
      <c r="K28" s="22">
        <v>192363.48799659163</v>
      </c>
      <c r="L28" s="22">
        <v>183034.81507659168</v>
      </c>
      <c r="M28" s="22">
        <v>186381.85995864929</v>
      </c>
      <c r="N28" s="22">
        <v>185694.4656265917</v>
      </c>
      <c r="O28" s="10" t="s">
        <v>61</v>
      </c>
    </row>
    <row r="29" spans="1:15" x14ac:dyDescent="0.35">
      <c r="A29" s="17" t="s">
        <v>29</v>
      </c>
      <c r="B29" s="10" t="s">
        <v>39</v>
      </c>
      <c r="C29" s="22">
        <v>459611.37344396516</v>
      </c>
      <c r="D29" s="22">
        <v>482563.21370105736</v>
      </c>
      <c r="E29" s="22">
        <v>417471.32471786463</v>
      </c>
      <c r="F29" s="22">
        <v>479893.39118447131</v>
      </c>
      <c r="G29" s="22">
        <v>498146.9816565513</v>
      </c>
      <c r="H29" s="22">
        <v>494568.46603653365</v>
      </c>
      <c r="I29" s="22">
        <v>499387.44745213015</v>
      </c>
      <c r="J29" s="22">
        <v>317584.63401827862</v>
      </c>
      <c r="K29" s="22">
        <v>389085.08381025778</v>
      </c>
      <c r="L29" s="22">
        <v>396245.45393985853</v>
      </c>
      <c r="M29" s="22">
        <v>406376.55300405034</v>
      </c>
      <c r="N29" s="22">
        <v>389817.46074597363</v>
      </c>
      <c r="O29" s="10" t="s">
        <v>61</v>
      </c>
    </row>
    <row r="30" spans="1:15" x14ac:dyDescent="0.35">
      <c r="A30" s="17" t="s">
        <v>29</v>
      </c>
      <c r="B30" s="10" t="s">
        <v>40</v>
      </c>
      <c r="C30" s="22">
        <v>409675.16584792006</v>
      </c>
      <c r="D30" s="22">
        <v>267390.98468818568</v>
      </c>
      <c r="E30" s="22">
        <v>253670.75036474565</v>
      </c>
      <c r="F30" s="22">
        <v>334033.24290322565</v>
      </c>
      <c r="G30" s="22">
        <v>582190.52490322571</v>
      </c>
      <c r="H30" s="22">
        <v>247693.13593818565</v>
      </c>
      <c r="I30" s="22">
        <v>227907.11248576961</v>
      </c>
      <c r="J30" s="22">
        <v>159735.33353426561</v>
      </c>
      <c r="K30" s="22">
        <v>93976.116534265602</v>
      </c>
      <c r="L30" s="22">
        <v>64120.536534265608</v>
      </c>
      <c r="M30" s="22">
        <v>63110.992334265604</v>
      </c>
      <c r="N30" s="22">
        <v>64767.232334265602</v>
      </c>
      <c r="O30" s="10" t="s">
        <v>61</v>
      </c>
    </row>
    <row r="31" spans="1:15" x14ac:dyDescent="0.35">
      <c r="A31" s="17" t="s">
        <v>29</v>
      </c>
      <c r="B31" s="10" t="s">
        <v>41</v>
      </c>
      <c r="C31" s="22">
        <v>1390.5</v>
      </c>
      <c r="D31" s="22">
        <v>1878.6041250000001</v>
      </c>
      <c r="E31" s="22">
        <v>3623.372625</v>
      </c>
      <c r="F31" s="22">
        <v>2505.3462500000001</v>
      </c>
      <c r="G31" s="22">
        <v>2678</v>
      </c>
      <c r="H31" s="22">
        <v>1390.5</v>
      </c>
      <c r="I31" s="22">
        <v>7063.74</v>
      </c>
      <c r="J31" s="22">
        <v>2678</v>
      </c>
      <c r="K31" s="22">
        <v>7230.6</v>
      </c>
      <c r="L31" s="22">
        <v>1030</v>
      </c>
      <c r="M31" s="22">
        <v>7436.6</v>
      </c>
      <c r="N31" s="22">
        <v>10094</v>
      </c>
      <c r="O31" s="10" t="s">
        <v>61</v>
      </c>
    </row>
    <row r="50" spans="1:31" x14ac:dyDescent="0.35">
      <c r="A50" s="23"/>
      <c r="B50" s="24"/>
      <c r="C50" s="25"/>
      <c r="D50" s="24"/>
      <c r="E50" s="24"/>
      <c r="F50" s="2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spans="1:31" x14ac:dyDescent="0.35">
      <c r="A51" s="26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4"/>
      <c r="N51" s="25"/>
      <c r="O51" s="25"/>
      <c r="P51" s="25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x14ac:dyDescent="0.35">
      <c r="A52" s="2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8"/>
      <c r="N52" s="18"/>
      <c r="O52" s="18"/>
      <c r="P52" s="18"/>
      <c r="Q52" s="16"/>
      <c r="R52" s="16"/>
      <c r="S52" s="20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x14ac:dyDescent="0.35">
      <c r="A53" s="2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8"/>
      <c r="N53" s="18"/>
      <c r="O53" s="18"/>
      <c r="P53" s="18"/>
      <c r="Q53" s="16"/>
      <c r="R53" s="16"/>
      <c r="S53" s="21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x14ac:dyDescent="0.35">
      <c r="A54" s="2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8"/>
      <c r="N54" s="18"/>
      <c r="O54" s="18"/>
      <c r="P54" s="18"/>
      <c r="Q54" s="16"/>
      <c r="R54" s="16"/>
      <c r="S54" s="21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x14ac:dyDescent="0.35">
      <c r="A55" s="27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8"/>
      <c r="N55" s="18"/>
      <c r="O55" s="18"/>
      <c r="P55" s="18"/>
      <c r="Q55" s="16"/>
      <c r="R55" s="16"/>
      <c r="S55" s="21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x14ac:dyDescent="0.35">
      <c r="A56" s="27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8"/>
      <c r="N56" s="18"/>
      <c r="O56" s="18"/>
      <c r="P56" s="18"/>
      <c r="Q56" s="16"/>
      <c r="R56" s="16"/>
      <c r="S56" s="20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x14ac:dyDescent="0.35">
      <c r="A57" s="2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8"/>
      <c r="N57" s="18"/>
      <c r="O57" s="18"/>
      <c r="P57" s="18"/>
      <c r="Q57" s="16"/>
      <c r="R57" s="16"/>
      <c r="S57" s="21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x14ac:dyDescent="0.35">
      <c r="A58" s="27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8"/>
      <c r="N58" s="18"/>
      <c r="O58" s="18"/>
      <c r="P58" s="19"/>
      <c r="Q58" s="16"/>
      <c r="R58" s="16"/>
      <c r="S58" s="19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x14ac:dyDescent="0.35">
      <c r="A59" s="27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8"/>
      <c r="N59" s="18"/>
      <c r="O59" s="18"/>
      <c r="P59" s="19"/>
      <c r="Q59" s="16"/>
      <c r="R59" s="16"/>
      <c r="S59" s="19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x14ac:dyDescent="0.35">
      <c r="A60" s="27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8"/>
      <c r="N60" s="18"/>
      <c r="O60" s="18"/>
      <c r="P60" s="19"/>
      <c r="Q60" s="16"/>
      <c r="R60" s="16"/>
      <c r="S60" s="19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x14ac:dyDescent="0.35">
      <c r="A61" s="27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8"/>
      <c r="N61" s="18"/>
      <c r="O61" s="18"/>
      <c r="P61" s="18"/>
      <c r="Q61" s="16"/>
      <c r="R61" s="16"/>
      <c r="S61" s="21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x14ac:dyDescent="0.35">
      <c r="A62" s="27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8"/>
      <c r="N62" s="18"/>
      <c r="O62" s="18"/>
      <c r="P62" s="18"/>
      <c r="Q62" s="16"/>
      <c r="R62" s="16"/>
      <c r="S62" s="21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35">
      <c r="A63" s="27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8"/>
      <c r="N63" s="18"/>
      <c r="O63" s="18"/>
      <c r="P63" s="18"/>
      <c r="Q63" s="16"/>
      <c r="R63" s="16"/>
      <c r="S63" s="21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35">
      <c r="A64" s="12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tabSelected="1" topLeftCell="A2" workbookViewId="0">
      <selection activeCell="M7" sqref="M7"/>
    </sheetView>
  </sheetViews>
  <sheetFormatPr defaultRowHeight="14.5" x14ac:dyDescent="0.35"/>
  <cols>
    <col min="1" max="1" width="17.81640625" customWidth="1"/>
    <col min="2" max="2" width="17.26953125" customWidth="1"/>
    <col min="5" max="5" width="8.7265625" style="11" customWidth="1"/>
    <col min="6" max="6" width="11.08984375" customWidth="1"/>
    <col min="7" max="7" width="8.7265625" style="11"/>
    <col min="8" max="8" width="12.90625" customWidth="1"/>
    <col min="9" max="9" width="9.36328125" bestFit="1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3" t="s">
        <v>9</v>
      </c>
      <c r="C2" s="4">
        <v>46113</v>
      </c>
      <c r="D2" s="3">
        <v>21686.572054917757</v>
      </c>
      <c r="E2" s="5">
        <f>D2/H2</f>
        <v>2710.8215068647196</v>
      </c>
      <c r="F2" s="6">
        <f>BP_Structured!C2</f>
        <v>190053.55776565865</v>
      </c>
      <c r="G2" s="7">
        <f>F2/DAY(EOMONTH(C2,0))</f>
        <v>6335.1185921886217</v>
      </c>
      <c r="H2" s="3">
        <v>8</v>
      </c>
      <c r="I2" s="5">
        <f>IF(G2&gt;D2,H2,G2/E2)</f>
        <v>2.3369737093150369</v>
      </c>
    </row>
    <row r="3" spans="1:9" x14ac:dyDescent="0.35">
      <c r="A3" s="3" t="s">
        <v>10</v>
      </c>
      <c r="B3" s="3" t="s">
        <v>10</v>
      </c>
      <c r="C3" s="4">
        <v>46113</v>
      </c>
      <c r="D3" s="3">
        <v>32121.952127873319</v>
      </c>
      <c r="E3" s="5">
        <f t="shared" ref="E3:E30" si="0">D3/H3</f>
        <v>2676.8293439894433</v>
      </c>
      <c r="F3" s="3">
        <f>BP_Structured!C6</f>
        <v>1518410.0261645445</v>
      </c>
      <c r="G3" s="7">
        <f t="shared" ref="G3:G16" si="1">F3/DAY(EOMONTH(C3,0))</f>
        <v>50613.667538818154</v>
      </c>
      <c r="H3" s="3">
        <v>12</v>
      </c>
      <c r="I3" s="5">
        <f t="shared" ref="I3:I30" si="2">IF(G3&gt;D3,H3,G3/E3)</f>
        <v>12</v>
      </c>
    </row>
    <row r="4" spans="1:9" x14ac:dyDescent="0.35">
      <c r="A4" s="3" t="s">
        <v>11</v>
      </c>
      <c r="B4" s="3" t="s">
        <v>11</v>
      </c>
      <c r="C4" s="4">
        <v>46113</v>
      </c>
      <c r="D4" s="3">
        <v>29388.132885879077</v>
      </c>
      <c r="E4" s="5">
        <f t="shared" si="0"/>
        <v>3673.5166107348846</v>
      </c>
      <c r="F4" s="3">
        <f>BP_Structured!C7</f>
        <v>1442558.3095265913</v>
      </c>
      <c r="G4" s="7">
        <f t="shared" si="1"/>
        <v>48085.276984219709</v>
      </c>
      <c r="H4" s="3">
        <v>8</v>
      </c>
      <c r="I4" s="5">
        <f t="shared" si="2"/>
        <v>8</v>
      </c>
    </row>
    <row r="5" spans="1:9" x14ac:dyDescent="0.35">
      <c r="A5" s="3" t="s">
        <v>12</v>
      </c>
      <c r="B5" s="3" t="s">
        <v>12</v>
      </c>
      <c r="C5" s="4">
        <v>46113</v>
      </c>
      <c r="D5" s="3">
        <v>14098.760124344617</v>
      </c>
      <c r="E5" s="5">
        <f t="shared" si="0"/>
        <v>3524.6900310861542</v>
      </c>
      <c r="F5" s="3">
        <f>BP_Structured!C8</f>
        <v>772731.27404659346</v>
      </c>
      <c r="G5" s="7">
        <f t="shared" si="1"/>
        <v>25757.709134886449</v>
      </c>
      <c r="H5" s="3">
        <v>4</v>
      </c>
      <c r="I5" s="5">
        <f t="shared" si="2"/>
        <v>4</v>
      </c>
    </row>
    <row r="6" spans="1:9" x14ac:dyDescent="0.35">
      <c r="A6" s="3" t="s">
        <v>13</v>
      </c>
      <c r="B6" s="3" t="s">
        <v>13</v>
      </c>
      <c r="C6" s="4">
        <v>46113</v>
      </c>
      <c r="D6" s="3">
        <v>39644.342969220605</v>
      </c>
      <c r="E6" s="5">
        <f t="shared" si="0"/>
        <v>2086.5443668010844</v>
      </c>
      <c r="F6" s="3">
        <f>BP_Structured!C3</f>
        <v>1238788.4569386472</v>
      </c>
      <c r="G6" s="7">
        <f t="shared" si="1"/>
        <v>41292.948564621576</v>
      </c>
      <c r="H6" s="3">
        <v>19</v>
      </c>
      <c r="I6" s="5">
        <f t="shared" si="2"/>
        <v>19</v>
      </c>
    </row>
    <row r="7" spans="1:9" x14ac:dyDescent="0.35">
      <c r="A7" s="3" t="s">
        <v>14</v>
      </c>
      <c r="B7" s="3" t="s">
        <v>15</v>
      </c>
      <c r="C7" s="4">
        <v>46113</v>
      </c>
      <c r="D7" s="3">
        <v>36510.719570498157</v>
      </c>
      <c r="E7" s="5">
        <f t="shared" si="0"/>
        <v>7302.1439140996317</v>
      </c>
      <c r="F7" s="3">
        <f>BP_Structured!C5</f>
        <v>1108335.1661479664</v>
      </c>
      <c r="G7" s="7">
        <f t="shared" si="1"/>
        <v>36944.505538265548</v>
      </c>
      <c r="H7" s="3">
        <v>5</v>
      </c>
      <c r="I7" s="5">
        <f t="shared" si="2"/>
        <v>5</v>
      </c>
    </row>
    <row r="8" spans="1:9" x14ac:dyDescent="0.35">
      <c r="A8" s="3" t="s">
        <v>14</v>
      </c>
      <c r="B8" s="3" t="s">
        <v>16</v>
      </c>
      <c r="C8" s="4">
        <v>46113</v>
      </c>
      <c r="D8" s="3">
        <v>8671.7067023751606</v>
      </c>
      <c r="E8" s="5">
        <f t="shared" si="0"/>
        <v>8671.7067023751606</v>
      </c>
      <c r="F8" s="3">
        <f>BP_Structured!C4</f>
        <v>100470.29317355703</v>
      </c>
      <c r="G8" s="7">
        <f t="shared" si="1"/>
        <v>3349.009772451901</v>
      </c>
      <c r="H8" s="3">
        <v>1</v>
      </c>
      <c r="I8" s="5">
        <f t="shared" si="2"/>
        <v>0.38619961299366995</v>
      </c>
    </row>
    <row r="9" spans="1:9" x14ac:dyDescent="0.35">
      <c r="A9" s="3" t="s">
        <v>17</v>
      </c>
      <c r="B9" s="3" t="s">
        <v>18</v>
      </c>
      <c r="C9" s="4">
        <v>46113</v>
      </c>
      <c r="D9" s="3">
        <v>3314.4422400000003</v>
      </c>
      <c r="E9" s="5">
        <f t="shared" si="0"/>
        <v>3314.4422400000003</v>
      </c>
      <c r="F9" s="8">
        <f>BP_Structured!C13</f>
        <v>112252.91138398668</v>
      </c>
      <c r="G9" s="7">
        <f t="shared" si="1"/>
        <v>3741.7637127995558</v>
      </c>
      <c r="H9" s="3">
        <v>1</v>
      </c>
      <c r="I9" s="5">
        <f t="shared" si="2"/>
        <v>1</v>
      </c>
    </row>
    <row r="10" spans="1:9" x14ac:dyDescent="0.35">
      <c r="A10" s="3" t="s">
        <v>17</v>
      </c>
      <c r="B10" s="3" t="s">
        <v>19</v>
      </c>
      <c r="C10" s="4">
        <v>46113</v>
      </c>
      <c r="D10" s="3">
        <v>2480.0255999999995</v>
      </c>
      <c r="E10" s="5">
        <f t="shared" si="0"/>
        <v>2480.0255999999995</v>
      </c>
      <c r="F10" s="8">
        <f>BP_Structured!C14</f>
        <v>24776.394560000001</v>
      </c>
      <c r="G10" s="7">
        <f t="shared" si="1"/>
        <v>825.87981866666667</v>
      </c>
      <c r="H10" s="3">
        <v>1</v>
      </c>
      <c r="I10" s="5">
        <f t="shared" si="2"/>
        <v>0.33301261836436963</v>
      </c>
    </row>
    <row r="11" spans="1:9" x14ac:dyDescent="0.35">
      <c r="A11" s="3" t="s">
        <v>20</v>
      </c>
      <c r="B11" s="3" t="s">
        <v>21</v>
      </c>
      <c r="C11" s="4">
        <v>46113</v>
      </c>
      <c r="D11" s="3">
        <v>14758.224657534249</v>
      </c>
      <c r="E11" s="5">
        <f t="shared" si="0"/>
        <v>14758.224657534249</v>
      </c>
      <c r="F11" s="8">
        <f>BP_Structured!C15</f>
        <v>96326.28842105261</v>
      </c>
      <c r="G11" s="7">
        <f t="shared" si="1"/>
        <v>3210.8762807017538</v>
      </c>
      <c r="H11" s="3">
        <v>1</v>
      </c>
      <c r="I11" s="5">
        <f t="shared" si="2"/>
        <v>0.21756521229418765</v>
      </c>
    </row>
    <row r="12" spans="1:9" x14ac:dyDescent="0.35">
      <c r="A12" s="3" t="s">
        <v>20</v>
      </c>
      <c r="B12" s="3" t="s">
        <v>22</v>
      </c>
      <c r="C12" s="4">
        <v>46113</v>
      </c>
      <c r="D12" s="3">
        <v>19608.370339724454</v>
      </c>
      <c r="E12" s="5">
        <f t="shared" si="0"/>
        <v>19608.370339724454</v>
      </c>
      <c r="F12" s="8">
        <f>BP_Structured!C16</f>
        <v>129572.20436027308</v>
      </c>
      <c r="G12" s="7">
        <f t="shared" si="1"/>
        <v>4319.0734786757694</v>
      </c>
      <c r="H12" s="3">
        <v>1</v>
      </c>
      <c r="I12" s="5">
        <f t="shared" si="2"/>
        <v>0.2202668250265444</v>
      </c>
    </row>
    <row r="13" spans="1:9" x14ac:dyDescent="0.35">
      <c r="A13" s="3" t="s">
        <v>23</v>
      </c>
      <c r="B13" s="3" t="s">
        <v>23</v>
      </c>
      <c r="C13" s="4">
        <v>46113</v>
      </c>
      <c r="D13" s="3">
        <v>8432.052022485288</v>
      </c>
      <c r="E13" s="5">
        <f t="shared" si="0"/>
        <v>2108.013005621322</v>
      </c>
      <c r="F13" s="3">
        <f>BP_Structured!C17</f>
        <v>96546.648183317797</v>
      </c>
      <c r="G13" s="7">
        <f t="shared" si="1"/>
        <v>3218.2216061105933</v>
      </c>
      <c r="H13" s="3">
        <v>4</v>
      </c>
      <c r="I13" s="5">
        <f t="shared" si="2"/>
        <v>1.5266611721695924</v>
      </c>
    </row>
    <row r="14" spans="1:9" x14ac:dyDescent="0.35">
      <c r="A14" s="3" t="s">
        <v>24</v>
      </c>
      <c r="B14" s="3" t="s">
        <v>24</v>
      </c>
      <c r="C14" s="4">
        <v>46113</v>
      </c>
      <c r="D14" s="3">
        <v>6355.8245922683145</v>
      </c>
      <c r="E14" s="5">
        <f t="shared" si="0"/>
        <v>423.72163948455432</v>
      </c>
      <c r="F14" s="3">
        <f>BP_Structured!C18</f>
        <v>96546.648183317797</v>
      </c>
      <c r="G14" s="7">
        <f t="shared" si="1"/>
        <v>3218.2216061105933</v>
      </c>
      <c r="H14" s="3">
        <v>15</v>
      </c>
      <c r="I14" s="5">
        <f t="shared" si="2"/>
        <v>7.5951315821997456</v>
      </c>
    </row>
    <row r="15" spans="1:9" x14ac:dyDescent="0.35">
      <c r="A15" s="3" t="s">
        <v>25</v>
      </c>
      <c r="B15" s="3" t="s">
        <v>25</v>
      </c>
      <c r="C15" s="4">
        <v>46113</v>
      </c>
      <c r="D15" s="3">
        <v>21534.375779107126</v>
      </c>
      <c r="E15" s="5">
        <f t="shared" si="0"/>
        <v>5383.5939447767814</v>
      </c>
      <c r="F15" s="3">
        <f>BP_Structured!C11</f>
        <v>168676.94893799193</v>
      </c>
      <c r="G15" s="7">
        <f t="shared" si="1"/>
        <v>5622.564964599731</v>
      </c>
      <c r="H15" s="3">
        <v>4</v>
      </c>
      <c r="I15" s="5">
        <f>ROUNDUP(IF(G15&gt;D15,H15,G15/E15),0)</f>
        <v>2</v>
      </c>
    </row>
    <row r="16" spans="1:9" x14ac:dyDescent="0.35">
      <c r="A16" s="3" t="s">
        <v>26</v>
      </c>
      <c r="B16" s="3" t="s">
        <v>26</v>
      </c>
      <c r="C16" s="4">
        <v>46113</v>
      </c>
      <c r="D16" s="3">
        <v>11869.222152485861</v>
      </c>
      <c r="E16" s="5">
        <f t="shared" si="0"/>
        <v>2373.8444304971722</v>
      </c>
      <c r="F16" s="3">
        <f>BP_Structured!C12</f>
        <v>168676.94893799193</v>
      </c>
      <c r="G16" s="7">
        <f t="shared" si="1"/>
        <v>5622.564964599731</v>
      </c>
      <c r="H16" s="3">
        <v>5</v>
      </c>
      <c r="I16" s="5">
        <f>ROUNDUP(IF(G16&gt;D16,H16,G16/E16),0)</f>
        <v>3</v>
      </c>
    </row>
    <row r="17" spans="1:9" x14ac:dyDescent="0.35">
      <c r="A17" s="3" t="s">
        <v>27</v>
      </c>
      <c r="B17" s="3" t="s">
        <v>27</v>
      </c>
      <c r="C17" s="4">
        <v>46113</v>
      </c>
      <c r="D17" s="3">
        <v>7570.8154506437768</v>
      </c>
      <c r="E17" s="5">
        <f t="shared" si="0"/>
        <v>7570.8154506437768</v>
      </c>
      <c r="F17" s="3">
        <f>BP_Structured!C10</f>
        <v>72130.300754674143</v>
      </c>
      <c r="G17" s="9">
        <f>F17/DAY(EOMONTH(C17,0))+101</f>
        <v>2505.3433584891382</v>
      </c>
      <c r="H17" s="3">
        <v>1</v>
      </c>
      <c r="I17" s="5">
        <f t="shared" si="2"/>
        <v>0.33092120324714808</v>
      </c>
    </row>
    <row r="18" spans="1:9" x14ac:dyDescent="0.35">
      <c r="A18" s="3" t="s">
        <v>28</v>
      </c>
      <c r="B18" s="3" t="s">
        <v>28</v>
      </c>
      <c r="C18" s="4">
        <v>46113</v>
      </c>
      <c r="D18" s="3">
        <v>11869.222152485861</v>
      </c>
      <c r="E18" s="5" t="e">
        <f t="shared" si="0"/>
        <v>#DIV/0!</v>
      </c>
      <c r="F18" s="3">
        <f>BP_Structured!C9</f>
        <v>96546.648183317797</v>
      </c>
      <c r="G18" s="7">
        <f>F18/DAY(EOMONTH(C18,0))</f>
        <v>3218.2216061105933</v>
      </c>
      <c r="H18" s="3"/>
      <c r="I18" s="5" t="e">
        <f t="shared" si="2"/>
        <v>#DIV/0!</v>
      </c>
    </row>
    <row r="19" spans="1:9" x14ac:dyDescent="0.35">
      <c r="A19" s="3" t="s">
        <v>29</v>
      </c>
      <c r="B19" s="3" t="s">
        <v>30</v>
      </c>
      <c r="C19" s="4">
        <v>46113</v>
      </c>
      <c r="D19" s="3">
        <v>3036.5252730505499</v>
      </c>
      <c r="E19" s="5">
        <f t="shared" si="0"/>
        <v>3036.5252730505499</v>
      </c>
      <c r="F19" s="3">
        <f>BP_Structured!C20</f>
        <v>48046.267782426774</v>
      </c>
      <c r="G19" s="7">
        <f t="shared" ref="G19:G30" si="3">F19/DAY(EOMONTH(C19,0))</f>
        <v>1601.5422594142258</v>
      </c>
      <c r="H19" s="3">
        <v>1</v>
      </c>
      <c r="I19" s="5">
        <f t="shared" si="2"/>
        <v>0.52742596072822623</v>
      </c>
    </row>
    <row r="20" spans="1:9" x14ac:dyDescent="0.35">
      <c r="A20" s="3" t="s">
        <v>29</v>
      </c>
      <c r="B20" s="3" t="s">
        <v>31</v>
      </c>
      <c r="C20" s="4">
        <v>46113</v>
      </c>
      <c r="D20" s="3">
        <v>3608.7736691602422</v>
      </c>
      <c r="E20" s="5">
        <f t="shared" si="0"/>
        <v>3608.7736691602422</v>
      </c>
      <c r="F20" s="3">
        <f>BP_Structured!C21</f>
        <v>38977.96490376287</v>
      </c>
      <c r="G20" s="7">
        <f t="shared" si="3"/>
        <v>1299.2654967920957</v>
      </c>
      <c r="H20" s="3">
        <v>1</v>
      </c>
      <c r="I20" s="5">
        <f t="shared" si="2"/>
        <v>0.36002964328168396</v>
      </c>
    </row>
    <row r="21" spans="1:9" x14ac:dyDescent="0.35">
      <c r="A21" s="3" t="s">
        <v>29</v>
      </c>
      <c r="B21" s="3" t="s">
        <v>32</v>
      </c>
      <c r="C21" s="4">
        <v>46113</v>
      </c>
      <c r="D21" s="3">
        <v>4346.1835293235808</v>
      </c>
      <c r="E21" s="5">
        <f t="shared" si="0"/>
        <v>4346.1835293235808</v>
      </c>
      <c r="F21" s="3">
        <f>BP_Structured!C22</f>
        <v>41310.012240000004</v>
      </c>
      <c r="G21" s="7">
        <f t="shared" si="3"/>
        <v>1377.0004080000001</v>
      </c>
      <c r="H21" s="3">
        <v>1</v>
      </c>
      <c r="I21" s="5">
        <f t="shared" si="2"/>
        <v>0.31682978841307924</v>
      </c>
    </row>
    <row r="22" spans="1:9" x14ac:dyDescent="0.35">
      <c r="A22" s="3" t="s">
        <v>29</v>
      </c>
      <c r="B22" s="3" t="s">
        <v>33</v>
      </c>
      <c r="C22" s="4">
        <v>46113</v>
      </c>
      <c r="D22" s="3">
        <v>1528.5668146058749</v>
      </c>
      <c r="E22" s="5">
        <f t="shared" si="0"/>
        <v>1528.5668146058749</v>
      </c>
      <c r="F22" s="3">
        <f>BP_Structured!C23</f>
        <v>54425.196909999984</v>
      </c>
      <c r="G22" s="7">
        <f t="shared" si="3"/>
        <v>1814.1732303333329</v>
      </c>
      <c r="H22" s="3">
        <v>1</v>
      </c>
      <c r="I22" s="5">
        <f t="shared" si="2"/>
        <v>1</v>
      </c>
    </row>
    <row r="23" spans="1:9" x14ac:dyDescent="0.35">
      <c r="A23" s="3" t="s">
        <v>29</v>
      </c>
      <c r="B23" s="3" t="s">
        <v>34</v>
      </c>
      <c r="C23" s="4">
        <v>46113</v>
      </c>
      <c r="D23" s="3">
        <v>2237.4396748793502</v>
      </c>
      <c r="E23" s="5">
        <f t="shared" si="0"/>
        <v>2237.4396748793502</v>
      </c>
      <c r="F23" s="3">
        <f>BP_Structured!C24</f>
        <v>850.67236499999956</v>
      </c>
      <c r="G23" s="7">
        <f t="shared" si="3"/>
        <v>28.355745499999987</v>
      </c>
      <c r="H23" s="3">
        <v>1</v>
      </c>
      <c r="I23" s="5">
        <f t="shared" si="2"/>
        <v>1.2673300566876298E-2</v>
      </c>
    </row>
    <row r="24" spans="1:9" x14ac:dyDescent="0.35">
      <c r="A24" s="3" t="s">
        <v>29</v>
      </c>
      <c r="B24" s="3" t="s">
        <v>35</v>
      </c>
      <c r="C24" s="4">
        <v>46113</v>
      </c>
      <c r="D24" s="3">
        <v>3208.0936514814207</v>
      </c>
      <c r="E24" s="5">
        <f t="shared" si="0"/>
        <v>802.02341287035517</v>
      </c>
      <c r="F24" s="3">
        <f>BP_Structured!C25</f>
        <v>312281.87841379881</v>
      </c>
      <c r="G24" s="7">
        <f t="shared" si="3"/>
        <v>10409.395947126626</v>
      </c>
      <c r="H24" s="3">
        <v>4</v>
      </c>
      <c r="I24" s="5">
        <f t="shared" si="2"/>
        <v>4</v>
      </c>
    </row>
    <row r="25" spans="1:9" x14ac:dyDescent="0.35">
      <c r="A25" s="3" t="s">
        <v>29</v>
      </c>
      <c r="B25" s="3" t="s">
        <v>36</v>
      </c>
      <c r="C25" s="4">
        <v>46113</v>
      </c>
      <c r="D25" s="3"/>
      <c r="E25" s="5" t="e">
        <f t="shared" si="0"/>
        <v>#DIV/0!</v>
      </c>
      <c r="F25" s="3">
        <f>BP_Structured!C26</f>
        <v>0</v>
      </c>
      <c r="G25" s="7">
        <f t="shared" si="3"/>
        <v>0</v>
      </c>
      <c r="H25" s="3"/>
      <c r="I25" s="5" t="e">
        <f t="shared" si="2"/>
        <v>#DIV/0!</v>
      </c>
    </row>
    <row r="26" spans="1:9" x14ac:dyDescent="0.35">
      <c r="A26" s="3" t="s">
        <v>29</v>
      </c>
      <c r="B26" s="3" t="s">
        <v>37</v>
      </c>
      <c r="C26" s="4">
        <v>46113</v>
      </c>
      <c r="D26" s="3"/>
      <c r="E26" s="5" t="e">
        <f t="shared" si="0"/>
        <v>#DIV/0!</v>
      </c>
      <c r="F26" s="3">
        <f>BP_Structured!C27</f>
        <v>0</v>
      </c>
      <c r="G26" s="7">
        <f t="shared" si="3"/>
        <v>0</v>
      </c>
      <c r="H26" s="3"/>
      <c r="I26" s="5" t="e">
        <f t="shared" si="2"/>
        <v>#DIV/0!</v>
      </c>
    </row>
    <row r="27" spans="1:9" x14ac:dyDescent="0.35">
      <c r="A27" s="3" t="s">
        <v>29</v>
      </c>
      <c r="B27" s="3" t="s">
        <v>38</v>
      </c>
      <c r="C27" s="4">
        <v>46113</v>
      </c>
      <c r="D27" s="3">
        <v>2460.9525019050038</v>
      </c>
      <c r="E27" s="5">
        <f t="shared" si="0"/>
        <v>1230.4762509525019</v>
      </c>
      <c r="F27" s="3">
        <f>BP_Structured!C28</f>
        <v>194493.0164128957</v>
      </c>
      <c r="G27" s="7">
        <f t="shared" si="3"/>
        <v>6483.1005470965229</v>
      </c>
      <c r="H27" s="3">
        <v>2</v>
      </c>
      <c r="I27" s="5">
        <f t="shared" si="2"/>
        <v>2</v>
      </c>
    </row>
    <row r="28" spans="1:9" x14ac:dyDescent="0.35">
      <c r="A28" s="3" t="s">
        <v>29</v>
      </c>
      <c r="B28" s="3" t="s">
        <v>39</v>
      </c>
      <c r="C28" s="4">
        <v>46113</v>
      </c>
      <c r="D28" s="3">
        <v>5656.1849123698248</v>
      </c>
      <c r="E28" s="5">
        <f t="shared" si="0"/>
        <v>1414.0462280924562</v>
      </c>
      <c r="F28" s="3">
        <f>BP_Structured!C29</f>
        <v>459611.37344396516</v>
      </c>
      <c r="G28" s="7">
        <f t="shared" si="3"/>
        <v>15320.37911479884</v>
      </c>
      <c r="H28" s="3">
        <v>4</v>
      </c>
      <c r="I28" s="5">
        <f t="shared" si="2"/>
        <v>4</v>
      </c>
    </row>
    <row r="29" spans="1:9" x14ac:dyDescent="0.35">
      <c r="A29" s="3" t="s">
        <v>29</v>
      </c>
      <c r="B29" s="3" t="s">
        <v>40</v>
      </c>
      <c r="C29" s="4">
        <v>46113</v>
      </c>
      <c r="D29" s="3">
        <v>2748.5789109509265</v>
      </c>
      <c r="E29" s="5">
        <f t="shared" si="0"/>
        <v>1374.2894554754632</v>
      </c>
      <c r="F29" s="3">
        <f>BP_Structured!C30</f>
        <v>409675.16584792006</v>
      </c>
      <c r="G29" s="7">
        <f t="shared" si="3"/>
        <v>13655.838861597334</v>
      </c>
      <c r="H29" s="3">
        <v>2</v>
      </c>
      <c r="I29" s="5">
        <f t="shared" si="2"/>
        <v>2</v>
      </c>
    </row>
    <row r="30" spans="1:9" x14ac:dyDescent="0.35">
      <c r="A30" s="3" t="s">
        <v>29</v>
      </c>
      <c r="B30" s="3" t="s">
        <v>41</v>
      </c>
      <c r="C30" s="4">
        <v>46113</v>
      </c>
      <c r="D30" s="3">
        <v>2908.6715773431551</v>
      </c>
      <c r="E30" s="5">
        <f t="shared" si="0"/>
        <v>2908.6715773431551</v>
      </c>
      <c r="F30" s="3">
        <f>BP_Structured!C31</f>
        <v>1390.5</v>
      </c>
      <c r="G30" s="7">
        <f t="shared" si="3"/>
        <v>46.35</v>
      </c>
      <c r="H30" s="3">
        <v>1</v>
      </c>
      <c r="I30" s="5">
        <f t="shared" si="2"/>
        <v>1.593510947094863E-2</v>
      </c>
    </row>
    <row r="31" spans="1:9" x14ac:dyDescent="0.35">
      <c r="A31" s="3" t="s">
        <v>42</v>
      </c>
      <c r="B31" s="3" t="s">
        <v>43</v>
      </c>
      <c r="C31" s="4">
        <v>46113</v>
      </c>
      <c r="D31" s="3"/>
      <c r="E31" s="5">
        <v>7258</v>
      </c>
      <c r="F31" s="3"/>
      <c r="G31" s="5"/>
      <c r="H31" s="3">
        <v>1</v>
      </c>
      <c r="I31" s="10"/>
    </row>
    <row r="32" spans="1:9" x14ac:dyDescent="0.35">
      <c r="A32" s="3" t="s">
        <v>42</v>
      </c>
      <c r="B32" s="3" t="s">
        <v>44</v>
      </c>
      <c r="C32" s="4">
        <v>46113</v>
      </c>
      <c r="D32" s="3"/>
      <c r="E32" s="5">
        <v>7085</v>
      </c>
      <c r="F32" s="3"/>
      <c r="G32" s="5"/>
      <c r="H32" s="3">
        <v>2</v>
      </c>
      <c r="I32" s="10"/>
    </row>
    <row r="33" spans="1:9" x14ac:dyDescent="0.35">
      <c r="A33" s="3" t="s">
        <v>42</v>
      </c>
      <c r="B33" s="3" t="s">
        <v>45</v>
      </c>
      <c r="C33" s="4">
        <v>46113</v>
      </c>
      <c r="D33" s="3"/>
      <c r="E33" s="5">
        <v>18432</v>
      </c>
      <c r="F33" s="3"/>
      <c r="G33" s="5"/>
      <c r="H33" s="3">
        <v>1</v>
      </c>
      <c r="I33" s="10"/>
    </row>
    <row r="34" spans="1:9" x14ac:dyDescent="0.35">
      <c r="A34" s="3" t="s">
        <v>42</v>
      </c>
      <c r="B34" s="3" t="s">
        <v>46</v>
      </c>
      <c r="C34" s="4">
        <v>46113</v>
      </c>
      <c r="D34" s="3"/>
      <c r="E34" s="5">
        <v>3000</v>
      </c>
      <c r="F34" s="3"/>
      <c r="G34" s="5"/>
      <c r="H34" s="3">
        <v>2</v>
      </c>
      <c r="I34" s="10"/>
    </row>
    <row r="35" spans="1:9" x14ac:dyDescent="0.35">
      <c r="A35" s="3" t="s">
        <v>42</v>
      </c>
      <c r="B35" s="3" t="s">
        <v>47</v>
      </c>
      <c r="C35" s="4">
        <v>46113</v>
      </c>
      <c r="D35" s="3"/>
      <c r="E35" s="5">
        <v>5990</v>
      </c>
      <c r="F35" s="3"/>
      <c r="G35" s="5"/>
      <c r="H35" s="3">
        <v>2</v>
      </c>
      <c r="I35" s="10"/>
    </row>
    <row r="36" spans="1:9" x14ac:dyDescent="0.35">
      <c r="A36" s="3" t="s">
        <v>42</v>
      </c>
      <c r="B36" s="3" t="s">
        <v>48</v>
      </c>
      <c r="C36" s="4">
        <v>46113</v>
      </c>
      <c r="D36" s="3"/>
      <c r="E36" s="5" t="s">
        <v>49</v>
      </c>
      <c r="F36" s="3"/>
      <c r="G36" s="5"/>
      <c r="H36" s="3">
        <v>6</v>
      </c>
      <c r="I36" s="10"/>
    </row>
    <row r="37" spans="1:9" x14ac:dyDescent="0.35">
      <c r="A37" s="3" t="s">
        <v>42</v>
      </c>
      <c r="B37" s="3" t="s">
        <v>50</v>
      </c>
      <c r="C37" s="4">
        <v>46113</v>
      </c>
      <c r="D37" s="3"/>
      <c r="E37" s="5" t="s">
        <v>51</v>
      </c>
      <c r="F37" s="3"/>
      <c r="G37" s="5"/>
      <c r="H37" s="3">
        <v>4</v>
      </c>
      <c r="I37" s="10"/>
    </row>
    <row r="38" spans="1:9" x14ac:dyDescent="0.35">
      <c r="A38" s="3" t="s">
        <v>42</v>
      </c>
      <c r="B38" s="3" t="s">
        <v>52</v>
      </c>
      <c r="C38" s="4">
        <v>46113</v>
      </c>
      <c r="D38" s="3"/>
      <c r="E38" s="5" t="s">
        <v>53</v>
      </c>
      <c r="F38" s="3"/>
      <c r="G38" s="5"/>
      <c r="H38" s="3">
        <v>4</v>
      </c>
      <c r="I38" s="10"/>
    </row>
    <row r="39" spans="1:9" x14ac:dyDescent="0.35">
      <c r="A39" s="3"/>
      <c r="B39" s="3"/>
      <c r="C39" s="4"/>
      <c r="D39" s="3"/>
      <c r="E39" s="5"/>
      <c r="F39" s="3"/>
      <c r="G39" s="5"/>
      <c r="H39" s="3"/>
      <c r="I39" s="10"/>
    </row>
    <row r="40" spans="1:9" x14ac:dyDescent="0.35">
      <c r="A40" s="3"/>
      <c r="B40" s="3"/>
      <c r="C40" s="4"/>
      <c r="D40" s="3"/>
      <c r="E40" s="5"/>
      <c r="F40" s="3"/>
      <c r="G40" s="5"/>
      <c r="H40" s="3"/>
      <c r="I40" s="10"/>
    </row>
    <row r="41" spans="1:9" x14ac:dyDescent="0.35">
      <c r="A41" s="3"/>
      <c r="B41" s="3"/>
      <c r="C41" s="4"/>
      <c r="D41" s="3"/>
      <c r="E41" s="5"/>
      <c r="F41" s="3"/>
      <c r="G41" s="5"/>
      <c r="H41" s="3"/>
      <c r="I41" s="10"/>
    </row>
    <row r="42" spans="1:9" x14ac:dyDescent="0.35">
      <c r="A42" s="3"/>
      <c r="B42" s="3"/>
      <c r="C42" s="4"/>
      <c r="D42" s="3"/>
      <c r="E42" s="5"/>
      <c r="F42" s="3"/>
      <c r="G42" s="5"/>
      <c r="H42" s="3"/>
      <c r="I42" s="10"/>
    </row>
    <row r="43" spans="1:9" x14ac:dyDescent="0.35">
      <c r="A43" s="3"/>
      <c r="B43" s="3"/>
      <c r="C43" s="4"/>
      <c r="D43" s="3"/>
      <c r="E43" s="5"/>
      <c r="F43" s="3"/>
      <c r="G43" s="5"/>
      <c r="H43" s="3"/>
      <c r="I43" s="10"/>
    </row>
    <row r="44" spans="1:9" x14ac:dyDescent="0.35">
      <c r="A44" s="3"/>
      <c r="B44" s="3"/>
      <c r="C44" s="4"/>
      <c r="D44" s="3"/>
      <c r="E44" s="5"/>
      <c r="F44" s="3"/>
      <c r="G44" s="5"/>
      <c r="H44" s="3"/>
      <c r="I44" s="10"/>
    </row>
    <row r="45" spans="1:9" x14ac:dyDescent="0.35">
      <c r="A45" s="3"/>
      <c r="B45" s="3"/>
      <c r="C45" s="3"/>
      <c r="D45" s="3"/>
      <c r="E45" s="5"/>
      <c r="F45" s="3"/>
      <c r="G45" s="5"/>
      <c r="H45" s="3"/>
      <c r="I45" s="10"/>
    </row>
    <row r="46" spans="1:9" x14ac:dyDescent="0.35">
      <c r="A46" s="3"/>
      <c r="B46" s="3"/>
      <c r="C46" s="3"/>
      <c r="D46" s="3"/>
      <c r="E46" s="5"/>
      <c r="F46" s="3"/>
      <c r="G46" s="5"/>
      <c r="H46" s="3"/>
      <c r="I46" s="10"/>
    </row>
    <row r="47" spans="1:9" x14ac:dyDescent="0.35">
      <c r="A47" s="3"/>
      <c r="B47" s="3"/>
      <c r="C47" s="3"/>
      <c r="D47" s="3"/>
      <c r="E47" s="5"/>
      <c r="F47" s="3"/>
      <c r="G47" s="5"/>
      <c r="H47" s="3"/>
      <c r="I47" s="10"/>
    </row>
    <row r="48" spans="1:9" x14ac:dyDescent="0.35">
      <c r="A48" s="3"/>
      <c r="B48" s="3"/>
      <c r="C48" s="3"/>
      <c r="D48" s="3"/>
      <c r="E48" s="5"/>
      <c r="F48" s="3"/>
      <c r="G48" s="5"/>
      <c r="H48" s="3"/>
      <c r="I48" s="10"/>
    </row>
    <row r="49" spans="1:9" x14ac:dyDescent="0.35">
      <c r="A49" s="3"/>
      <c r="B49" s="3"/>
      <c r="C49" s="3"/>
      <c r="D49" s="3"/>
      <c r="E49" s="5"/>
      <c r="F49" s="3"/>
      <c r="G49" s="5"/>
      <c r="H49" s="3"/>
      <c r="I49" s="10"/>
    </row>
    <row r="50" spans="1:9" x14ac:dyDescent="0.35">
      <c r="A50" s="3"/>
      <c r="B50" s="3"/>
      <c r="C50" s="3"/>
      <c r="D50" s="3"/>
      <c r="E50" s="5"/>
      <c r="F50" s="3"/>
      <c r="G50" s="5"/>
      <c r="H50" s="3"/>
      <c r="I50" s="10"/>
    </row>
    <row r="51" spans="1:9" x14ac:dyDescent="0.35">
      <c r="A51" s="3"/>
      <c r="B51" s="3"/>
      <c r="C51" s="3"/>
      <c r="D51" s="3"/>
      <c r="E51" s="5"/>
      <c r="F51" s="3"/>
      <c r="G51" s="5"/>
      <c r="H51" s="3"/>
      <c r="I51" s="10"/>
    </row>
    <row r="52" spans="1:9" x14ac:dyDescent="0.35">
      <c r="A52" s="3"/>
      <c r="B52" s="3"/>
      <c r="C52" s="3"/>
      <c r="D52" s="3"/>
      <c r="E52" s="5"/>
      <c r="F52" s="3"/>
      <c r="G52" s="5"/>
      <c r="H52" s="3"/>
      <c r="I52" s="10"/>
    </row>
    <row r="53" spans="1:9" x14ac:dyDescent="0.35">
      <c r="A53" s="3"/>
      <c r="B53" s="3"/>
      <c r="C53" s="3"/>
      <c r="D53" s="3"/>
      <c r="E53" s="5"/>
      <c r="F53" s="3"/>
      <c r="G53" s="5"/>
      <c r="H53" s="3"/>
      <c r="I53" s="10"/>
    </row>
    <row r="54" spans="1:9" x14ac:dyDescent="0.35">
      <c r="A54" s="3"/>
      <c r="B54" s="3"/>
      <c r="C54" s="3"/>
      <c r="D54" s="3"/>
      <c r="E54" s="5"/>
      <c r="F54" s="3"/>
      <c r="G54" s="5"/>
      <c r="H54" s="3"/>
      <c r="I54" s="10"/>
    </row>
    <row r="55" spans="1:9" x14ac:dyDescent="0.35">
      <c r="A55" s="3"/>
      <c r="B55" s="3"/>
      <c r="C55" s="3"/>
      <c r="D55" s="3"/>
      <c r="E55" s="5"/>
      <c r="F55" s="3"/>
      <c r="G55" s="5"/>
      <c r="H55" s="3"/>
      <c r="I55" s="10"/>
    </row>
    <row r="56" spans="1:9" x14ac:dyDescent="0.35">
      <c r="A56" s="3"/>
      <c r="B56" s="3"/>
      <c r="C56" s="3"/>
      <c r="D56" s="3"/>
      <c r="E56" s="5"/>
      <c r="F56" s="3"/>
      <c r="G56" s="5"/>
      <c r="H56" s="3"/>
      <c r="I56" s="10"/>
    </row>
    <row r="57" spans="1:9" x14ac:dyDescent="0.35">
      <c r="A57" s="3"/>
      <c r="B57" s="3"/>
      <c r="C57" s="3"/>
      <c r="D57" s="3"/>
      <c r="E57" s="5"/>
      <c r="F57" s="3"/>
      <c r="G57" s="5"/>
      <c r="H57" s="3"/>
      <c r="I57" s="10"/>
    </row>
    <row r="58" spans="1:9" x14ac:dyDescent="0.35">
      <c r="A58" s="3"/>
      <c r="B58" s="3"/>
      <c r="C58" s="3"/>
      <c r="D58" s="3"/>
      <c r="E58" s="5"/>
      <c r="F58" s="3"/>
      <c r="G58" s="5"/>
      <c r="H58" s="3"/>
      <c r="I58" s="10"/>
    </row>
    <row r="59" spans="1:9" x14ac:dyDescent="0.35">
      <c r="A59" s="3"/>
      <c r="B59" s="3"/>
      <c r="C59" s="3"/>
      <c r="D59" s="3"/>
      <c r="E59" s="5"/>
      <c r="F59" s="3"/>
      <c r="G59" s="5"/>
      <c r="H59" s="3"/>
      <c r="I59" s="10"/>
    </row>
    <row r="60" spans="1:9" x14ac:dyDescent="0.35">
      <c r="A60" s="3"/>
      <c r="B60" s="3"/>
      <c r="C60" s="3"/>
      <c r="D60" s="3"/>
      <c r="E60" s="5"/>
      <c r="F60" s="3"/>
      <c r="G60" s="5"/>
      <c r="H60" s="3"/>
      <c r="I60" s="10"/>
    </row>
    <row r="61" spans="1:9" x14ac:dyDescent="0.35">
      <c r="A61" s="3"/>
      <c r="B61" s="3"/>
      <c r="C61" s="3"/>
      <c r="D61" s="3"/>
      <c r="E61" s="5"/>
      <c r="F61" s="3"/>
      <c r="G61" s="5"/>
      <c r="H61" s="3"/>
      <c r="I61" s="10"/>
    </row>
    <row r="62" spans="1:9" x14ac:dyDescent="0.35">
      <c r="A62" s="3"/>
      <c r="B62" s="3"/>
      <c r="C62" s="3"/>
      <c r="D62" s="3"/>
      <c r="E62" s="5"/>
      <c r="F62" s="3"/>
      <c r="G62" s="5"/>
      <c r="H62" s="3"/>
      <c r="I62" s="10"/>
    </row>
    <row r="63" spans="1:9" x14ac:dyDescent="0.35">
      <c r="A63" s="3"/>
      <c r="B63" s="3"/>
      <c r="C63" s="3"/>
      <c r="D63" s="3"/>
      <c r="E63" s="5"/>
      <c r="F63" s="3"/>
      <c r="G63" s="5"/>
      <c r="H63" s="3"/>
      <c r="I63" s="10"/>
    </row>
    <row r="64" spans="1:9" x14ac:dyDescent="0.35">
      <c r="A64" s="3"/>
      <c r="B64" s="3"/>
      <c r="C64" s="3"/>
      <c r="D64" s="3"/>
      <c r="E64" s="5"/>
      <c r="F64" s="3"/>
      <c r="G64" s="5"/>
      <c r="H64" s="3"/>
      <c r="I64" s="10"/>
    </row>
    <row r="65" spans="1:9" x14ac:dyDescent="0.35">
      <c r="A65" s="3"/>
      <c r="B65" s="3"/>
      <c r="C65" s="3"/>
      <c r="D65" s="3"/>
      <c r="E65" s="5"/>
      <c r="F65" s="3"/>
      <c r="G65" s="5"/>
      <c r="H65" s="3"/>
      <c r="I65" s="10"/>
    </row>
    <row r="66" spans="1:9" x14ac:dyDescent="0.35">
      <c r="A66" s="3"/>
      <c r="B66" s="3"/>
      <c r="C66" s="3"/>
      <c r="D66" s="3"/>
      <c r="E66" s="5"/>
      <c r="F66" s="3"/>
      <c r="G66" s="5"/>
      <c r="H66" s="3"/>
      <c r="I66" s="10"/>
    </row>
    <row r="67" spans="1:9" x14ac:dyDescent="0.35">
      <c r="A67" s="3"/>
      <c r="B67" s="3"/>
      <c r="C67" s="3"/>
      <c r="D67" s="3"/>
      <c r="E67" s="5"/>
      <c r="F67" s="3"/>
      <c r="G67" s="5"/>
      <c r="H67" s="3"/>
      <c r="I67" s="10"/>
    </row>
    <row r="68" spans="1:9" x14ac:dyDescent="0.35">
      <c r="A68" s="3"/>
      <c r="B68" s="3"/>
      <c r="C68" s="3"/>
      <c r="D68" s="3"/>
      <c r="E68" s="5"/>
      <c r="F68" s="3"/>
      <c r="G68" s="5"/>
      <c r="H68" s="3"/>
      <c r="I68" s="10"/>
    </row>
    <row r="69" spans="1:9" x14ac:dyDescent="0.35">
      <c r="A69" s="3"/>
      <c r="B69" s="3"/>
      <c r="C69" s="3"/>
      <c r="D69" s="3"/>
      <c r="E69" s="5"/>
      <c r="F69" s="3"/>
      <c r="G69" s="5"/>
      <c r="H69" s="3"/>
      <c r="I69" s="10"/>
    </row>
    <row r="70" spans="1:9" x14ac:dyDescent="0.35">
      <c r="A70" s="3"/>
      <c r="B70" s="3"/>
      <c r="C70" s="3"/>
      <c r="D70" s="3"/>
      <c r="E70" s="5"/>
      <c r="F70" s="3"/>
      <c r="G70" s="5"/>
      <c r="H70" s="3"/>
      <c r="I70" s="10"/>
    </row>
    <row r="71" spans="1:9" x14ac:dyDescent="0.35">
      <c r="A71" s="3"/>
      <c r="B71" s="3"/>
      <c r="C71" s="3"/>
      <c r="D71" s="3"/>
      <c r="E71" s="5"/>
      <c r="F71" s="3"/>
      <c r="G71" s="5"/>
      <c r="H71" s="3"/>
      <c r="I71" s="10"/>
    </row>
    <row r="72" spans="1:9" x14ac:dyDescent="0.35">
      <c r="A72" s="3"/>
      <c r="B72" s="3"/>
      <c r="C72" s="3"/>
      <c r="D72" s="3"/>
      <c r="E72" s="5"/>
      <c r="F72" s="3"/>
      <c r="G72" s="5"/>
      <c r="H72" s="3"/>
      <c r="I72" s="10"/>
    </row>
    <row r="73" spans="1:9" x14ac:dyDescent="0.35">
      <c r="A73" s="3"/>
      <c r="B73" s="3"/>
      <c r="C73" s="3"/>
      <c r="D73" s="3"/>
      <c r="E73" s="5"/>
      <c r="F73" s="3"/>
      <c r="G73" s="5"/>
      <c r="H73" s="3"/>
      <c r="I73" s="10"/>
    </row>
    <row r="74" spans="1:9" x14ac:dyDescent="0.35">
      <c r="A74" s="3"/>
      <c r="B74" s="3"/>
      <c r="C74" s="3"/>
      <c r="D74" s="3"/>
      <c r="E74" s="5"/>
      <c r="F74" s="3"/>
      <c r="G74" s="5"/>
      <c r="H74" s="3"/>
      <c r="I74" s="10"/>
    </row>
    <row r="75" spans="1:9" x14ac:dyDescent="0.35">
      <c r="A75" s="3"/>
      <c r="B75" s="3"/>
      <c r="C75" s="3"/>
      <c r="D75" s="3"/>
      <c r="E75" s="5"/>
      <c r="F75" s="3"/>
      <c r="G75" s="5"/>
      <c r="H75" s="3"/>
      <c r="I75" s="10"/>
    </row>
    <row r="76" spans="1:9" x14ac:dyDescent="0.35">
      <c r="A76" s="3"/>
      <c r="B76" s="3"/>
      <c r="C76" s="3"/>
      <c r="D76" s="3"/>
      <c r="E76" s="5"/>
      <c r="F76" s="3"/>
      <c r="G76" s="5"/>
      <c r="H76" s="3"/>
      <c r="I76" s="10"/>
    </row>
    <row r="77" spans="1:9" x14ac:dyDescent="0.35">
      <c r="A77" s="3"/>
      <c r="B77" s="3"/>
      <c r="C77" s="3"/>
      <c r="D77" s="3"/>
      <c r="E77" s="5"/>
      <c r="F77" s="3"/>
      <c r="G77" s="5"/>
      <c r="H77" s="3"/>
      <c r="I77" s="10"/>
    </row>
    <row r="78" spans="1:9" x14ac:dyDescent="0.35">
      <c r="A78" s="3"/>
      <c r="B78" s="3"/>
      <c r="C78" s="3"/>
      <c r="D78" s="3"/>
      <c r="E78" s="5"/>
      <c r="F78" s="3"/>
      <c r="G78" s="5"/>
      <c r="H78" s="3"/>
      <c r="I78" s="10"/>
    </row>
    <row r="79" spans="1:9" x14ac:dyDescent="0.35">
      <c r="A79" s="3"/>
      <c r="B79" s="3"/>
      <c r="C79" s="3"/>
      <c r="D79" s="3"/>
      <c r="E79" s="5"/>
      <c r="F79" s="3"/>
      <c r="G79" s="5"/>
      <c r="H79" s="3"/>
      <c r="I79" s="10"/>
    </row>
    <row r="80" spans="1:9" x14ac:dyDescent="0.35">
      <c r="A80" s="3"/>
      <c r="B80" s="3"/>
      <c r="C80" s="3"/>
      <c r="D80" s="3"/>
      <c r="E80" s="5"/>
      <c r="F80" s="3"/>
      <c r="G80" s="5"/>
      <c r="H80" s="3"/>
      <c r="I80" s="10"/>
    </row>
    <row r="81" spans="1:9" x14ac:dyDescent="0.35">
      <c r="A81" s="3"/>
      <c r="B81" s="3"/>
      <c r="C81" s="3"/>
      <c r="D81" s="3"/>
      <c r="E81" s="5"/>
      <c r="F81" s="3"/>
      <c r="G81" s="5"/>
      <c r="H81" s="3"/>
      <c r="I81" s="10"/>
    </row>
    <row r="82" spans="1:9" x14ac:dyDescent="0.35">
      <c r="A82" s="3"/>
      <c r="B82" s="3"/>
      <c r="C82" s="3"/>
      <c r="D82" s="3"/>
      <c r="E82" s="5"/>
      <c r="F82" s="3"/>
      <c r="G82" s="5"/>
      <c r="H82" s="3"/>
      <c r="I82" s="10"/>
    </row>
    <row r="83" spans="1:9" x14ac:dyDescent="0.35">
      <c r="A83" s="3"/>
      <c r="B83" s="3"/>
      <c r="C83" s="3"/>
      <c r="D83" s="3"/>
      <c r="E83" s="5"/>
      <c r="F83" s="3"/>
      <c r="G83" s="5"/>
      <c r="H83" s="3"/>
      <c r="I83" s="10"/>
    </row>
    <row r="84" spans="1:9" x14ac:dyDescent="0.35">
      <c r="A84" s="3"/>
      <c r="B84" s="3"/>
      <c r="C84" s="3"/>
      <c r="D84" s="3"/>
      <c r="E84" s="5"/>
      <c r="F84" s="3"/>
      <c r="G84" s="5"/>
      <c r="H84" s="3"/>
      <c r="I84" s="10"/>
    </row>
    <row r="85" spans="1:9" x14ac:dyDescent="0.35">
      <c r="A85" s="3"/>
      <c r="B85" s="3"/>
      <c r="C85" s="3"/>
      <c r="D85" s="3"/>
      <c r="E85" s="5"/>
      <c r="F85" s="3"/>
      <c r="G85" s="5"/>
      <c r="H85" s="3"/>
      <c r="I85" s="10"/>
    </row>
    <row r="86" spans="1:9" x14ac:dyDescent="0.35">
      <c r="A86" s="3"/>
      <c r="B86" s="3"/>
      <c r="C86" s="3"/>
      <c r="D86" s="3"/>
      <c r="E86" s="5"/>
      <c r="F86" s="3"/>
      <c r="G86" s="5"/>
      <c r="H86" s="3"/>
      <c r="I86" s="10"/>
    </row>
    <row r="87" spans="1:9" x14ac:dyDescent="0.35">
      <c r="A87" s="3"/>
      <c r="B87" s="3"/>
      <c r="C87" s="3"/>
      <c r="D87" s="3"/>
      <c r="E87" s="5"/>
      <c r="F87" s="3"/>
      <c r="G87" s="5"/>
      <c r="H87" s="3"/>
      <c r="I87" s="10"/>
    </row>
    <row r="88" spans="1:9" x14ac:dyDescent="0.35">
      <c r="A88" s="3"/>
      <c r="B88" s="3"/>
      <c r="C88" s="3"/>
      <c r="D88" s="3"/>
      <c r="E88" s="5"/>
      <c r="F88" s="3"/>
      <c r="G88" s="5"/>
      <c r="H88" s="3"/>
      <c r="I88" s="10"/>
    </row>
    <row r="89" spans="1:9" x14ac:dyDescent="0.35">
      <c r="A89" s="3"/>
      <c r="B89" s="3"/>
      <c r="C89" s="3"/>
      <c r="D89" s="3"/>
      <c r="E89" s="5"/>
      <c r="F89" s="3"/>
      <c r="G89" s="5"/>
      <c r="H89" s="3"/>
      <c r="I89" s="10"/>
    </row>
    <row r="90" spans="1:9" x14ac:dyDescent="0.35">
      <c r="A90" s="3"/>
      <c r="B90" s="3"/>
      <c r="C90" s="3"/>
      <c r="D90" s="3"/>
      <c r="E90" s="5"/>
      <c r="F90" s="3"/>
      <c r="G90" s="5"/>
      <c r="H90" s="3"/>
      <c r="I90" s="10"/>
    </row>
    <row r="91" spans="1:9" x14ac:dyDescent="0.35">
      <c r="A91" s="3"/>
      <c r="B91" s="3"/>
      <c r="C91" s="3"/>
      <c r="D91" s="3"/>
      <c r="E91" s="5"/>
      <c r="F91" s="3"/>
      <c r="G91" s="5"/>
      <c r="H91" s="3"/>
      <c r="I91" s="10"/>
    </row>
    <row r="92" spans="1:9" x14ac:dyDescent="0.35">
      <c r="A92" s="3"/>
      <c r="B92" s="3"/>
      <c r="C92" s="3"/>
      <c r="D92" s="3"/>
      <c r="E92" s="5"/>
      <c r="F92" s="3"/>
      <c r="G92" s="5"/>
      <c r="H92" s="3"/>
      <c r="I92" s="10"/>
    </row>
    <row r="93" spans="1:9" x14ac:dyDescent="0.35">
      <c r="A93" s="3"/>
      <c r="B93" s="3"/>
      <c r="C93" s="3"/>
      <c r="D93" s="3"/>
      <c r="E93" s="5"/>
      <c r="F93" s="3"/>
      <c r="G93" s="5"/>
      <c r="H93" s="3"/>
      <c r="I93" s="10"/>
    </row>
    <row r="94" spans="1:9" x14ac:dyDescent="0.35">
      <c r="A94" s="3"/>
      <c r="B94" s="3"/>
      <c r="C94" s="3"/>
      <c r="D94" s="3"/>
      <c r="E94" s="5"/>
      <c r="F94" s="3"/>
      <c r="G94" s="5"/>
      <c r="H94" s="3"/>
      <c r="I94" s="10"/>
    </row>
    <row r="95" spans="1:9" x14ac:dyDescent="0.35">
      <c r="A95" s="3"/>
      <c r="B95" s="3"/>
      <c r="C95" s="3"/>
      <c r="D95" s="3"/>
      <c r="E95" s="5"/>
      <c r="F95" s="3"/>
      <c r="G95" s="5"/>
      <c r="H95" s="3"/>
      <c r="I95" s="10"/>
    </row>
    <row r="96" spans="1:9" x14ac:dyDescent="0.35">
      <c r="A96" s="3"/>
      <c r="B96" s="3"/>
      <c r="C96" s="3"/>
      <c r="D96" s="3"/>
      <c r="E96" s="5"/>
      <c r="F96" s="3"/>
      <c r="G96" s="5"/>
      <c r="H96" s="3"/>
      <c r="I96" s="10"/>
    </row>
    <row r="97" spans="1:9" x14ac:dyDescent="0.35">
      <c r="A97" s="3"/>
      <c r="B97" s="3"/>
      <c r="C97" s="3"/>
      <c r="D97" s="3"/>
      <c r="E97" s="5"/>
      <c r="F97" s="3"/>
      <c r="G97" s="5"/>
      <c r="H97" s="3"/>
      <c r="I97" s="10"/>
    </row>
    <row r="98" spans="1:9" x14ac:dyDescent="0.35">
      <c r="A98" s="3"/>
      <c r="B98" s="3"/>
      <c r="C98" s="3"/>
      <c r="D98" s="3"/>
      <c r="E98" s="5"/>
      <c r="F98" s="3"/>
      <c r="G98" s="5"/>
      <c r="H98" s="3"/>
      <c r="I98" s="10"/>
    </row>
    <row r="99" spans="1:9" x14ac:dyDescent="0.35">
      <c r="A99" s="3"/>
      <c r="B99" s="3"/>
      <c r="C99" s="3"/>
      <c r="D99" s="3"/>
      <c r="E99" s="5"/>
      <c r="F99" s="3"/>
      <c r="G99" s="5"/>
      <c r="H99" s="3"/>
      <c r="I99" s="10"/>
    </row>
    <row r="100" spans="1:9" x14ac:dyDescent="0.35">
      <c r="A100" s="3"/>
      <c r="B100" s="3"/>
      <c r="C100" s="3"/>
      <c r="D100" s="3"/>
      <c r="E100" s="5"/>
      <c r="F100" s="3"/>
      <c r="G100" s="5"/>
      <c r="H100" s="3"/>
      <c r="I100" s="10"/>
    </row>
    <row r="101" spans="1:9" x14ac:dyDescent="0.35">
      <c r="A101" s="3"/>
      <c r="B101" s="3"/>
      <c r="C101" s="3"/>
      <c r="D101" s="3"/>
      <c r="E101" s="5"/>
      <c r="F101" s="3"/>
      <c r="G101" s="5"/>
      <c r="H101" s="3"/>
      <c r="I101" s="10"/>
    </row>
    <row r="102" spans="1:9" x14ac:dyDescent="0.35">
      <c r="A102" s="3"/>
      <c r="B102" s="3"/>
      <c r="C102" s="3"/>
      <c r="D102" s="3"/>
      <c r="E102" s="5"/>
      <c r="F102" s="3"/>
      <c r="G102" s="5"/>
      <c r="H102" s="3"/>
      <c r="I102" s="10"/>
    </row>
    <row r="103" spans="1:9" x14ac:dyDescent="0.35">
      <c r="A103" s="3"/>
      <c r="B103" s="3"/>
      <c r="C103" s="3"/>
      <c r="D103" s="3"/>
      <c r="E103" s="5"/>
      <c r="F103" s="3"/>
      <c r="G103" s="5"/>
      <c r="H103" s="3"/>
      <c r="I103" s="10"/>
    </row>
    <row r="104" spans="1:9" x14ac:dyDescent="0.35">
      <c r="A104" s="3"/>
      <c r="B104" s="3"/>
      <c r="C104" s="3"/>
      <c r="D104" s="3"/>
      <c r="E104" s="5"/>
      <c r="F104" s="3"/>
      <c r="G104" s="5"/>
      <c r="H104" s="3"/>
      <c r="I104" s="10"/>
    </row>
    <row r="105" spans="1:9" x14ac:dyDescent="0.35">
      <c r="A105" s="3"/>
      <c r="B105" s="3"/>
      <c r="C105" s="3"/>
      <c r="D105" s="3"/>
      <c r="E105" s="5"/>
      <c r="F105" s="3"/>
      <c r="G105" s="5"/>
      <c r="H105" s="3"/>
      <c r="I105" s="10"/>
    </row>
    <row r="106" spans="1:9" x14ac:dyDescent="0.35">
      <c r="A106" s="3"/>
      <c r="B106" s="3"/>
      <c r="C106" s="3"/>
      <c r="D106" s="3"/>
      <c r="E106" s="5"/>
      <c r="F106" s="3"/>
      <c r="G106" s="5"/>
      <c r="H106" s="3"/>
      <c r="I106" s="10"/>
    </row>
    <row r="107" spans="1:9" x14ac:dyDescent="0.35">
      <c r="A107" s="3"/>
      <c r="B107" s="3"/>
      <c r="C107" s="3"/>
      <c r="D107" s="3"/>
      <c r="E107" s="5"/>
      <c r="F107" s="3"/>
      <c r="G107" s="5"/>
      <c r="H107" s="3"/>
      <c r="I107" s="10"/>
    </row>
    <row r="108" spans="1:9" x14ac:dyDescent="0.35">
      <c r="A108" s="3"/>
      <c r="B108" s="3"/>
      <c r="C108" s="3"/>
      <c r="D108" s="3"/>
      <c r="E108" s="5"/>
      <c r="F108" s="3"/>
      <c r="G108" s="5"/>
      <c r="H108" s="3"/>
      <c r="I108" s="10"/>
    </row>
    <row r="109" spans="1:9" x14ac:dyDescent="0.35">
      <c r="A109" s="3"/>
      <c r="B109" s="3"/>
      <c r="C109" s="3"/>
      <c r="D109" s="3"/>
      <c r="E109" s="5"/>
      <c r="F109" s="3"/>
      <c r="G109" s="5"/>
      <c r="H109" s="3"/>
      <c r="I109" s="10"/>
    </row>
    <row r="110" spans="1:9" x14ac:dyDescent="0.35">
      <c r="A110" s="3"/>
      <c r="B110" s="3"/>
      <c r="C110" s="3"/>
      <c r="D110" s="3"/>
      <c r="E110" s="5"/>
      <c r="F110" s="3"/>
      <c r="G110" s="5"/>
      <c r="H110" s="3"/>
      <c r="I110" s="10"/>
    </row>
    <row r="111" spans="1:9" x14ac:dyDescent="0.35">
      <c r="A111" s="3"/>
      <c r="B111" s="3"/>
      <c r="C111" s="3"/>
      <c r="D111" s="3"/>
      <c r="E111" s="5"/>
      <c r="F111" s="3"/>
      <c r="G111" s="5"/>
      <c r="H111" s="3"/>
      <c r="I111" s="10"/>
    </row>
    <row r="112" spans="1:9" x14ac:dyDescent="0.35">
      <c r="A112" s="3"/>
      <c r="B112" s="3"/>
      <c r="C112" s="3"/>
      <c r="D112" s="3"/>
      <c r="E112" s="5"/>
      <c r="F112" s="3"/>
      <c r="G112" s="5"/>
      <c r="H112" s="3"/>
      <c r="I112" s="10"/>
    </row>
    <row r="113" spans="1:9" x14ac:dyDescent="0.35">
      <c r="A113" s="3"/>
      <c r="B113" s="3"/>
      <c r="C113" s="3"/>
      <c r="D113" s="3"/>
      <c r="E113" s="5"/>
      <c r="F113" s="3"/>
      <c r="G113" s="5"/>
      <c r="H113" s="3"/>
      <c r="I113" s="10"/>
    </row>
    <row r="114" spans="1:9" x14ac:dyDescent="0.35">
      <c r="A114" s="3"/>
      <c r="B114" s="3"/>
      <c r="C114" s="3"/>
      <c r="D114" s="3"/>
      <c r="E114" s="5"/>
      <c r="F114" s="3"/>
      <c r="G114" s="5"/>
      <c r="H114" s="3"/>
      <c r="I114" s="10"/>
    </row>
    <row r="115" spans="1:9" x14ac:dyDescent="0.35">
      <c r="A115" s="3"/>
      <c r="B115" s="3"/>
      <c r="C115" s="3"/>
      <c r="D115" s="3"/>
      <c r="E115" s="5"/>
      <c r="F115" s="3"/>
      <c r="G115" s="5"/>
      <c r="H115" s="3"/>
      <c r="I115" s="10"/>
    </row>
    <row r="116" spans="1:9" x14ac:dyDescent="0.35">
      <c r="A116" s="3"/>
      <c r="B116" s="3"/>
      <c r="C116" s="3"/>
      <c r="D116" s="3"/>
      <c r="E116" s="5"/>
      <c r="F116" s="3"/>
      <c r="G116" s="5"/>
      <c r="H116" s="3"/>
      <c r="I116" s="10"/>
    </row>
    <row r="117" spans="1:9" x14ac:dyDescent="0.35">
      <c r="A117" s="3"/>
      <c r="B117" s="3"/>
      <c r="C117" s="3"/>
      <c r="D117" s="3"/>
      <c r="E117" s="5"/>
      <c r="F117" s="3"/>
      <c r="G117" s="5"/>
      <c r="H117" s="3"/>
      <c r="I117" s="10"/>
    </row>
    <row r="118" spans="1:9" x14ac:dyDescent="0.35">
      <c r="A118" s="3"/>
      <c r="B118" s="3"/>
      <c r="C118" s="3"/>
      <c r="D118" s="3"/>
      <c r="E118" s="5"/>
      <c r="F118" s="3"/>
      <c r="G118" s="5"/>
      <c r="H118" s="3"/>
      <c r="I118" s="10"/>
    </row>
    <row r="119" spans="1:9" x14ac:dyDescent="0.35">
      <c r="A119" s="3"/>
      <c r="B119" s="3"/>
      <c r="C119" s="3"/>
      <c r="D119" s="3"/>
      <c r="E119" s="5"/>
      <c r="F119" s="3"/>
      <c r="G119" s="5"/>
      <c r="H119" s="3"/>
      <c r="I119" s="10"/>
    </row>
    <row r="120" spans="1:9" x14ac:dyDescent="0.35">
      <c r="A120" s="3"/>
      <c r="B120" s="3"/>
      <c r="C120" s="3"/>
      <c r="D120" s="3"/>
      <c r="E120" s="5"/>
      <c r="F120" s="3"/>
      <c r="G120" s="5"/>
      <c r="H120" s="3"/>
      <c r="I120" s="10"/>
    </row>
    <row r="121" spans="1:9" x14ac:dyDescent="0.35">
      <c r="A121" s="3"/>
      <c r="B121" s="3"/>
      <c r="C121" s="3"/>
      <c r="D121" s="3"/>
      <c r="E121" s="5"/>
      <c r="F121" s="3"/>
      <c r="G121" s="5"/>
      <c r="H121" s="3"/>
      <c r="I121" s="10"/>
    </row>
    <row r="122" spans="1:9" x14ac:dyDescent="0.35">
      <c r="A122" s="3"/>
      <c r="B122" s="3"/>
      <c r="C122" s="3"/>
      <c r="D122" s="3"/>
      <c r="E122" s="5"/>
      <c r="F122" s="3"/>
      <c r="G122" s="5"/>
      <c r="H122" s="3"/>
      <c r="I122" s="10"/>
    </row>
    <row r="123" spans="1:9" x14ac:dyDescent="0.35">
      <c r="A123" s="3"/>
      <c r="B123" s="3"/>
      <c r="C123" s="3"/>
      <c r="D123" s="3"/>
      <c r="E123" s="5"/>
      <c r="F123" s="3"/>
      <c r="G123" s="5"/>
      <c r="H123" s="3"/>
      <c r="I123" s="10"/>
    </row>
    <row r="124" spans="1:9" x14ac:dyDescent="0.35">
      <c r="A124" s="3"/>
      <c r="B124" s="3"/>
      <c r="C124" s="3"/>
      <c r="D124" s="3"/>
      <c r="E124" s="5"/>
      <c r="F124" s="3"/>
      <c r="G124" s="5"/>
      <c r="H124" s="3"/>
      <c r="I124" s="10"/>
    </row>
    <row r="125" spans="1:9" x14ac:dyDescent="0.35">
      <c r="A125" s="3"/>
      <c r="B125" s="3"/>
      <c r="C125" s="3"/>
      <c r="D125" s="3"/>
      <c r="E125" s="5"/>
      <c r="F125" s="3"/>
      <c r="G125" s="5"/>
      <c r="H125" s="3"/>
      <c r="I125" s="10"/>
    </row>
    <row r="126" spans="1:9" x14ac:dyDescent="0.35">
      <c r="A126" s="3"/>
      <c r="B126" s="3"/>
      <c r="C126" s="3"/>
      <c r="D126" s="3"/>
      <c r="E126" s="5"/>
      <c r="F126" s="3"/>
      <c r="G126" s="5"/>
      <c r="H126" s="3"/>
      <c r="I126" s="10"/>
    </row>
    <row r="127" spans="1:9" x14ac:dyDescent="0.35">
      <c r="A127" s="3"/>
      <c r="B127" s="3"/>
      <c r="C127" s="3"/>
      <c r="D127" s="3"/>
      <c r="E127" s="5"/>
      <c r="F127" s="3"/>
      <c r="G127" s="5"/>
      <c r="H127" s="3"/>
      <c r="I127" s="10"/>
    </row>
    <row r="128" spans="1:9" x14ac:dyDescent="0.35">
      <c r="A128" s="3"/>
      <c r="B128" s="3"/>
      <c r="C128" s="3"/>
      <c r="D128" s="3"/>
      <c r="E128" s="5"/>
      <c r="F128" s="3"/>
      <c r="G128" s="5"/>
      <c r="H128" s="3"/>
      <c r="I128" s="10"/>
    </row>
    <row r="129" spans="1:9" x14ac:dyDescent="0.35">
      <c r="A129" s="3"/>
      <c r="B129" s="3"/>
      <c r="C129" s="3"/>
      <c r="D129" s="3"/>
      <c r="E129" s="5"/>
      <c r="F129" s="3"/>
      <c r="G129" s="5"/>
      <c r="H129" s="3"/>
      <c r="I129" s="10"/>
    </row>
    <row r="130" spans="1:9" x14ac:dyDescent="0.35">
      <c r="A130" s="3"/>
      <c r="B130" s="3"/>
      <c r="C130" s="3"/>
      <c r="D130" s="3"/>
      <c r="E130" s="5"/>
      <c r="F130" s="3"/>
      <c r="G130" s="5"/>
      <c r="H130" s="3"/>
      <c r="I130" s="10"/>
    </row>
    <row r="131" spans="1:9" x14ac:dyDescent="0.35">
      <c r="A131" s="3"/>
      <c r="B131" s="3"/>
      <c r="C131" s="3"/>
      <c r="D131" s="3"/>
      <c r="E131" s="5"/>
      <c r="F131" s="3"/>
      <c r="G131" s="5"/>
      <c r="H131" s="3"/>
      <c r="I131" s="10"/>
    </row>
    <row r="132" spans="1:9" x14ac:dyDescent="0.35">
      <c r="A132" s="3"/>
      <c r="B132" s="3"/>
      <c r="C132" s="3"/>
      <c r="D132" s="3"/>
      <c r="E132" s="5"/>
      <c r="F132" s="3"/>
      <c r="G132" s="5"/>
      <c r="H132" s="3"/>
      <c r="I132" s="10"/>
    </row>
    <row r="133" spans="1:9" x14ac:dyDescent="0.35">
      <c r="A133" s="3"/>
      <c r="B133" s="3"/>
      <c r="C133" s="3"/>
      <c r="D133" s="3"/>
      <c r="E133" s="5"/>
      <c r="F133" s="3"/>
      <c r="G133" s="5"/>
      <c r="H133" s="3"/>
      <c r="I133" s="10"/>
    </row>
    <row r="134" spans="1:9" x14ac:dyDescent="0.35">
      <c r="A134" s="3"/>
      <c r="B134" s="3"/>
      <c r="C134" s="3"/>
      <c r="D134" s="3"/>
      <c r="E134" s="5"/>
      <c r="F134" s="3"/>
      <c r="G134" s="5"/>
      <c r="H134" s="3"/>
      <c r="I134" s="10"/>
    </row>
    <row r="135" spans="1:9" x14ac:dyDescent="0.35">
      <c r="A135" s="3"/>
      <c r="B135" s="3"/>
      <c r="C135" s="3"/>
      <c r="D135" s="3"/>
      <c r="E135" s="5"/>
      <c r="F135" s="3"/>
      <c r="G135" s="5"/>
      <c r="H135" s="3"/>
      <c r="I135" s="10"/>
    </row>
    <row r="136" spans="1:9" x14ac:dyDescent="0.35">
      <c r="A136" s="3"/>
      <c r="B136" s="3"/>
      <c r="C136" s="3"/>
      <c r="D136" s="3"/>
      <c r="E136" s="5"/>
      <c r="F136" s="3"/>
      <c r="G136" s="5"/>
      <c r="H136" s="3"/>
      <c r="I136" s="10"/>
    </row>
    <row r="137" spans="1:9" x14ac:dyDescent="0.35">
      <c r="A137" s="3"/>
      <c r="B137" s="3"/>
      <c r="C137" s="3"/>
      <c r="D137" s="3"/>
      <c r="E137" s="5"/>
      <c r="F137" s="3"/>
      <c r="G137" s="5"/>
      <c r="H137" s="3"/>
      <c r="I137" s="10"/>
    </row>
    <row r="138" spans="1:9" x14ac:dyDescent="0.35">
      <c r="A138" s="3"/>
      <c r="B138" s="3"/>
      <c r="C138" s="3"/>
      <c r="D138" s="3"/>
      <c r="E138" s="5"/>
      <c r="F138" s="3"/>
      <c r="G138" s="5"/>
      <c r="H138" s="3"/>
      <c r="I138" s="10"/>
    </row>
    <row r="139" spans="1:9" x14ac:dyDescent="0.35">
      <c r="A139" s="3"/>
      <c r="B139" s="3"/>
      <c r="C139" s="3"/>
      <c r="D139" s="3"/>
      <c r="E139" s="5"/>
      <c r="F139" s="3"/>
      <c r="G139" s="5"/>
      <c r="H139" s="3"/>
      <c r="I139" s="10"/>
    </row>
    <row r="140" spans="1:9" x14ac:dyDescent="0.35">
      <c r="A140" s="3"/>
      <c r="B140" s="3"/>
      <c r="C140" s="3"/>
      <c r="D140" s="3"/>
      <c r="E140" s="5"/>
      <c r="F140" s="3"/>
      <c r="G140" s="5"/>
      <c r="H140" s="3"/>
      <c r="I140" s="10"/>
    </row>
    <row r="141" spans="1:9" x14ac:dyDescent="0.35">
      <c r="A141" s="3"/>
      <c r="B141" s="3"/>
      <c r="C141" s="3"/>
      <c r="D141" s="3"/>
      <c r="E141" s="5"/>
      <c r="F141" s="3"/>
      <c r="G141" s="5"/>
      <c r="H141" s="3"/>
      <c r="I141" s="10"/>
    </row>
    <row r="142" spans="1:9" x14ac:dyDescent="0.35">
      <c r="A142" s="3"/>
      <c r="B142" s="3"/>
      <c r="C142" s="3"/>
      <c r="D142" s="3"/>
      <c r="E142" s="5"/>
      <c r="F142" s="3"/>
      <c r="G142" s="5"/>
      <c r="H142" s="3"/>
      <c r="I142" s="10"/>
    </row>
    <row r="143" spans="1:9" x14ac:dyDescent="0.35">
      <c r="A143" s="3"/>
      <c r="B143" s="3"/>
      <c r="C143" s="3"/>
      <c r="D143" s="3"/>
      <c r="E143" s="5"/>
      <c r="F143" s="3"/>
      <c r="G143" s="5"/>
      <c r="H143" s="3"/>
      <c r="I143" s="10"/>
    </row>
    <row r="144" spans="1:9" x14ac:dyDescent="0.35">
      <c r="A144" s="3"/>
      <c r="B144" s="3"/>
      <c r="C144" s="3"/>
      <c r="D144" s="3"/>
      <c r="E144" s="5"/>
      <c r="F144" s="3"/>
      <c r="G144" s="5"/>
      <c r="H144" s="3"/>
      <c r="I144" s="10"/>
    </row>
    <row r="145" spans="1:9" x14ac:dyDescent="0.35">
      <c r="A145" s="3"/>
      <c r="B145" s="3"/>
      <c r="C145" s="3"/>
      <c r="D145" s="3"/>
      <c r="E145" s="5"/>
      <c r="F145" s="3"/>
      <c r="G145" s="5"/>
      <c r="H145" s="3"/>
      <c r="I145" s="10"/>
    </row>
    <row r="146" spans="1:9" x14ac:dyDescent="0.35">
      <c r="A146" s="3"/>
      <c r="B146" s="3"/>
      <c r="C146" s="3"/>
      <c r="D146" s="3"/>
      <c r="E146" s="5"/>
      <c r="F146" s="3"/>
      <c r="G146" s="5"/>
      <c r="H146" s="3"/>
      <c r="I146" s="10"/>
    </row>
    <row r="147" spans="1:9" x14ac:dyDescent="0.35">
      <c r="A147" s="3"/>
      <c r="B147" s="3"/>
      <c r="C147" s="3"/>
      <c r="D147" s="3"/>
      <c r="E147" s="5"/>
      <c r="F147" s="3"/>
      <c r="G147" s="5"/>
      <c r="H147" s="3"/>
      <c r="I147" s="10"/>
    </row>
    <row r="148" spans="1:9" x14ac:dyDescent="0.35">
      <c r="A148" s="3"/>
      <c r="B148" s="3"/>
      <c r="C148" s="3"/>
      <c r="D148" s="3"/>
      <c r="E148" s="5"/>
      <c r="F148" s="3"/>
      <c r="G148" s="5"/>
      <c r="H148" s="3"/>
      <c r="I148" s="10"/>
    </row>
    <row r="149" spans="1:9" x14ac:dyDescent="0.35">
      <c r="A149" s="3"/>
      <c r="B149" s="3"/>
      <c r="C149" s="3"/>
      <c r="D149" s="3"/>
      <c r="E149" s="5"/>
      <c r="F149" s="3"/>
      <c r="G149" s="5"/>
      <c r="H149" s="3"/>
      <c r="I149" s="10"/>
    </row>
    <row r="150" spans="1:9" x14ac:dyDescent="0.35">
      <c r="A150" s="3"/>
      <c r="B150" s="3"/>
      <c r="C150" s="3"/>
      <c r="D150" s="3"/>
      <c r="E150" s="5"/>
      <c r="F150" s="3"/>
      <c r="G150" s="5"/>
      <c r="H150" s="3"/>
      <c r="I150" s="10"/>
    </row>
    <row r="151" spans="1:9" x14ac:dyDescent="0.35">
      <c r="A151" s="3"/>
      <c r="B151" s="3"/>
      <c r="C151" s="3"/>
      <c r="D151" s="3"/>
      <c r="E151" s="5"/>
      <c r="F151" s="3"/>
      <c r="G151" s="5"/>
      <c r="H151" s="3"/>
      <c r="I151" s="10"/>
    </row>
    <row r="152" spans="1:9" x14ac:dyDescent="0.35">
      <c r="A152" s="3"/>
      <c r="B152" s="3"/>
      <c r="C152" s="3"/>
      <c r="D152" s="3"/>
      <c r="E152" s="5"/>
      <c r="F152" s="3"/>
      <c r="G152" s="5"/>
      <c r="H152" s="3"/>
      <c r="I152" s="10"/>
    </row>
    <row r="153" spans="1:9" x14ac:dyDescent="0.35">
      <c r="A153" s="3"/>
      <c r="B153" s="3"/>
      <c r="C153" s="3"/>
      <c r="D153" s="3"/>
      <c r="E153" s="5"/>
      <c r="F153" s="3"/>
      <c r="G153" s="5"/>
      <c r="H153" s="3"/>
      <c r="I153" s="10"/>
    </row>
    <row r="154" spans="1:9" x14ac:dyDescent="0.35">
      <c r="A154" s="3"/>
      <c r="B154" s="3"/>
      <c r="C154" s="3"/>
      <c r="D154" s="3"/>
      <c r="E154" s="5"/>
      <c r="F154" s="3"/>
      <c r="G154" s="5"/>
      <c r="H154" s="3"/>
      <c r="I154" s="10"/>
    </row>
    <row r="155" spans="1:9" x14ac:dyDescent="0.35">
      <c r="A155" s="3"/>
      <c r="B155" s="3"/>
      <c r="C155" s="3"/>
      <c r="D155" s="3"/>
      <c r="E155" s="5"/>
      <c r="F155" s="3"/>
      <c r="G155" s="5"/>
      <c r="H155" s="3"/>
      <c r="I155" s="10"/>
    </row>
    <row r="156" spans="1:9" x14ac:dyDescent="0.35">
      <c r="A156" s="3"/>
      <c r="B156" s="3"/>
      <c r="C156" s="3"/>
      <c r="D156" s="3"/>
      <c r="E156" s="5"/>
      <c r="F156" s="3"/>
      <c r="G156" s="5"/>
      <c r="H156" s="3"/>
      <c r="I156" s="10"/>
    </row>
    <row r="157" spans="1:9" x14ac:dyDescent="0.35">
      <c r="A157" s="3"/>
      <c r="B157" s="3"/>
      <c r="C157" s="3"/>
      <c r="D157" s="3"/>
      <c r="E157" s="5"/>
      <c r="F157" s="3"/>
      <c r="G157" s="5"/>
      <c r="H157" s="3"/>
      <c r="I15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Hyderabad</vt:lpstr>
      <vt:lpstr>BP_Structured</vt:lpstr>
      <vt:lpstr>Reqd_MC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MirzaAli Jaffer</dc:creator>
  <cp:lastModifiedBy>MirzaAli Jaffer</cp:lastModifiedBy>
  <dcterms:created xsi:type="dcterms:W3CDTF">2026-05-19T09:03:22Z</dcterms:created>
  <dcterms:modified xsi:type="dcterms:W3CDTF">2026-05-19T12:33:56Z</dcterms:modified>
</cp:coreProperties>
</file>